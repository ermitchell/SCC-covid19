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mc:AlternateContent xmlns:mc="http://schemas.openxmlformats.org/markup-compatibility/2006">
    <mc:Choice Requires="x15">
      <x15ac:absPath xmlns:x15ac="http://schemas.microsoft.com/office/spreadsheetml/2010/11/ac" url="C:\Users\srharder\Documents\Current Chart Templates\SCCFBs\"/>
    </mc:Choice>
  </mc:AlternateContent>
  <xr:revisionPtr revIDLastSave="0" documentId="13_ncr:1_{D79411B3-64BB-4615-B227-E90DF1AEB05A}" xr6:coauthVersionLast="45" xr6:coauthVersionMax="45" xr10:uidLastSave="{00000000-0000-0000-0000-000000000000}"/>
  <bookViews>
    <workbookView xWindow="-108" yWindow="-108" windowWidth="23256" windowHeight="12576" tabRatio="478" activeTab="2" xr2:uid="{00000000-000D-0000-FFFF-FFFF00000000}"/>
  </bookViews>
  <sheets>
    <sheet name="Set-up" sheetId="6" r:id="rId1"/>
    <sheet name="Progress_Record" sheetId="1" r:id="rId2"/>
    <sheet name="Blueline" sheetId="40" r:id="rId3"/>
    <sheet name="Accuracy Ratio Chart" sheetId="38" state="hidden" r:id="rId4"/>
    <sheet name="Celeration lines" sheetId="17" r:id="rId5"/>
    <sheet name="Notes &amp; Phase Changes" sheetId="2" r:id="rId6"/>
    <sheet name="AIMSTARS" sheetId="10" r:id="rId7"/>
    <sheet name="Version History" sheetId="7" r:id="rId8"/>
  </sheets>
  <definedNames>
    <definedName name="A.Prorate">'Set-up'!$C$18</definedName>
    <definedName name="ACL">Progress_Record!$W$6:$W$146</definedName>
    <definedName name="ACLines">'Celeration lines'!$C$2</definedName>
    <definedName name="AcRate">Progress_Record!$J$6:$J$146</definedName>
    <definedName name="ACstart">'Celeration lines'!$D$3</definedName>
    <definedName name="Adviser">'Set-up'!$C$9</definedName>
    <definedName name="Age">'Set-up'!$C$3</definedName>
    <definedName name="Agency">'Set-up'!$C$11</definedName>
    <definedName name="Alt_Ylabels">'Set-up'!$AI$5:$AI$13</definedName>
    <definedName name="Alt_Ylbl">'Set-up'!$AI$3</definedName>
    <definedName name="AltBounce">Progress_Record!$AP$35</definedName>
    <definedName name="Anchor">'Notes &amp; Phase Changes'!$B$3</definedName>
    <definedName name="b">Progress_Record!$AM$6</definedName>
    <definedName name="Blank">'Set-up'!$S$3</definedName>
    <definedName name="Bounce">Progress_Record!$AL$16</definedName>
    <definedName name="BounceStats">Progress_Record!$AO$28:$AR$33</definedName>
    <definedName name="C.Prorate">'Set-up'!$C$20</definedName>
    <definedName name="Celeration">Progress_Record!$AL$12</definedName>
    <definedName name="Celeration_Method">Progress_Record!$AP$6</definedName>
    <definedName name="Celeration_Val.">Progress_Record!$AP$9</definedName>
    <definedName name="CelLineTxt">Progress_Record!$AR$14</definedName>
    <definedName name="CelVal">Progress_Record!$AM$12</definedName>
    <definedName name="Charter">'Set-up'!$C$14</definedName>
    <definedName name="ClearRaw">Progress_Record!$E$6:$H$146</definedName>
    <definedName name="Comments">Progress_Record!$M$6:$M$106</definedName>
    <definedName name="ConfInt">Progress_Record!$AM$16</definedName>
    <definedName name="Counter">'Set-up'!$C$12</definedName>
    <definedName name="CZR">Progress_Record!$P$6:$P$146</definedName>
    <definedName name="D.Prorate">'Set-up'!$C$19</definedName>
    <definedName name="DataPtOffset">'Notes &amp; Phase Changes'!$I$3:$I$52</definedName>
    <definedName name="DateFormat">'Set-up'!$AF$3</definedName>
    <definedName name="DateSeries">Progress_Record!$C$6:$C$146</definedName>
    <definedName name="DAY">Progress_Record!$D$6:$D$146</definedName>
    <definedName name="Day_No">Progress_Record!$D$6:$D$146</definedName>
    <definedName name="DayMatrix">Progress_Record!$AL$20:$AS$23</definedName>
    <definedName name="DCL">Progress_Record!$X$6:$X$146</definedName>
    <definedName name="DCLines">'Celeration lines'!$C$24</definedName>
    <definedName name="DcRate">Progress_Record!$K$6:$K$146</definedName>
    <definedName name="DCstart">'Celeration lines'!$D$25</definedName>
    <definedName name="Depositor">'Set-up'!$C$10</definedName>
    <definedName name="Dformat">'Set-up'!$AF$5:$AF$13</definedName>
    <definedName name="DisRatio">Progress_Record!$AX$6:$AX$45</definedName>
    <definedName name="Down">Progress_Record!$AI$6:$AI$1236</definedName>
    <definedName name="DownBounce">Progress_Record!$AL$15</definedName>
    <definedName name="DZR">Progress_Record!$O$6:$O$146</definedName>
    <definedName name="eVersion">'Set-up'!$Q$3</definedName>
    <definedName name="FCount">Progress_Record!$AB$6:$AB$106</definedName>
    <definedName name="K">Progress_Record!$AL$17</definedName>
    <definedName name="Labels">'Set-up'!$AD$5:$AD$13</definedName>
    <definedName name="LineFlag">Progress_Record!$A$10</definedName>
    <definedName name="LineTxt">Progress_Record!$A$11</definedName>
    <definedName name="Log_Count">Progress_Record!$AD$6:$AD$1244</definedName>
    <definedName name="LRarea">Progress_Record!$AB$6:$AI$1331</definedName>
    <definedName name="Lreg.DayNum">Progress_Record!$AA$6:$AA$106</definedName>
    <definedName name="LStart">Progress_Record!$AA$6</definedName>
    <definedName name="m">Progress_Record!$AL$6</definedName>
    <definedName name="Manager">'Set-up'!$C$8</definedName>
    <definedName name="MCdays">'Set-up'!$C$17</definedName>
    <definedName name="MDY">'Set-up'!$AC$3</definedName>
    <definedName name="Method">Progress_Record!$AM$15</definedName>
    <definedName name="MinELSc">Progress_Record!$BA$7</definedName>
    <definedName name="MWDY">'Set-up'!$AC$3</definedName>
    <definedName name="Offsetter">'Set-up'!$AB$3</definedName>
    <definedName name="OpSys">'Set-up'!$P$3</definedName>
    <definedName name="Order">Progress_Record!$R$6:$R$146</definedName>
    <definedName name="Organization">'Set-up'!$C$10</definedName>
    <definedName name="OSmw">Progress_Record!$AM$11</definedName>
    <definedName name="Performer">'Set-up'!$C$2</definedName>
    <definedName name="PF">Progress_Record!$H$2:$H$4</definedName>
    <definedName name="PinPoint1">'Set-up'!$C$4</definedName>
    <definedName name="PinPoint2">'Set-up'!$C$5</definedName>
    <definedName name="PinPoint3">'Set-up'!$C$6</definedName>
    <definedName name="r_2">Progress_Record!$AL$8</definedName>
    <definedName name="Ratio">Progress_Record!$AO$42:$AO$46</definedName>
    <definedName name="RawData">Progress_Record!$E$6:$H$106</definedName>
    <definedName name="RCL">Progress_Record!$Y$6:$Y$146</definedName>
    <definedName name="RCLines">'Celeration lines'!$C$48</definedName>
    <definedName name="RcRate">Progress_Record!$L$6:$L$146</definedName>
    <definedName name="RCstart">'Celeration lines'!$D$49</definedName>
    <definedName name="RecFloor">Progress_Record!$I$6:$I$146</definedName>
    <definedName name="RECORD_FLOOR">Progress_Record!$E$6:$E$146</definedName>
    <definedName name="RTN">'Set-up'!$R$3</definedName>
    <definedName name="Scalar">'Set-up'!$W$3</definedName>
    <definedName name="ScalarTbl">'Set-up'!$U$5:$AI$13</definedName>
    <definedName name="ScalingLbl">'Set-up'!$AG$3</definedName>
    <definedName name="Selector">'Set-up'!$U$5:$U$13</definedName>
    <definedName name="SelRow">'Set-up'!$U$3</definedName>
    <definedName name="SeriesRange">Progress_Record!$D$21:$AA$39</definedName>
    <definedName name="SetUpArea">'Set-up'!$C$2:$C$14</definedName>
    <definedName name="Sign">Progress_Record!$AL$11</definedName>
    <definedName name="slope">Progress_Record!$BK$23</definedName>
    <definedName name="SpreadIndex">Progress_Record!$AM$14</definedName>
    <definedName name="Start">Progress_Record!$F$2:$F$4</definedName>
    <definedName name="StartCell">Progress_Record!$E$6</definedName>
    <definedName name="Statistics1">Progress_Record!$AL$6:$AM$10</definedName>
    <definedName name="Stop">Progress_Record!$G$2:$G$4</definedName>
    <definedName name="Supervisor">'Set-up'!$C$7</definedName>
    <definedName name="SyncDate">'Set-up'!$C$15</definedName>
    <definedName name="Time_Unit">'Set-up'!$AH$3</definedName>
    <definedName name="Timer">'Set-up'!$C$13</definedName>
    <definedName name="TimeUnit">'Set-up'!$AH$5:$AH$13</definedName>
    <definedName name="Total_Bounce">Progress_Record!$AP$10</definedName>
    <definedName name="Type">'Set-up'!$V$3</definedName>
    <definedName name="Up">Progress_Record!$AH$6:$AH$1244</definedName>
    <definedName name="UpBounce">Progress_Record!$AL$14</definedName>
    <definedName name="X_AxisLabel">'Set-up'!$AE$3</definedName>
    <definedName name="Xmax">'Set-up'!$Z$3</definedName>
    <definedName name="Xmd">Progress_Record!$BK$25</definedName>
    <definedName name="Y_AxisLabel">'Set-up'!$AD$3</definedName>
    <definedName name="Ymax">'Set-up'!$X$3</definedName>
    <definedName name="Ymin">'Set-up'!$Y$3</definedName>
    <definedName name="ZeroCount">'Set-up'!$C$16</definedName>
    <definedName name="ZeroFlag">Progress_Record!$N$2</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 i="1" l="1"/>
  <c r="G5" i="1"/>
  <c r="F5" i="1"/>
  <c r="AA11" i="6"/>
  <c r="AA12" i="6"/>
  <c r="W4" i="1"/>
  <c r="N3" i="1"/>
  <c r="L10" i="6"/>
  <c r="L11" i="6"/>
  <c r="L12" i="6"/>
  <c r="L13" i="6"/>
  <c r="L14" i="6"/>
  <c r="L15" i="6"/>
  <c r="L16" i="6"/>
  <c r="L17" i="6"/>
  <c r="L18" i="6"/>
  <c r="L19" i="6"/>
  <c r="L20" i="6"/>
  <c r="L21" i="6"/>
  <c r="L22" i="6"/>
  <c r="AA3" i="1"/>
  <c r="AL17" i="1"/>
  <c r="AK22"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42" i="1"/>
  <c r="AC43" i="1"/>
  <c r="AC44" i="1"/>
  <c r="AC45" i="1"/>
  <c r="AC46" i="1"/>
  <c r="AC47" i="1"/>
  <c r="AC48" i="1"/>
  <c r="AB3"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G339" i="1"/>
  <c r="AH339" i="1"/>
  <c r="AG340" i="1"/>
  <c r="AH340" i="1"/>
  <c r="AG341" i="1"/>
  <c r="AH341" i="1"/>
  <c r="AG342" i="1"/>
  <c r="AH342" i="1"/>
  <c r="AG343" i="1"/>
  <c r="AH343" i="1"/>
  <c r="AG344" i="1"/>
  <c r="AH344" i="1"/>
  <c r="AG345" i="1"/>
  <c r="AH345" i="1"/>
  <c r="AG346" i="1"/>
  <c r="AH346" i="1"/>
  <c r="AG347" i="1"/>
  <c r="AH347" i="1"/>
  <c r="AG348" i="1"/>
  <c r="AH348" i="1"/>
  <c r="AG349" i="1"/>
  <c r="AH349" i="1"/>
  <c r="AG350" i="1"/>
  <c r="AH350" i="1"/>
  <c r="AG351" i="1"/>
  <c r="AH351" i="1"/>
  <c r="AG352" i="1"/>
  <c r="AH352" i="1"/>
  <c r="AG353" i="1"/>
  <c r="AH353" i="1"/>
  <c r="AG354" i="1"/>
  <c r="AH354" i="1"/>
  <c r="AG355" i="1"/>
  <c r="AH355" i="1"/>
  <c r="AG356" i="1"/>
  <c r="AH356" i="1"/>
  <c r="AG357" i="1"/>
  <c r="AH357" i="1"/>
  <c r="AG358" i="1"/>
  <c r="AH358" i="1"/>
  <c r="AG359" i="1"/>
  <c r="AH359" i="1"/>
  <c r="AG360" i="1"/>
  <c r="AH360" i="1"/>
  <c r="AG361" i="1"/>
  <c r="AH361" i="1"/>
  <c r="AG362" i="1"/>
  <c r="AH362" i="1"/>
  <c r="AG363" i="1"/>
  <c r="AH363" i="1"/>
  <c r="AG364" i="1"/>
  <c r="AH364" i="1"/>
  <c r="AG365" i="1"/>
  <c r="AH365" i="1"/>
  <c r="AG366" i="1"/>
  <c r="AH366" i="1"/>
  <c r="AG367" i="1"/>
  <c r="AH367" i="1"/>
  <c r="AG368" i="1"/>
  <c r="AH368" i="1"/>
  <c r="AG369" i="1"/>
  <c r="AH369" i="1"/>
  <c r="AG370" i="1"/>
  <c r="AH370" i="1"/>
  <c r="AG371" i="1"/>
  <c r="AH371" i="1"/>
  <c r="AG372" i="1"/>
  <c r="AH372" i="1"/>
  <c r="AG373" i="1"/>
  <c r="AH373" i="1"/>
  <c r="AG374" i="1"/>
  <c r="AH374" i="1"/>
  <c r="AG375" i="1"/>
  <c r="AH375" i="1"/>
  <c r="AG376" i="1"/>
  <c r="AH376" i="1"/>
  <c r="AG377" i="1"/>
  <c r="AH377" i="1"/>
  <c r="AG378" i="1"/>
  <c r="AH378" i="1"/>
  <c r="AG379" i="1"/>
  <c r="AH379" i="1"/>
  <c r="AG380" i="1"/>
  <c r="AH380" i="1"/>
  <c r="AG381" i="1"/>
  <c r="AH381" i="1"/>
  <c r="AG382" i="1"/>
  <c r="AH382" i="1"/>
  <c r="AG383" i="1"/>
  <c r="AH383" i="1"/>
  <c r="AG384" i="1"/>
  <c r="AH384" i="1"/>
  <c r="AG385" i="1"/>
  <c r="AH385" i="1"/>
  <c r="AG386" i="1"/>
  <c r="AH386" i="1"/>
  <c r="AG387" i="1"/>
  <c r="AH387" i="1"/>
  <c r="AG388" i="1"/>
  <c r="AH388" i="1"/>
  <c r="AG389" i="1"/>
  <c r="AH389" i="1"/>
  <c r="AG390" i="1"/>
  <c r="AH390" i="1"/>
  <c r="AG391" i="1"/>
  <c r="AH391" i="1"/>
  <c r="AG392" i="1"/>
  <c r="AH392" i="1"/>
  <c r="AG393" i="1"/>
  <c r="AH393" i="1"/>
  <c r="AG394" i="1"/>
  <c r="AH394" i="1"/>
  <c r="AG395" i="1"/>
  <c r="AH395" i="1"/>
  <c r="AG396" i="1"/>
  <c r="AH396" i="1"/>
  <c r="AG397" i="1"/>
  <c r="AH397" i="1"/>
  <c r="AG398" i="1"/>
  <c r="AH398" i="1"/>
  <c r="AG399" i="1"/>
  <c r="AH399" i="1"/>
  <c r="AG400" i="1"/>
  <c r="AH400" i="1"/>
  <c r="AG401" i="1"/>
  <c r="AH401" i="1"/>
  <c r="AG402" i="1"/>
  <c r="AH402" i="1"/>
  <c r="AG403" i="1"/>
  <c r="AH403" i="1"/>
  <c r="AG404" i="1"/>
  <c r="AH404" i="1"/>
  <c r="AG405" i="1"/>
  <c r="AH405" i="1"/>
  <c r="AG406" i="1"/>
  <c r="AH406" i="1"/>
  <c r="AG407" i="1"/>
  <c r="AH407" i="1"/>
  <c r="AG408" i="1"/>
  <c r="AH408" i="1"/>
  <c r="AG409" i="1"/>
  <c r="AH409" i="1"/>
  <c r="AG410" i="1"/>
  <c r="AH410" i="1"/>
  <c r="AG411" i="1"/>
  <c r="AH411" i="1"/>
  <c r="AG412" i="1"/>
  <c r="AH412" i="1"/>
  <c r="AG413" i="1"/>
  <c r="AH413" i="1"/>
  <c r="AG414" i="1"/>
  <c r="AH414" i="1"/>
  <c r="AG415" i="1"/>
  <c r="AH415" i="1"/>
  <c r="AG416" i="1"/>
  <c r="AH416" i="1"/>
  <c r="AG417" i="1"/>
  <c r="AH417" i="1"/>
  <c r="AG418" i="1"/>
  <c r="AH418" i="1"/>
  <c r="AG419" i="1"/>
  <c r="AH419" i="1"/>
  <c r="AG420" i="1"/>
  <c r="AH420" i="1"/>
  <c r="AG421" i="1"/>
  <c r="AH421" i="1"/>
  <c r="AG422" i="1"/>
  <c r="AH422" i="1"/>
  <c r="AG423" i="1"/>
  <c r="AH423" i="1"/>
  <c r="AG424" i="1"/>
  <c r="AH424" i="1"/>
  <c r="AG425" i="1"/>
  <c r="AH425" i="1"/>
  <c r="AG426" i="1"/>
  <c r="AH426" i="1"/>
  <c r="AG427" i="1"/>
  <c r="AH427" i="1"/>
  <c r="AG428" i="1"/>
  <c r="AH428" i="1"/>
  <c r="AG429" i="1"/>
  <c r="AH429" i="1"/>
  <c r="AG430" i="1"/>
  <c r="AH430" i="1"/>
  <c r="AG431" i="1"/>
  <c r="AH431" i="1"/>
  <c r="AG432" i="1"/>
  <c r="AH432" i="1"/>
  <c r="AG433" i="1"/>
  <c r="AH433" i="1"/>
  <c r="AG434" i="1"/>
  <c r="AH434" i="1"/>
  <c r="AG435" i="1"/>
  <c r="AH435" i="1"/>
  <c r="AG436" i="1"/>
  <c r="AH436" i="1"/>
  <c r="AG437" i="1"/>
  <c r="AH437" i="1"/>
  <c r="AG438" i="1"/>
  <c r="AH438" i="1"/>
  <c r="AG439" i="1"/>
  <c r="AH439" i="1"/>
  <c r="AG440" i="1"/>
  <c r="AH440" i="1"/>
  <c r="AG441" i="1"/>
  <c r="AH441" i="1"/>
  <c r="AG442" i="1"/>
  <c r="AH442" i="1"/>
  <c r="AG443" i="1"/>
  <c r="AH443" i="1"/>
  <c r="AG444" i="1"/>
  <c r="AH444" i="1"/>
  <c r="AG445" i="1"/>
  <c r="AH445" i="1"/>
  <c r="AG446" i="1"/>
  <c r="AH446" i="1"/>
  <c r="AG447" i="1"/>
  <c r="AH447" i="1"/>
  <c r="AG448" i="1"/>
  <c r="AH448" i="1"/>
  <c r="AG449" i="1"/>
  <c r="AH449" i="1"/>
  <c r="AG450" i="1"/>
  <c r="AH450" i="1"/>
  <c r="AG451" i="1"/>
  <c r="AH451" i="1"/>
  <c r="AG452" i="1"/>
  <c r="AH452" i="1"/>
  <c r="AG453" i="1"/>
  <c r="AH453" i="1"/>
  <c r="AG454" i="1"/>
  <c r="AH454" i="1"/>
  <c r="AG455" i="1"/>
  <c r="AH455" i="1"/>
  <c r="AG456" i="1"/>
  <c r="AH456" i="1"/>
  <c r="AG457" i="1"/>
  <c r="AH457" i="1"/>
  <c r="AG458" i="1"/>
  <c r="AH458" i="1"/>
  <c r="AG459" i="1"/>
  <c r="AH459" i="1"/>
  <c r="AG460" i="1"/>
  <c r="AH460" i="1"/>
  <c r="AG461" i="1"/>
  <c r="AH461" i="1"/>
  <c r="AG462" i="1"/>
  <c r="AH462" i="1"/>
  <c r="AG463" i="1"/>
  <c r="AH463" i="1"/>
  <c r="AG464" i="1"/>
  <c r="AH464" i="1"/>
  <c r="AG465" i="1"/>
  <c r="AH465" i="1"/>
  <c r="AG466" i="1"/>
  <c r="AH466" i="1"/>
  <c r="AG467" i="1"/>
  <c r="AH467" i="1"/>
  <c r="AG468" i="1"/>
  <c r="AH468" i="1"/>
  <c r="AG469" i="1"/>
  <c r="AH469" i="1"/>
  <c r="AG470" i="1"/>
  <c r="AH470" i="1"/>
  <c r="AG471" i="1"/>
  <c r="AH471" i="1"/>
  <c r="AG472" i="1"/>
  <c r="AH472" i="1"/>
  <c r="AG473" i="1"/>
  <c r="AH473" i="1"/>
  <c r="AG474" i="1"/>
  <c r="AH474" i="1"/>
  <c r="AG475" i="1"/>
  <c r="AH475" i="1"/>
  <c r="AG476" i="1"/>
  <c r="AH476" i="1"/>
  <c r="AG477" i="1"/>
  <c r="AH477" i="1"/>
  <c r="AG478" i="1"/>
  <c r="AH478" i="1"/>
  <c r="AG479" i="1"/>
  <c r="AH479" i="1"/>
  <c r="AG480" i="1"/>
  <c r="AH480" i="1"/>
  <c r="AG481" i="1"/>
  <c r="AH481" i="1"/>
  <c r="AG482" i="1"/>
  <c r="AH482" i="1"/>
  <c r="AG483" i="1"/>
  <c r="AH483" i="1"/>
  <c r="AG484" i="1"/>
  <c r="AH484" i="1"/>
  <c r="AG485" i="1"/>
  <c r="AH485" i="1"/>
  <c r="AG486" i="1"/>
  <c r="AH486" i="1"/>
  <c r="AG487" i="1"/>
  <c r="AH487" i="1"/>
  <c r="AG488" i="1"/>
  <c r="AH488" i="1"/>
  <c r="AG489" i="1"/>
  <c r="AH489" i="1"/>
  <c r="AG490" i="1"/>
  <c r="AH490" i="1"/>
  <c r="AG491" i="1"/>
  <c r="AH491" i="1"/>
  <c r="AG492" i="1"/>
  <c r="AH492" i="1"/>
  <c r="AG493" i="1"/>
  <c r="AH493" i="1"/>
  <c r="AG494" i="1"/>
  <c r="AH494" i="1"/>
  <c r="AG495" i="1"/>
  <c r="AH495" i="1"/>
  <c r="AG496" i="1"/>
  <c r="AH496" i="1"/>
  <c r="AG497" i="1"/>
  <c r="AH497" i="1"/>
  <c r="AG498" i="1"/>
  <c r="AH498" i="1"/>
  <c r="AG499" i="1"/>
  <c r="AH499" i="1"/>
  <c r="AG500" i="1"/>
  <c r="AH500" i="1"/>
  <c r="AG501" i="1"/>
  <c r="AH501" i="1"/>
  <c r="AG502" i="1"/>
  <c r="AH502" i="1"/>
  <c r="AG503" i="1"/>
  <c r="AH503" i="1"/>
  <c r="AG504" i="1"/>
  <c r="AH504" i="1"/>
  <c r="AG505" i="1"/>
  <c r="AH505" i="1"/>
  <c r="AG506" i="1"/>
  <c r="AH506" i="1"/>
  <c r="AG507" i="1"/>
  <c r="AH507" i="1"/>
  <c r="AG508" i="1"/>
  <c r="AH508" i="1"/>
  <c r="AG509" i="1"/>
  <c r="AH509" i="1"/>
  <c r="AG510" i="1"/>
  <c r="AH510" i="1"/>
  <c r="AG511" i="1"/>
  <c r="AH511" i="1"/>
  <c r="AG512" i="1"/>
  <c r="AH512" i="1"/>
  <c r="AG513" i="1"/>
  <c r="AH513" i="1"/>
  <c r="AG514" i="1"/>
  <c r="AH514" i="1"/>
  <c r="AG515" i="1"/>
  <c r="AH515" i="1"/>
  <c r="AG516" i="1"/>
  <c r="AH516" i="1"/>
  <c r="AG517" i="1"/>
  <c r="AH517" i="1"/>
  <c r="AG518" i="1"/>
  <c r="AH518" i="1"/>
  <c r="AG519" i="1"/>
  <c r="AH519" i="1"/>
  <c r="AG520" i="1"/>
  <c r="AH520" i="1"/>
  <c r="AG521" i="1"/>
  <c r="AH521" i="1"/>
  <c r="AG522" i="1"/>
  <c r="AH522" i="1"/>
  <c r="AG523" i="1"/>
  <c r="AH523" i="1"/>
  <c r="AG524" i="1"/>
  <c r="AH524" i="1"/>
  <c r="AG525" i="1"/>
  <c r="AH525" i="1"/>
  <c r="AG526" i="1"/>
  <c r="AH526" i="1"/>
  <c r="AG527" i="1"/>
  <c r="AH527" i="1"/>
  <c r="AG528" i="1"/>
  <c r="AH528" i="1"/>
  <c r="AG529" i="1"/>
  <c r="AH529" i="1"/>
  <c r="AG530" i="1"/>
  <c r="AH530" i="1"/>
  <c r="AG531" i="1"/>
  <c r="AH531" i="1"/>
  <c r="AG532" i="1"/>
  <c r="AH532" i="1"/>
  <c r="AG533" i="1"/>
  <c r="AH533" i="1"/>
  <c r="AG534" i="1"/>
  <c r="AH534" i="1"/>
  <c r="AG535" i="1"/>
  <c r="AH535" i="1"/>
  <c r="AG536" i="1"/>
  <c r="AH536" i="1"/>
  <c r="AG537" i="1"/>
  <c r="AH537" i="1"/>
  <c r="AG538" i="1"/>
  <c r="AH538" i="1"/>
  <c r="AG539" i="1"/>
  <c r="AH539" i="1"/>
  <c r="AG540" i="1"/>
  <c r="AH540" i="1"/>
  <c r="AG541" i="1"/>
  <c r="AH541" i="1"/>
  <c r="AG542" i="1"/>
  <c r="AH542" i="1"/>
  <c r="AG543" i="1"/>
  <c r="AH543" i="1"/>
  <c r="AG544" i="1"/>
  <c r="AH544" i="1"/>
  <c r="AG545" i="1"/>
  <c r="AH545" i="1"/>
  <c r="AG546" i="1"/>
  <c r="AH546" i="1"/>
  <c r="AG547" i="1"/>
  <c r="AH547" i="1"/>
  <c r="AG548" i="1"/>
  <c r="AH548" i="1"/>
  <c r="AG549" i="1"/>
  <c r="AH549" i="1"/>
  <c r="AG550" i="1"/>
  <c r="AH550" i="1"/>
  <c r="AG551" i="1"/>
  <c r="AH551" i="1"/>
  <c r="AG552" i="1"/>
  <c r="AH552" i="1"/>
  <c r="AG553" i="1"/>
  <c r="AH553" i="1"/>
  <c r="AG554" i="1"/>
  <c r="AH554" i="1"/>
  <c r="AG555" i="1"/>
  <c r="AH555" i="1"/>
  <c r="AG556" i="1"/>
  <c r="AH556" i="1"/>
  <c r="AG557" i="1"/>
  <c r="AH557" i="1"/>
  <c r="AG558" i="1"/>
  <c r="AH558" i="1"/>
  <c r="AG559" i="1"/>
  <c r="AH559" i="1"/>
  <c r="AG560" i="1"/>
  <c r="AH560" i="1"/>
  <c r="AG561" i="1"/>
  <c r="AH561" i="1"/>
  <c r="AG562" i="1"/>
  <c r="AH562" i="1"/>
  <c r="AG563" i="1"/>
  <c r="AH563" i="1"/>
  <c r="AG564" i="1"/>
  <c r="AH564" i="1"/>
  <c r="AG565" i="1"/>
  <c r="AH565" i="1"/>
  <c r="AG566" i="1"/>
  <c r="AH566" i="1"/>
  <c r="AG567" i="1"/>
  <c r="AH567" i="1"/>
  <c r="AG568" i="1"/>
  <c r="AH568" i="1"/>
  <c r="AG569" i="1"/>
  <c r="AH569" i="1"/>
  <c r="AG570" i="1"/>
  <c r="AH570" i="1"/>
  <c r="AG571" i="1"/>
  <c r="AH571" i="1"/>
  <c r="AG572" i="1"/>
  <c r="AH572" i="1"/>
  <c r="AG573" i="1"/>
  <c r="AH573" i="1"/>
  <c r="AG574" i="1"/>
  <c r="AH574" i="1"/>
  <c r="AG575" i="1"/>
  <c r="AH575" i="1"/>
  <c r="AG576" i="1"/>
  <c r="AH576" i="1"/>
  <c r="AG577" i="1"/>
  <c r="AH577" i="1"/>
  <c r="AG578" i="1"/>
  <c r="AH578" i="1"/>
  <c r="AG579" i="1"/>
  <c r="AH579" i="1"/>
  <c r="AG580" i="1"/>
  <c r="AH580" i="1"/>
  <c r="AG581" i="1"/>
  <c r="AH581" i="1"/>
  <c r="AG582" i="1"/>
  <c r="AH582" i="1"/>
  <c r="AG583" i="1"/>
  <c r="AH583" i="1"/>
  <c r="AG584" i="1"/>
  <c r="AH584" i="1"/>
  <c r="AG585" i="1"/>
  <c r="AH585" i="1"/>
  <c r="AG586" i="1"/>
  <c r="AH586" i="1"/>
  <c r="AG587" i="1"/>
  <c r="AH587" i="1"/>
  <c r="AG588" i="1"/>
  <c r="AH588" i="1"/>
  <c r="AG589" i="1"/>
  <c r="AH589" i="1"/>
  <c r="AG590" i="1"/>
  <c r="AH590" i="1"/>
  <c r="AG591" i="1"/>
  <c r="AH591" i="1"/>
  <c r="AG592" i="1"/>
  <c r="AH592" i="1"/>
  <c r="AG593" i="1"/>
  <c r="AH593" i="1"/>
  <c r="AG594" i="1"/>
  <c r="AH594" i="1"/>
  <c r="AG595" i="1"/>
  <c r="AH595" i="1"/>
  <c r="AG596" i="1"/>
  <c r="AH596" i="1"/>
  <c r="AG597" i="1"/>
  <c r="AH597" i="1"/>
  <c r="AG598" i="1"/>
  <c r="AH598" i="1"/>
  <c r="AG599" i="1"/>
  <c r="AH599" i="1"/>
  <c r="AG600" i="1"/>
  <c r="AH600" i="1"/>
  <c r="AG601" i="1"/>
  <c r="AH601" i="1"/>
  <c r="AG602" i="1"/>
  <c r="AH602" i="1"/>
  <c r="AG603" i="1"/>
  <c r="AH603" i="1"/>
  <c r="AG604" i="1"/>
  <c r="AH604" i="1"/>
  <c r="AG605" i="1"/>
  <c r="AH605" i="1"/>
  <c r="AG606" i="1"/>
  <c r="AH606" i="1"/>
  <c r="AG607" i="1"/>
  <c r="AH607" i="1"/>
  <c r="AG608" i="1"/>
  <c r="AH608" i="1"/>
  <c r="AG609" i="1"/>
  <c r="AH609" i="1"/>
  <c r="AG610" i="1"/>
  <c r="AH610" i="1"/>
  <c r="AG611" i="1"/>
  <c r="AH611" i="1"/>
  <c r="AG612" i="1"/>
  <c r="AH612" i="1"/>
  <c r="AG613" i="1"/>
  <c r="AH613" i="1"/>
  <c r="AG614" i="1"/>
  <c r="AH614" i="1"/>
  <c r="AG615" i="1"/>
  <c r="AH615" i="1"/>
  <c r="AG616" i="1"/>
  <c r="AH616" i="1"/>
  <c r="AG617" i="1"/>
  <c r="AH617" i="1"/>
  <c r="AG618" i="1"/>
  <c r="AH618" i="1"/>
  <c r="AG619" i="1"/>
  <c r="AH619" i="1"/>
  <c r="AG620" i="1"/>
  <c r="AH620" i="1"/>
  <c r="AG621" i="1"/>
  <c r="AH621" i="1"/>
  <c r="AG622" i="1"/>
  <c r="AH622" i="1"/>
  <c r="AG623" i="1"/>
  <c r="AH623" i="1"/>
  <c r="AG624" i="1"/>
  <c r="AH624" i="1"/>
  <c r="AG625" i="1"/>
  <c r="AH625" i="1"/>
  <c r="AG626" i="1"/>
  <c r="AH626" i="1"/>
  <c r="AG627" i="1"/>
  <c r="AH627" i="1"/>
  <c r="AG628" i="1"/>
  <c r="AH628" i="1"/>
  <c r="AG629" i="1"/>
  <c r="AH629" i="1"/>
  <c r="AG630" i="1"/>
  <c r="AH630" i="1"/>
  <c r="AG631" i="1"/>
  <c r="AH631" i="1"/>
  <c r="AG632" i="1"/>
  <c r="AH632" i="1"/>
  <c r="AG633" i="1"/>
  <c r="AH633" i="1"/>
  <c r="AG634" i="1"/>
  <c r="AH634" i="1"/>
  <c r="AG635" i="1"/>
  <c r="AH635" i="1"/>
  <c r="AG636" i="1"/>
  <c r="AH636" i="1"/>
  <c r="AG637" i="1"/>
  <c r="AH637" i="1"/>
  <c r="AG638" i="1"/>
  <c r="AH638" i="1"/>
  <c r="AG639" i="1"/>
  <c r="AH639" i="1"/>
  <c r="AG640" i="1"/>
  <c r="AH640" i="1"/>
  <c r="AG641" i="1"/>
  <c r="AH641" i="1"/>
  <c r="AG642" i="1"/>
  <c r="AH642" i="1"/>
  <c r="AG643" i="1"/>
  <c r="AH643" i="1"/>
  <c r="AG644" i="1"/>
  <c r="AH644" i="1"/>
  <c r="AG645" i="1"/>
  <c r="AH645" i="1"/>
  <c r="AG646" i="1"/>
  <c r="AH646" i="1"/>
  <c r="AG647" i="1"/>
  <c r="AH647" i="1"/>
  <c r="AG648" i="1"/>
  <c r="AH648" i="1"/>
  <c r="AG649" i="1"/>
  <c r="AH649" i="1"/>
  <c r="AG650" i="1"/>
  <c r="AH650" i="1"/>
  <c r="AG651" i="1"/>
  <c r="AH651" i="1"/>
  <c r="AG652" i="1"/>
  <c r="AH652" i="1"/>
  <c r="AG653" i="1"/>
  <c r="AH653" i="1"/>
  <c r="AG654" i="1"/>
  <c r="AH654" i="1"/>
  <c r="AG655" i="1"/>
  <c r="AH655" i="1"/>
  <c r="AG656" i="1"/>
  <c r="AH656" i="1"/>
  <c r="AG657" i="1"/>
  <c r="AH657" i="1"/>
  <c r="AG658" i="1"/>
  <c r="AH658" i="1"/>
  <c r="AG659" i="1"/>
  <c r="AH659" i="1"/>
  <c r="AG660" i="1"/>
  <c r="AH660" i="1"/>
  <c r="AG661" i="1"/>
  <c r="AH661" i="1"/>
  <c r="AG662" i="1"/>
  <c r="AH662" i="1"/>
  <c r="AG663" i="1"/>
  <c r="AH663" i="1"/>
  <c r="AG664" i="1"/>
  <c r="AH664" i="1"/>
  <c r="AG665" i="1"/>
  <c r="AH665" i="1"/>
  <c r="AG666" i="1"/>
  <c r="AH666" i="1"/>
  <c r="AG667" i="1"/>
  <c r="AH667" i="1"/>
  <c r="AG668" i="1"/>
  <c r="AH668" i="1"/>
  <c r="AG669" i="1"/>
  <c r="AH669" i="1"/>
  <c r="AG670" i="1"/>
  <c r="AH670" i="1"/>
  <c r="AG671" i="1"/>
  <c r="AH671" i="1"/>
  <c r="AG672" i="1"/>
  <c r="AH672" i="1"/>
  <c r="AG673" i="1"/>
  <c r="AH673" i="1"/>
  <c r="AG674" i="1"/>
  <c r="AH674" i="1"/>
  <c r="AG675" i="1"/>
  <c r="AH675" i="1"/>
  <c r="AG676" i="1"/>
  <c r="AH676" i="1"/>
  <c r="AG677" i="1"/>
  <c r="AH677" i="1"/>
  <c r="AG678" i="1"/>
  <c r="AH678" i="1"/>
  <c r="AG679" i="1"/>
  <c r="AH679" i="1"/>
  <c r="AG680" i="1"/>
  <c r="AH680" i="1"/>
  <c r="AG681" i="1"/>
  <c r="AH681" i="1"/>
  <c r="AG682" i="1"/>
  <c r="AH682" i="1"/>
  <c r="AG683" i="1"/>
  <c r="AH683" i="1"/>
  <c r="AG684" i="1"/>
  <c r="AH684" i="1"/>
  <c r="AG685" i="1"/>
  <c r="AH685" i="1"/>
  <c r="AG686" i="1"/>
  <c r="AH686" i="1"/>
  <c r="AG687" i="1"/>
  <c r="AH687" i="1"/>
  <c r="AG688" i="1"/>
  <c r="AH688" i="1"/>
  <c r="AG689" i="1"/>
  <c r="AH689" i="1"/>
  <c r="AG690" i="1"/>
  <c r="AH690" i="1"/>
  <c r="AG691" i="1"/>
  <c r="AH691" i="1"/>
  <c r="AG692" i="1"/>
  <c r="AH692" i="1"/>
  <c r="AG693" i="1"/>
  <c r="AH693" i="1"/>
  <c r="AG694" i="1"/>
  <c r="AH694" i="1"/>
  <c r="AG695" i="1"/>
  <c r="AH695" i="1"/>
  <c r="AG696" i="1"/>
  <c r="AH696" i="1"/>
  <c r="AG697" i="1"/>
  <c r="AH697" i="1"/>
  <c r="AG698" i="1"/>
  <c r="AH698" i="1"/>
  <c r="AG699" i="1"/>
  <c r="AH699" i="1"/>
  <c r="AG700" i="1"/>
  <c r="AH700" i="1"/>
  <c r="AG701" i="1"/>
  <c r="AH701" i="1"/>
  <c r="AG702" i="1"/>
  <c r="AH702" i="1"/>
  <c r="AG703" i="1"/>
  <c r="AH703" i="1"/>
  <c r="AG704" i="1"/>
  <c r="AH704" i="1"/>
  <c r="AG705" i="1"/>
  <c r="AH705" i="1"/>
  <c r="AG706" i="1"/>
  <c r="AH706" i="1"/>
  <c r="AG707" i="1"/>
  <c r="AH707" i="1"/>
  <c r="AG708" i="1"/>
  <c r="AH708" i="1"/>
  <c r="AG709" i="1"/>
  <c r="AH709" i="1"/>
  <c r="AG710" i="1"/>
  <c r="AH710" i="1"/>
  <c r="AG711" i="1"/>
  <c r="AH711" i="1"/>
  <c r="AG712" i="1"/>
  <c r="AH712" i="1"/>
  <c r="AG713" i="1"/>
  <c r="AH713" i="1"/>
  <c r="AG714" i="1"/>
  <c r="AH714" i="1"/>
  <c r="AG715" i="1"/>
  <c r="AH715" i="1"/>
  <c r="AG716" i="1"/>
  <c r="AH716" i="1"/>
  <c r="AG717" i="1"/>
  <c r="AH717" i="1"/>
  <c r="AG718" i="1"/>
  <c r="AH718" i="1"/>
  <c r="AG719" i="1"/>
  <c r="AH719" i="1"/>
  <c r="AG720" i="1"/>
  <c r="AH720" i="1"/>
  <c r="AG721" i="1"/>
  <c r="AH721" i="1"/>
  <c r="AG722" i="1"/>
  <c r="AH722" i="1"/>
  <c r="AG723" i="1"/>
  <c r="AH723" i="1"/>
  <c r="AG724" i="1"/>
  <c r="AH724" i="1"/>
  <c r="AG725" i="1"/>
  <c r="AH725" i="1"/>
  <c r="AG726" i="1"/>
  <c r="AH726" i="1"/>
  <c r="AG727" i="1"/>
  <c r="AH727" i="1"/>
  <c r="AG728" i="1"/>
  <c r="AH728" i="1"/>
  <c r="AG729" i="1"/>
  <c r="AH729" i="1"/>
  <c r="AG730" i="1"/>
  <c r="AH730" i="1"/>
  <c r="AG731" i="1"/>
  <c r="AH731" i="1"/>
  <c r="AG732" i="1"/>
  <c r="AH732" i="1"/>
  <c r="AG733" i="1"/>
  <c r="AH733" i="1"/>
  <c r="AG734" i="1"/>
  <c r="AH734" i="1"/>
  <c r="AG735" i="1"/>
  <c r="AH735" i="1"/>
  <c r="AG736" i="1"/>
  <c r="AH736" i="1"/>
  <c r="AG737" i="1"/>
  <c r="AH737" i="1"/>
  <c r="AG738" i="1"/>
  <c r="AH738" i="1"/>
  <c r="AG739" i="1"/>
  <c r="AH739" i="1"/>
  <c r="AG740" i="1"/>
  <c r="AH740" i="1"/>
  <c r="AG741" i="1"/>
  <c r="AH741" i="1"/>
  <c r="AG742" i="1"/>
  <c r="AH742" i="1"/>
  <c r="AG743" i="1"/>
  <c r="AH743" i="1"/>
  <c r="AG744" i="1"/>
  <c r="AH744" i="1"/>
  <c r="AG745" i="1"/>
  <c r="AH745" i="1"/>
  <c r="AG746" i="1"/>
  <c r="AH746" i="1"/>
  <c r="AG747" i="1"/>
  <c r="AH747" i="1"/>
  <c r="AG748" i="1"/>
  <c r="AH748" i="1"/>
  <c r="AG749" i="1"/>
  <c r="AH749" i="1"/>
  <c r="AG750" i="1"/>
  <c r="AH750" i="1"/>
  <c r="AG751" i="1"/>
  <c r="AH751" i="1"/>
  <c r="AG752" i="1"/>
  <c r="AH752" i="1"/>
  <c r="AG753" i="1"/>
  <c r="AH753" i="1"/>
  <c r="AG754" i="1"/>
  <c r="AH754" i="1"/>
  <c r="AG755" i="1"/>
  <c r="AH755" i="1"/>
  <c r="AG756" i="1"/>
  <c r="AH756" i="1"/>
  <c r="AG757" i="1"/>
  <c r="AH757" i="1"/>
  <c r="AG758" i="1"/>
  <c r="AH758" i="1"/>
  <c r="AG759" i="1"/>
  <c r="AH759" i="1"/>
  <c r="AG760" i="1"/>
  <c r="AH760" i="1"/>
  <c r="AG761" i="1"/>
  <c r="AH761" i="1"/>
  <c r="AG762" i="1"/>
  <c r="AH762" i="1"/>
  <c r="AG763" i="1"/>
  <c r="AH763" i="1"/>
  <c r="AG764" i="1"/>
  <c r="AH764" i="1"/>
  <c r="AG765" i="1"/>
  <c r="AH765" i="1"/>
  <c r="AG766" i="1"/>
  <c r="AH766" i="1"/>
  <c r="AG767" i="1"/>
  <c r="AH767" i="1"/>
  <c r="AG768" i="1"/>
  <c r="AH768" i="1"/>
  <c r="AG769" i="1"/>
  <c r="AH769" i="1"/>
  <c r="AG770" i="1"/>
  <c r="AH770" i="1"/>
  <c r="AG771" i="1"/>
  <c r="AH771" i="1"/>
  <c r="AG772" i="1"/>
  <c r="AH772" i="1"/>
  <c r="AG773" i="1"/>
  <c r="AH773" i="1"/>
  <c r="AG774" i="1"/>
  <c r="AH774" i="1"/>
  <c r="AG775" i="1"/>
  <c r="AH775" i="1"/>
  <c r="AG776" i="1"/>
  <c r="AH776" i="1"/>
  <c r="AG777" i="1"/>
  <c r="AH777" i="1"/>
  <c r="AG778" i="1"/>
  <c r="AH778" i="1"/>
  <c r="AG779" i="1"/>
  <c r="AH779" i="1"/>
  <c r="AG780" i="1"/>
  <c r="AH780" i="1"/>
  <c r="AG781" i="1"/>
  <c r="AH781" i="1"/>
  <c r="AG782" i="1"/>
  <c r="AH782" i="1"/>
  <c r="AG783" i="1"/>
  <c r="AH783" i="1"/>
  <c r="AG784" i="1"/>
  <c r="AH784" i="1"/>
  <c r="AG785" i="1"/>
  <c r="AH785" i="1"/>
  <c r="AG786" i="1"/>
  <c r="AH786" i="1"/>
  <c r="AG787" i="1"/>
  <c r="AH787" i="1"/>
  <c r="AG788" i="1"/>
  <c r="AH788" i="1"/>
  <c r="AG789" i="1"/>
  <c r="AH789" i="1"/>
  <c r="AG790" i="1"/>
  <c r="AH790" i="1"/>
  <c r="AG791" i="1"/>
  <c r="AH791" i="1"/>
  <c r="AG792" i="1"/>
  <c r="AH792" i="1"/>
  <c r="AG793" i="1"/>
  <c r="AH793" i="1"/>
  <c r="AG794" i="1"/>
  <c r="AH794" i="1"/>
  <c r="AG795" i="1"/>
  <c r="AH795" i="1"/>
  <c r="AG796" i="1"/>
  <c r="AH796" i="1"/>
  <c r="AG797" i="1"/>
  <c r="AH797" i="1"/>
  <c r="AG798" i="1"/>
  <c r="AH798" i="1"/>
  <c r="AG799" i="1"/>
  <c r="AH799" i="1"/>
  <c r="AG800" i="1"/>
  <c r="AH800" i="1"/>
  <c r="AG801" i="1"/>
  <c r="AH801" i="1"/>
  <c r="AG802" i="1"/>
  <c r="AH802" i="1"/>
  <c r="AG803" i="1"/>
  <c r="AH803" i="1"/>
  <c r="AG804" i="1"/>
  <c r="AH804" i="1"/>
  <c r="AG805" i="1"/>
  <c r="AH805" i="1"/>
  <c r="AG806" i="1"/>
  <c r="AH806" i="1"/>
  <c r="AG807" i="1"/>
  <c r="AH807" i="1"/>
  <c r="AG808" i="1"/>
  <c r="AH808" i="1"/>
  <c r="AG809" i="1"/>
  <c r="AH809" i="1"/>
  <c r="AG810" i="1"/>
  <c r="AH810" i="1"/>
  <c r="AG811" i="1"/>
  <c r="AH811" i="1"/>
  <c r="AG812" i="1"/>
  <c r="AH812" i="1"/>
  <c r="AG813" i="1"/>
  <c r="AH813" i="1"/>
  <c r="AG814" i="1"/>
  <c r="AH814" i="1"/>
  <c r="AG815" i="1"/>
  <c r="AH815" i="1"/>
  <c r="AG816" i="1"/>
  <c r="AH816" i="1"/>
  <c r="AG817" i="1"/>
  <c r="AH817" i="1"/>
  <c r="AG818" i="1"/>
  <c r="AH818" i="1"/>
  <c r="AG819" i="1"/>
  <c r="AH819" i="1"/>
  <c r="AG820" i="1"/>
  <c r="AH820" i="1"/>
  <c r="AG821" i="1"/>
  <c r="AH821" i="1"/>
  <c r="AG822" i="1"/>
  <c r="AH822" i="1"/>
  <c r="AG823" i="1"/>
  <c r="AH823" i="1"/>
  <c r="AG824" i="1"/>
  <c r="AH824" i="1"/>
  <c r="AG825" i="1"/>
  <c r="AH825" i="1"/>
  <c r="AG826" i="1"/>
  <c r="AH826" i="1"/>
  <c r="AG827" i="1"/>
  <c r="AH827" i="1"/>
  <c r="AG828" i="1"/>
  <c r="AH828" i="1"/>
  <c r="AG829" i="1"/>
  <c r="AH829" i="1"/>
  <c r="AG830" i="1"/>
  <c r="AH830" i="1"/>
  <c r="AG831" i="1"/>
  <c r="AH831" i="1"/>
  <c r="AG832" i="1"/>
  <c r="AH832" i="1"/>
  <c r="AG833" i="1"/>
  <c r="AH833" i="1"/>
  <c r="AG834" i="1"/>
  <c r="AH834" i="1"/>
  <c r="AG835" i="1"/>
  <c r="AH835" i="1"/>
  <c r="AG836" i="1"/>
  <c r="AH836" i="1"/>
  <c r="AG837" i="1"/>
  <c r="AH837" i="1"/>
  <c r="AG838" i="1"/>
  <c r="AH838" i="1"/>
  <c r="AG839" i="1"/>
  <c r="AH839" i="1"/>
  <c r="AG840" i="1"/>
  <c r="AH840" i="1"/>
  <c r="AG841" i="1"/>
  <c r="AH841" i="1"/>
  <c r="AG842" i="1"/>
  <c r="AH842" i="1"/>
  <c r="AG843" i="1"/>
  <c r="AH843" i="1"/>
  <c r="AG844" i="1"/>
  <c r="AH844" i="1"/>
  <c r="AG845" i="1"/>
  <c r="AH845" i="1"/>
  <c r="AG846" i="1"/>
  <c r="AH846" i="1"/>
  <c r="AG847" i="1"/>
  <c r="AH847" i="1"/>
  <c r="AG848" i="1"/>
  <c r="AH848" i="1"/>
  <c r="AG849" i="1"/>
  <c r="AH849" i="1"/>
  <c r="AG850" i="1"/>
  <c r="AH850" i="1"/>
  <c r="AG851" i="1"/>
  <c r="AH851" i="1"/>
  <c r="AG852" i="1"/>
  <c r="AH852" i="1"/>
  <c r="AG853" i="1"/>
  <c r="AH853" i="1"/>
  <c r="AG854" i="1"/>
  <c r="AH854" i="1"/>
  <c r="AG855" i="1"/>
  <c r="AH855" i="1"/>
  <c r="AG856" i="1"/>
  <c r="AH856" i="1"/>
  <c r="AG857" i="1"/>
  <c r="AH857" i="1"/>
  <c r="AG858" i="1"/>
  <c r="AH858" i="1"/>
  <c r="AG859" i="1"/>
  <c r="AH859" i="1"/>
  <c r="AG860" i="1"/>
  <c r="AH860" i="1"/>
  <c r="AG861" i="1"/>
  <c r="AH861" i="1"/>
  <c r="AG862" i="1"/>
  <c r="AH862" i="1"/>
  <c r="AG863" i="1"/>
  <c r="AH863" i="1"/>
  <c r="AG864" i="1"/>
  <c r="AH864" i="1"/>
  <c r="AG865" i="1"/>
  <c r="AH865" i="1"/>
  <c r="AG866" i="1"/>
  <c r="AH866" i="1"/>
  <c r="AG867" i="1"/>
  <c r="AH867" i="1"/>
  <c r="AG868" i="1"/>
  <c r="AH868" i="1"/>
  <c r="AG869" i="1"/>
  <c r="AH869" i="1"/>
  <c r="AG870" i="1"/>
  <c r="AH870" i="1"/>
  <c r="AG871" i="1"/>
  <c r="AH871" i="1"/>
  <c r="AG872" i="1"/>
  <c r="AH872" i="1"/>
  <c r="AG873" i="1"/>
  <c r="AH873" i="1"/>
  <c r="AG874" i="1"/>
  <c r="AH874" i="1"/>
  <c r="AG875" i="1"/>
  <c r="AH875" i="1"/>
  <c r="AG876" i="1"/>
  <c r="AH876" i="1"/>
  <c r="AG877" i="1"/>
  <c r="AH877" i="1"/>
  <c r="AG878" i="1"/>
  <c r="AH878" i="1"/>
  <c r="AG879" i="1"/>
  <c r="AH879" i="1"/>
  <c r="AG880" i="1"/>
  <c r="AH880" i="1"/>
  <c r="AG881" i="1"/>
  <c r="AH881" i="1"/>
  <c r="AG882" i="1"/>
  <c r="AH882" i="1"/>
  <c r="AG883" i="1"/>
  <c r="AH883" i="1"/>
  <c r="AG884" i="1"/>
  <c r="AH884" i="1"/>
  <c r="AG885" i="1"/>
  <c r="AH885" i="1"/>
  <c r="AG886" i="1"/>
  <c r="AH886" i="1"/>
  <c r="AG887" i="1"/>
  <c r="AH887" i="1"/>
  <c r="AG888" i="1"/>
  <c r="AH888" i="1"/>
  <c r="AG889" i="1"/>
  <c r="AH889" i="1"/>
  <c r="AG890" i="1"/>
  <c r="AH890" i="1"/>
  <c r="AG891" i="1"/>
  <c r="AH891" i="1"/>
  <c r="AG892" i="1"/>
  <c r="AH892" i="1"/>
  <c r="AG893" i="1"/>
  <c r="AH893" i="1"/>
  <c r="AG894" i="1"/>
  <c r="AH894" i="1"/>
  <c r="AG895" i="1"/>
  <c r="AH895" i="1"/>
  <c r="AG896" i="1"/>
  <c r="AH896" i="1"/>
  <c r="AG897" i="1"/>
  <c r="AH897" i="1"/>
  <c r="AG898" i="1"/>
  <c r="AH898" i="1"/>
  <c r="AG899" i="1"/>
  <c r="AH899" i="1"/>
  <c r="AG900" i="1"/>
  <c r="AH900" i="1"/>
  <c r="AG901" i="1"/>
  <c r="AH901" i="1"/>
  <c r="AG902" i="1"/>
  <c r="AH902" i="1"/>
  <c r="AG903" i="1"/>
  <c r="AH903" i="1"/>
  <c r="AG904" i="1"/>
  <c r="AH904" i="1"/>
  <c r="AG905" i="1"/>
  <c r="AH905" i="1"/>
  <c r="AG906" i="1"/>
  <c r="AH906" i="1"/>
  <c r="AG907" i="1"/>
  <c r="AH907" i="1"/>
  <c r="AG908" i="1"/>
  <c r="AH908" i="1"/>
  <c r="AG909" i="1"/>
  <c r="AH909" i="1"/>
  <c r="AG910" i="1"/>
  <c r="AH910" i="1"/>
  <c r="AG911" i="1"/>
  <c r="AH911" i="1"/>
  <c r="AG912" i="1"/>
  <c r="AH912" i="1"/>
  <c r="AG913" i="1"/>
  <c r="AH913" i="1"/>
  <c r="AG914" i="1"/>
  <c r="AH914" i="1"/>
  <c r="AG915" i="1"/>
  <c r="AH915" i="1"/>
  <c r="AG916" i="1"/>
  <c r="AH916" i="1"/>
  <c r="AG917" i="1"/>
  <c r="AH917" i="1"/>
  <c r="AG918" i="1"/>
  <c r="AH918" i="1"/>
  <c r="AG919" i="1"/>
  <c r="AH919" i="1"/>
  <c r="AG920" i="1"/>
  <c r="AH920" i="1"/>
  <c r="AG921" i="1"/>
  <c r="AH921" i="1"/>
  <c r="AG922" i="1"/>
  <c r="AH922" i="1"/>
  <c r="AG923" i="1"/>
  <c r="AH923" i="1"/>
  <c r="AG924" i="1"/>
  <c r="AH924" i="1"/>
  <c r="AG925" i="1"/>
  <c r="AH925" i="1"/>
  <c r="AG926" i="1"/>
  <c r="AH926" i="1"/>
  <c r="AG927" i="1"/>
  <c r="AH927" i="1"/>
  <c r="AG928" i="1"/>
  <c r="AH928" i="1"/>
  <c r="AG929" i="1"/>
  <c r="AH929" i="1"/>
  <c r="AG930" i="1"/>
  <c r="AH930" i="1"/>
  <c r="AG931" i="1"/>
  <c r="AH931" i="1"/>
  <c r="AG932" i="1"/>
  <c r="AH932" i="1"/>
  <c r="AG933" i="1"/>
  <c r="AH933" i="1"/>
  <c r="AG934" i="1"/>
  <c r="AH934" i="1"/>
  <c r="AG935" i="1"/>
  <c r="AH935" i="1"/>
  <c r="AG936" i="1"/>
  <c r="AH936" i="1"/>
  <c r="AG937" i="1"/>
  <c r="AH937" i="1"/>
  <c r="AG938" i="1"/>
  <c r="AH938" i="1"/>
  <c r="AG939" i="1"/>
  <c r="AH939" i="1"/>
  <c r="AG940" i="1"/>
  <c r="AH940" i="1"/>
  <c r="AG941" i="1"/>
  <c r="AH941" i="1"/>
  <c r="AG942" i="1"/>
  <c r="AH942" i="1"/>
  <c r="AG943" i="1"/>
  <c r="AH943" i="1"/>
  <c r="AG944" i="1"/>
  <c r="AH944" i="1"/>
  <c r="AG945" i="1"/>
  <c r="AH945" i="1"/>
  <c r="AG946" i="1"/>
  <c r="AH946" i="1"/>
  <c r="AG947" i="1"/>
  <c r="AH947" i="1"/>
  <c r="AG948" i="1"/>
  <c r="AH948" i="1"/>
  <c r="AG949" i="1"/>
  <c r="AH949" i="1"/>
  <c r="AG950" i="1"/>
  <c r="AH950" i="1"/>
  <c r="AG951" i="1"/>
  <c r="AH951" i="1"/>
  <c r="AG952" i="1"/>
  <c r="AH952" i="1"/>
  <c r="AG953" i="1"/>
  <c r="AH953" i="1"/>
  <c r="AG954" i="1"/>
  <c r="AH954" i="1"/>
  <c r="AG955" i="1"/>
  <c r="AH955" i="1"/>
  <c r="AG956" i="1"/>
  <c r="AH956" i="1"/>
  <c r="AG957" i="1"/>
  <c r="AH957" i="1"/>
  <c r="AG958" i="1"/>
  <c r="AH958" i="1"/>
  <c r="AG959" i="1"/>
  <c r="AH959" i="1"/>
  <c r="AG960" i="1"/>
  <c r="AH960" i="1"/>
  <c r="AG961" i="1"/>
  <c r="AH961" i="1"/>
  <c r="AG962" i="1"/>
  <c r="AH962" i="1"/>
  <c r="AG963" i="1"/>
  <c r="AH963" i="1"/>
  <c r="AG964" i="1"/>
  <c r="AH964" i="1"/>
  <c r="AG965" i="1"/>
  <c r="AH965" i="1"/>
  <c r="AG966" i="1"/>
  <c r="AH966" i="1"/>
  <c r="AG967" i="1"/>
  <c r="AH967" i="1"/>
  <c r="AG968" i="1"/>
  <c r="AH968" i="1"/>
  <c r="AG969" i="1"/>
  <c r="AH969" i="1"/>
  <c r="AG970" i="1"/>
  <c r="AH970" i="1"/>
  <c r="AG971" i="1"/>
  <c r="AH971" i="1"/>
  <c r="AG972" i="1"/>
  <c r="AH972" i="1"/>
  <c r="AG973" i="1"/>
  <c r="AH973" i="1"/>
  <c r="AG974" i="1"/>
  <c r="AH974" i="1"/>
  <c r="AG975" i="1"/>
  <c r="AH975" i="1"/>
  <c r="AG976" i="1"/>
  <c r="AH976" i="1"/>
  <c r="AG977" i="1"/>
  <c r="AH977" i="1"/>
  <c r="AG978" i="1"/>
  <c r="AH978" i="1"/>
  <c r="AG979" i="1"/>
  <c r="AH979" i="1"/>
  <c r="AG980" i="1"/>
  <c r="AH980" i="1"/>
  <c r="AG981" i="1"/>
  <c r="AH981" i="1"/>
  <c r="AG982" i="1"/>
  <c r="AH982" i="1"/>
  <c r="AG983" i="1"/>
  <c r="AH983" i="1"/>
  <c r="AG984" i="1"/>
  <c r="AH984" i="1"/>
  <c r="AG985" i="1"/>
  <c r="AH985" i="1"/>
  <c r="AG986" i="1"/>
  <c r="AH986" i="1"/>
  <c r="AG987" i="1"/>
  <c r="AH987" i="1"/>
  <c r="AG988" i="1"/>
  <c r="AH988" i="1"/>
  <c r="AG989" i="1"/>
  <c r="AH989" i="1"/>
  <c r="AG990" i="1"/>
  <c r="AH990" i="1"/>
  <c r="AG991" i="1"/>
  <c r="AH991" i="1"/>
  <c r="AG992" i="1"/>
  <c r="AH992" i="1"/>
  <c r="AG993" i="1"/>
  <c r="AH993" i="1"/>
  <c r="AG994" i="1"/>
  <c r="AH994" i="1"/>
  <c r="AG995" i="1"/>
  <c r="AH995" i="1"/>
  <c r="AG996" i="1"/>
  <c r="AH996" i="1"/>
  <c r="AG997" i="1"/>
  <c r="AH997" i="1"/>
  <c r="AG998" i="1"/>
  <c r="AH998" i="1"/>
  <c r="AG999" i="1"/>
  <c r="AH999" i="1"/>
  <c r="AG1000" i="1"/>
  <c r="AH1000" i="1"/>
  <c r="AG1001" i="1"/>
  <c r="AH1001" i="1"/>
  <c r="AG1002" i="1"/>
  <c r="AH1002" i="1"/>
  <c r="AG1003" i="1"/>
  <c r="AH1003" i="1"/>
  <c r="AG1004" i="1"/>
  <c r="AH1004" i="1"/>
  <c r="AG1005" i="1"/>
  <c r="AH1005" i="1"/>
  <c r="AG1006" i="1"/>
  <c r="AH1006" i="1"/>
  <c r="AG1007" i="1"/>
  <c r="AH1007" i="1"/>
  <c r="AG1008" i="1"/>
  <c r="AH1008" i="1"/>
  <c r="AG1009" i="1"/>
  <c r="AH1009" i="1"/>
  <c r="AG1010" i="1"/>
  <c r="AH1010" i="1"/>
  <c r="AG1011" i="1"/>
  <c r="AH1011" i="1"/>
  <c r="AG1012" i="1"/>
  <c r="AH1012" i="1"/>
  <c r="AG1013" i="1"/>
  <c r="AH1013" i="1"/>
  <c r="AG1014" i="1"/>
  <c r="AH1014" i="1"/>
  <c r="AG1015" i="1"/>
  <c r="AH1015" i="1"/>
  <c r="AG1016" i="1"/>
  <c r="AH1016" i="1"/>
  <c r="AG1017" i="1"/>
  <c r="AH1017" i="1"/>
  <c r="AG1018" i="1"/>
  <c r="AH1018" i="1"/>
  <c r="AG1019" i="1"/>
  <c r="AH1019" i="1"/>
  <c r="AG1020" i="1"/>
  <c r="AH1020" i="1"/>
  <c r="AG1021" i="1"/>
  <c r="AH1021" i="1"/>
  <c r="AG1022" i="1"/>
  <c r="AH1022" i="1"/>
  <c r="AG1023" i="1"/>
  <c r="AH1023" i="1"/>
  <c r="AG1024" i="1"/>
  <c r="AH1024" i="1"/>
  <c r="AG1025" i="1"/>
  <c r="AH1025" i="1"/>
  <c r="AG1026" i="1"/>
  <c r="AH1026" i="1"/>
  <c r="AG1027" i="1"/>
  <c r="AH1027" i="1"/>
  <c r="AG1028" i="1"/>
  <c r="AH1028" i="1"/>
  <c r="AG1029" i="1"/>
  <c r="AH1029" i="1"/>
  <c r="AG1030" i="1"/>
  <c r="AH1030" i="1"/>
  <c r="AG1031" i="1"/>
  <c r="AH1031" i="1"/>
  <c r="AG1032" i="1"/>
  <c r="AH1032" i="1"/>
  <c r="AG1033" i="1"/>
  <c r="AH1033" i="1"/>
  <c r="AG1034" i="1"/>
  <c r="AH1034" i="1"/>
  <c r="AG1035" i="1"/>
  <c r="AH1035" i="1"/>
  <c r="AG1036" i="1"/>
  <c r="AH1036" i="1"/>
  <c r="AG1037" i="1"/>
  <c r="AH1037" i="1"/>
  <c r="AG1038" i="1"/>
  <c r="AH1038" i="1"/>
  <c r="AG1039" i="1"/>
  <c r="AH1039" i="1"/>
  <c r="AG1040" i="1"/>
  <c r="AH1040" i="1"/>
  <c r="AG1041" i="1"/>
  <c r="AH1041" i="1"/>
  <c r="AG1042" i="1"/>
  <c r="AH1042" i="1"/>
  <c r="AG1043" i="1"/>
  <c r="AH1043" i="1"/>
  <c r="AG1044" i="1"/>
  <c r="AH1044" i="1"/>
  <c r="AG1045" i="1"/>
  <c r="AH1045" i="1"/>
  <c r="AG1046" i="1"/>
  <c r="AH1046" i="1"/>
  <c r="AG1047" i="1"/>
  <c r="AH1047" i="1"/>
  <c r="AG1048" i="1"/>
  <c r="AH1048" i="1"/>
  <c r="AG1049" i="1"/>
  <c r="AH1049" i="1"/>
  <c r="AG1050" i="1"/>
  <c r="AH1050" i="1"/>
  <c r="AG1051" i="1"/>
  <c r="AH1051" i="1"/>
  <c r="AG1052" i="1"/>
  <c r="AH1052" i="1"/>
  <c r="AG1053" i="1"/>
  <c r="AH1053" i="1"/>
  <c r="AG1054" i="1"/>
  <c r="AH1054" i="1"/>
  <c r="AG1055" i="1"/>
  <c r="AH1055" i="1"/>
  <c r="AG1056" i="1"/>
  <c r="AH1056" i="1"/>
  <c r="AG1057" i="1"/>
  <c r="AH1057" i="1"/>
  <c r="AG1058" i="1"/>
  <c r="AH1058" i="1"/>
  <c r="AG1059" i="1"/>
  <c r="AH1059" i="1"/>
  <c r="AG1060" i="1"/>
  <c r="AH1060" i="1"/>
  <c r="AG1061" i="1"/>
  <c r="AH1061" i="1"/>
  <c r="AG1062" i="1"/>
  <c r="AH1062" i="1"/>
  <c r="AG1063" i="1"/>
  <c r="AH1063" i="1"/>
  <c r="AG1064" i="1"/>
  <c r="AH1064" i="1"/>
  <c r="AG1065" i="1"/>
  <c r="AH1065" i="1"/>
  <c r="AG1066" i="1"/>
  <c r="AH1066" i="1"/>
  <c r="AG1067" i="1"/>
  <c r="AH1067" i="1"/>
  <c r="AG1068" i="1"/>
  <c r="AH1068" i="1"/>
  <c r="AG1069" i="1"/>
  <c r="AH1069" i="1"/>
  <c r="AG1070" i="1"/>
  <c r="AH1070" i="1"/>
  <c r="AG1071" i="1"/>
  <c r="AH1071" i="1"/>
  <c r="AG1072" i="1"/>
  <c r="AH1072" i="1"/>
  <c r="AG1073" i="1"/>
  <c r="AH1073" i="1"/>
  <c r="AG1074" i="1"/>
  <c r="AH1074" i="1"/>
  <c r="AG1075" i="1"/>
  <c r="AH1075" i="1"/>
  <c r="AG1076" i="1"/>
  <c r="AH1076" i="1"/>
  <c r="AG1077" i="1"/>
  <c r="AH1077" i="1"/>
  <c r="AG1078" i="1"/>
  <c r="AH1078" i="1"/>
  <c r="AG1079" i="1"/>
  <c r="AH1079" i="1"/>
  <c r="AG1080" i="1"/>
  <c r="AH1080" i="1"/>
  <c r="AG1081" i="1"/>
  <c r="AH1081" i="1"/>
  <c r="AG1082" i="1"/>
  <c r="AH1082" i="1"/>
  <c r="AG1083" i="1"/>
  <c r="AH1083" i="1"/>
  <c r="AG1084" i="1"/>
  <c r="AH1084" i="1"/>
  <c r="AG1085" i="1"/>
  <c r="AH1085" i="1"/>
  <c r="AG1086" i="1"/>
  <c r="AH1086" i="1"/>
  <c r="AG1087" i="1"/>
  <c r="AH1087" i="1"/>
  <c r="AG1088" i="1"/>
  <c r="AH1088" i="1"/>
  <c r="AG1089" i="1"/>
  <c r="AH1089" i="1"/>
  <c r="AG1090" i="1"/>
  <c r="AH1090" i="1"/>
  <c r="AG1091" i="1"/>
  <c r="AH1091" i="1"/>
  <c r="AG1092" i="1"/>
  <c r="AH1092" i="1"/>
  <c r="AG1093" i="1"/>
  <c r="AH1093" i="1"/>
  <c r="AG1094" i="1"/>
  <c r="AH1094" i="1"/>
  <c r="AG1095" i="1"/>
  <c r="AH1095" i="1"/>
  <c r="AG1096" i="1"/>
  <c r="AH1096" i="1"/>
  <c r="AG1097" i="1"/>
  <c r="AH1097" i="1"/>
  <c r="AG1098" i="1"/>
  <c r="AH1098" i="1"/>
  <c r="AG1099" i="1"/>
  <c r="AH1099" i="1"/>
  <c r="AG1100" i="1"/>
  <c r="AH1100" i="1"/>
  <c r="AG1101" i="1"/>
  <c r="AH1101" i="1"/>
  <c r="AG1102" i="1"/>
  <c r="AH1102" i="1"/>
  <c r="AG1103" i="1"/>
  <c r="AH1103" i="1"/>
  <c r="AG1104" i="1"/>
  <c r="AH1104" i="1"/>
  <c r="AG1105" i="1"/>
  <c r="AH1105" i="1"/>
  <c r="AG1106" i="1"/>
  <c r="AH1106" i="1"/>
  <c r="AG1107" i="1"/>
  <c r="AH1107" i="1"/>
  <c r="AG1108" i="1"/>
  <c r="AH1108" i="1"/>
  <c r="AG1109" i="1"/>
  <c r="AH1109" i="1"/>
  <c r="AG1110" i="1"/>
  <c r="AH1110" i="1"/>
  <c r="AG1111" i="1"/>
  <c r="AH1111" i="1"/>
  <c r="AG1112" i="1"/>
  <c r="AH1112" i="1"/>
  <c r="AG1113" i="1"/>
  <c r="AH1113" i="1"/>
  <c r="AG1114" i="1"/>
  <c r="AH1114" i="1"/>
  <c r="AG1115" i="1"/>
  <c r="AH1115" i="1"/>
  <c r="AG1116" i="1"/>
  <c r="AH1116" i="1"/>
  <c r="AG1117" i="1"/>
  <c r="AH1117" i="1"/>
  <c r="AG1118" i="1"/>
  <c r="AH1118" i="1"/>
  <c r="AG1119" i="1"/>
  <c r="AH1119" i="1"/>
  <c r="AG1120" i="1"/>
  <c r="AH1120" i="1"/>
  <c r="AG1121" i="1"/>
  <c r="AH1121" i="1"/>
  <c r="AG1122" i="1"/>
  <c r="AH1122" i="1"/>
  <c r="AG1123" i="1"/>
  <c r="AH1123" i="1"/>
  <c r="AG1124" i="1"/>
  <c r="AH1124" i="1"/>
  <c r="AG1125" i="1"/>
  <c r="AH1125" i="1"/>
  <c r="AG1126" i="1"/>
  <c r="AH1126" i="1"/>
  <c r="AG1127" i="1"/>
  <c r="AH1127" i="1"/>
  <c r="AG1128" i="1"/>
  <c r="AH1128" i="1"/>
  <c r="AG1129" i="1"/>
  <c r="AH1129" i="1"/>
  <c r="AG1130" i="1"/>
  <c r="AH1130" i="1"/>
  <c r="AG1131" i="1"/>
  <c r="AH1131" i="1"/>
  <c r="AG1132" i="1"/>
  <c r="AH1132" i="1"/>
  <c r="AG1133" i="1"/>
  <c r="AH1133" i="1"/>
  <c r="AG1134" i="1"/>
  <c r="AH1134" i="1"/>
  <c r="AG1135" i="1"/>
  <c r="AH1135" i="1"/>
  <c r="AG1136" i="1"/>
  <c r="AH1136" i="1"/>
  <c r="AG1137" i="1"/>
  <c r="AH1137" i="1"/>
  <c r="AG1138" i="1"/>
  <c r="AH1138" i="1"/>
  <c r="AG1139" i="1"/>
  <c r="AH1139" i="1"/>
  <c r="AG1140" i="1"/>
  <c r="AH1140" i="1"/>
  <c r="AG1141" i="1"/>
  <c r="AH1141" i="1"/>
  <c r="AG1142" i="1"/>
  <c r="AH1142" i="1"/>
  <c r="AG1143" i="1"/>
  <c r="AH1143" i="1"/>
  <c r="AG1144" i="1"/>
  <c r="AH1144" i="1"/>
  <c r="AG1145" i="1"/>
  <c r="AH1145" i="1"/>
  <c r="AG1146" i="1"/>
  <c r="AH1146" i="1"/>
  <c r="AG1147" i="1"/>
  <c r="AH1147" i="1"/>
  <c r="AG1148" i="1"/>
  <c r="AH1148" i="1"/>
  <c r="AG1149" i="1"/>
  <c r="AH1149" i="1"/>
  <c r="AG1150" i="1"/>
  <c r="AH1150" i="1"/>
  <c r="AG1151" i="1"/>
  <c r="AH1151" i="1"/>
  <c r="AG1152" i="1"/>
  <c r="AH1152" i="1"/>
  <c r="AG1153" i="1"/>
  <c r="AH1153" i="1"/>
  <c r="AG1154" i="1"/>
  <c r="AH1154" i="1"/>
  <c r="AG1155" i="1"/>
  <c r="AH1155" i="1"/>
  <c r="AG1156" i="1"/>
  <c r="AH1156" i="1"/>
  <c r="AG1157" i="1"/>
  <c r="AH1157" i="1"/>
  <c r="AG1158" i="1"/>
  <c r="AH1158" i="1"/>
  <c r="AG1159" i="1"/>
  <c r="AH1159" i="1"/>
  <c r="AG1160" i="1"/>
  <c r="AH1160" i="1"/>
  <c r="AG1161" i="1"/>
  <c r="AH1161" i="1"/>
  <c r="AG1162" i="1"/>
  <c r="AH1162" i="1"/>
  <c r="AG1163" i="1"/>
  <c r="AH1163" i="1"/>
  <c r="AG1164" i="1"/>
  <c r="AH1164" i="1"/>
  <c r="AG1165" i="1"/>
  <c r="AH1165" i="1"/>
  <c r="AG1166" i="1"/>
  <c r="AH1166" i="1"/>
  <c r="AG1167" i="1"/>
  <c r="AH1167" i="1"/>
  <c r="AG1168" i="1"/>
  <c r="AH1168" i="1"/>
  <c r="AG1169" i="1"/>
  <c r="AH1169" i="1"/>
  <c r="AG1170" i="1"/>
  <c r="AH1170" i="1"/>
  <c r="AG1171" i="1"/>
  <c r="AH1171" i="1"/>
  <c r="AG1172" i="1"/>
  <c r="AH1172" i="1"/>
  <c r="AG1173" i="1"/>
  <c r="AH1173" i="1"/>
  <c r="AG1174" i="1"/>
  <c r="AH1174" i="1"/>
  <c r="AG1175" i="1"/>
  <c r="AH1175" i="1"/>
  <c r="AG1176" i="1"/>
  <c r="AH1176" i="1"/>
  <c r="AG1177" i="1"/>
  <c r="AH1177" i="1"/>
  <c r="AG1178" i="1"/>
  <c r="AH1178" i="1"/>
  <c r="AG1179" i="1"/>
  <c r="AH1179" i="1"/>
  <c r="AG1180" i="1"/>
  <c r="AH1180" i="1"/>
  <c r="AG1181" i="1"/>
  <c r="AH1181" i="1"/>
  <c r="AG1182" i="1"/>
  <c r="AH1182" i="1"/>
  <c r="AG1183" i="1"/>
  <c r="AH1183" i="1"/>
  <c r="AG1184" i="1"/>
  <c r="AH1184" i="1"/>
  <c r="AG1185" i="1"/>
  <c r="AH1185" i="1"/>
  <c r="AG1186" i="1"/>
  <c r="AH1186" i="1"/>
  <c r="AG1187" i="1"/>
  <c r="AH1187" i="1"/>
  <c r="AG1188" i="1"/>
  <c r="AH1188" i="1"/>
  <c r="AG1189" i="1"/>
  <c r="AH1189" i="1"/>
  <c r="AG1190" i="1"/>
  <c r="AH1190" i="1"/>
  <c r="AG1191" i="1"/>
  <c r="AH1191" i="1"/>
  <c r="AG1192" i="1"/>
  <c r="AH1192" i="1"/>
  <c r="AG1193" i="1"/>
  <c r="AH1193" i="1"/>
  <c r="AG1194" i="1"/>
  <c r="AH1194" i="1"/>
  <c r="AG1195" i="1"/>
  <c r="AH1195" i="1"/>
  <c r="AG1196" i="1"/>
  <c r="AH1196" i="1"/>
  <c r="AG1197" i="1"/>
  <c r="AH1197" i="1"/>
  <c r="AG1198" i="1"/>
  <c r="AH1198" i="1"/>
  <c r="AG1199" i="1"/>
  <c r="AH1199" i="1"/>
  <c r="AG1200" i="1"/>
  <c r="AH1200" i="1"/>
  <c r="AG1201" i="1"/>
  <c r="AH1201" i="1"/>
  <c r="AG1202" i="1"/>
  <c r="AH1202" i="1"/>
  <c r="AG1203" i="1"/>
  <c r="AH1203" i="1"/>
  <c r="AG1204" i="1"/>
  <c r="AH1204" i="1"/>
  <c r="AG1205" i="1"/>
  <c r="AH1205" i="1"/>
  <c r="AG1206" i="1"/>
  <c r="AH1206" i="1"/>
  <c r="AG1207" i="1"/>
  <c r="AH1207" i="1"/>
  <c r="AG1208" i="1"/>
  <c r="AH1208" i="1"/>
  <c r="AG1209" i="1"/>
  <c r="AH1209" i="1"/>
  <c r="AG1210" i="1"/>
  <c r="AH1210" i="1"/>
  <c r="AG1211" i="1"/>
  <c r="AH1211" i="1"/>
  <c r="AG1212" i="1"/>
  <c r="AH1212" i="1"/>
  <c r="AG1213" i="1"/>
  <c r="AH1213" i="1"/>
  <c r="AG1214" i="1"/>
  <c r="AH1214" i="1"/>
  <c r="AG1215" i="1"/>
  <c r="AH1215" i="1"/>
  <c r="AG1216" i="1"/>
  <c r="AH1216" i="1"/>
  <c r="AG1217" i="1"/>
  <c r="AH1217" i="1"/>
  <c r="AG1218" i="1"/>
  <c r="AH1218" i="1"/>
  <c r="AG1219" i="1"/>
  <c r="AH1219" i="1"/>
  <c r="AG1220" i="1"/>
  <c r="AH1220" i="1"/>
  <c r="AG1221" i="1"/>
  <c r="AH1221" i="1"/>
  <c r="AG1222" i="1"/>
  <c r="AH1222" i="1"/>
  <c r="AG1223" i="1"/>
  <c r="AH1223" i="1"/>
  <c r="AG1224" i="1"/>
  <c r="AH1224" i="1"/>
  <c r="AG1225" i="1"/>
  <c r="AH1225" i="1"/>
  <c r="AG1226" i="1"/>
  <c r="AH1226" i="1"/>
  <c r="AG1227" i="1"/>
  <c r="AH1227" i="1"/>
  <c r="AG1228" i="1"/>
  <c r="AH1228" i="1"/>
  <c r="AG1229" i="1"/>
  <c r="AH1229" i="1"/>
  <c r="AG1230" i="1"/>
  <c r="AH1230" i="1"/>
  <c r="AG1231" i="1"/>
  <c r="AH1231" i="1"/>
  <c r="AG1232" i="1"/>
  <c r="AH1232" i="1"/>
  <c r="AG1233" i="1"/>
  <c r="AH1233" i="1"/>
  <c r="AG1234" i="1"/>
  <c r="AH1234" i="1"/>
  <c r="AG1235" i="1"/>
  <c r="AH1235" i="1"/>
  <c r="AG1236" i="1"/>
  <c r="AH1236" i="1"/>
  <c r="AG1237" i="1"/>
  <c r="AH1237" i="1"/>
  <c r="AG1238" i="1"/>
  <c r="AH1238" i="1"/>
  <c r="AG1239" i="1"/>
  <c r="AH1239" i="1"/>
  <c r="AG1240" i="1"/>
  <c r="AH1240" i="1"/>
  <c r="AG1241" i="1"/>
  <c r="AH1241" i="1"/>
  <c r="AG1242" i="1"/>
  <c r="AH1242" i="1"/>
  <c r="AG1243" i="1"/>
  <c r="AH1243" i="1"/>
  <c r="AG1244" i="1"/>
  <c r="AH1244"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M22" i="1"/>
  <c r="AM21" i="1"/>
  <c r="AE105" i="1"/>
  <c r="AG105" i="1"/>
  <c r="AE106" i="1"/>
  <c r="AG106" i="1"/>
  <c r="AE107" i="1"/>
  <c r="AG107" i="1"/>
  <c r="AE108" i="1"/>
  <c r="AG108" i="1"/>
  <c r="AE109" i="1"/>
  <c r="AG109" i="1"/>
  <c r="AE110" i="1"/>
  <c r="AG110" i="1"/>
  <c r="AE111" i="1"/>
  <c r="AG111" i="1"/>
  <c r="AE112" i="1"/>
  <c r="AG112" i="1"/>
  <c r="AE113" i="1"/>
  <c r="AG113" i="1"/>
  <c r="AE114" i="1"/>
  <c r="AG114" i="1"/>
  <c r="AE115" i="1"/>
  <c r="AG115" i="1"/>
  <c r="AE116" i="1"/>
  <c r="AG116" i="1"/>
  <c r="AE117" i="1"/>
  <c r="AG117" i="1"/>
  <c r="AE118" i="1"/>
  <c r="AG118" i="1"/>
  <c r="AE119" i="1"/>
  <c r="AG119" i="1"/>
  <c r="AE120" i="1"/>
  <c r="AG120" i="1"/>
  <c r="AE121" i="1"/>
  <c r="AG121" i="1"/>
  <c r="AE122" i="1"/>
  <c r="AG122" i="1"/>
  <c r="AE123" i="1"/>
  <c r="AG123" i="1"/>
  <c r="AE124" i="1"/>
  <c r="AG124" i="1"/>
  <c r="AE125" i="1"/>
  <c r="AG125" i="1"/>
  <c r="AE126" i="1"/>
  <c r="AG126" i="1"/>
  <c r="AE127" i="1"/>
  <c r="AG127" i="1"/>
  <c r="AE128" i="1"/>
  <c r="AG128" i="1"/>
  <c r="AE129" i="1"/>
  <c r="AG129" i="1"/>
  <c r="AE130" i="1"/>
  <c r="AG130" i="1"/>
  <c r="AE131" i="1"/>
  <c r="AG131" i="1"/>
  <c r="AE132" i="1"/>
  <c r="AG132" i="1"/>
  <c r="AE133" i="1"/>
  <c r="AG133" i="1"/>
  <c r="AE134" i="1"/>
  <c r="AG134" i="1"/>
  <c r="AE135" i="1"/>
  <c r="AG135" i="1"/>
  <c r="AE136" i="1"/>
  <c r="AG136" i="1"/>
  <c r="AE137" i="1"/>
  <c r="AG137" i="1"/>
  <c r="AE138" i="1"/>
  <c r="AG138" i="1"/>
  <c r="AE139" i="1"/>
  <c r="AG139" i="1"/>
  <c r="AE140" i="1"/>
  <c r="AG140" i="1"/>
  <c r="AE141" i="1"/>
  <c r="AG141" i="1"/>
  <c r="AE142" i="1"/>
  <c r="AG142" i="1"/>
  <c r="AE143" i="1"/>
  <c r="AG143" i="1"/>
  <c r="AE144" i="1"/>
  <c r="AG144" i="1"/>
  <c r="AE145" i="1"/>
  <c r="AG145" i="1"/>
  <c r="AE146" i="1"/>
  <c r="AG14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C6" i="1"/>
  <c r="AL6" i="1" a="1"/>
  <c r="AM7" i="1"/>
  <c r="AM16" i="1"/>
  <c r="AL10" i="1"/>
  <c r="AM8" i="1"/>
  <c r="AM9" i="1"/>
  <c r="AL6" i="1"/>
  <c r="AM6" i="1"/>
  <c r="AD104" i="1"/>
  <c r="AE104" i="1"/>
  <c r="AL7" i="1"/>
  <c r="AM10" i="1"/>
  <c r="AL9" i="1"/>
  <c r="AL8" i="1"/>
  <c r="AQ21" i="1"/>
  <c r="AO21" i="1"/>
  <c r="AK21" i="1"/>
  <c r="AD64" i="1"/>
  <c r="AE64" i="1"/>
  <c r="AF64" i="1"/>
  <c r="AD68" i="1"/>
  <c r="AE68" i="1"/>
  <c r="AF68" i="1"/>
  <c r="AD72" i="1"/>
  <c r="AE72" i="1"/>
  <c r="AF72" i="1"/>
  <c r="AD76" i="1"/>
  <c r="AE76" i="1"/>
  <c r="AF76" i="1"/>
  <c r="AD80" i="1"/>
  <c r="AE80" i="1"/>
  <c r="AF80" i="1"/>
  <c r="AD84" i="1"/>
  <c r="AE84" i="1"/>
  <c r="AF84" i="1"/>
  <c r="AD88" i="1"/>
  <c r="AE88" i="1"/>
  <c r="AF88" i="1"/>
  <c r="AD92" i="1"/>
  <c r="AE92" i="1"/>
  <c r="AF92" i="1"/>
  <c r="AD96" i="1"/>
  <c r="AE96" i="1"/>
  <c r="AF96" i="1"/>
  <c r="AD100" i="1"/>
  <c r="AE100" i="1"/>
  <c r="AF100" i="1"/>
  <c r="AD101" i="1"/>
  <c r="AE101" i="1"/>
  <c r="AF101" i="1"/>
  <c r="AD71" i="1"/>
  <c r="AE71" i="1"/>
  <c r="AF71" i="1"/>
  <c r="AD75" i="1"/>
  <c r="AE75" i="1"/>
  <c r="AF75" i="1"/>
  <c r="AD87" i="1"/>
  <c r="AE87" i="1"/>
  <c r="AF87" i="1"/>
  <c r="AD99" i="1"/>
  <c r="AE99" i="1"/>
  <c r="AF99" i="1"/>
  <c r="AD65" i="1"/>
  <c r="AE65" i="1"/>
  <c r="AF65" i="1"/>
  <c r="AD69" i="1"/>
  <c r="AE69" i="1"/>
  <c r="AF69" i="1"/>
  <c r="AD73" i="1"/>
  <c r="AE73" i="1"/>
  <c r="AF73" i="1"/>
  <c r="AD77" i="1"/>
  <c r="AE77" i="1"/>
  <c r="AF77" i="1"/>
  <c r="AD81" i="1"/>
  <c r="AE81" i="1"/>
  <c r="AF81" i="1"/>
  <c r="AD85" i="1"/>
  <c r="AE85" i="1"/>
  <c r="AF85" i="1"/>
  <c r="AD89" i="1"/>
  <c r="AE89" i="1"/>
  <c r="AF89" i="1"/>
  <c r="AD93" i="1"/>
  <c r="AE93" i="1"/>
  <c r="AF93" i="1"/>
  <c r="AD97" i="1"/>
  <c r="AE97" i="1"/>
  <c r="AF97" i="1"/>
  <c r="AD63" i="1"/>
  <c r="AE63" i="1"/>
  <c r="AF63" i="1"/>
  <c r="AD83" i="1"/>
  <c r="AE83" i="1"/>
  <c r="AF83" i="1"/>
  <c r="AD95" i="1"/>
  <c r="AE95" i="1"/>
  <c r="AF95" i="1"/>
  <c r="AD66" i="1"/>
  <c r="AE66" i="1"/>
  <c r="AF66" i="1"/>
  <c r="AD70" i="1"/>
  <c r="AE70" i="1"/>
  <c r="AF70" i="1"/>
  <c r="AD74" i="1"/>
  <c r="AE74" i="1"/>
  <c r="AF74" i="1"/>
  <c r="AD78" i="1"/>
  <c r="AE78" i="1"/>
  <c r="AF78" i="1"/>
  <c r="AD82" i="1"/>
  <c r="AE82" i="1"/>
  <c r="AF82" i="1"/>
  <c r="AD86" i="1"/>
  <c r="AE86" i="1"/>
  <c r="AF86" i="1"/>
  <c r="AD90" i="1"/>
  <c r="AE90" i="1"/>
  <c r="AF90" i="1"/>
  <c r="AD94" i="1"/>
  <c r="AE94" i="1"/>
  <c r="AF94" i="1"/>
  <c r="AD98" i="1"/>
  <c r="AE98" i="1"/>
  <c r="AF98" i="1"/>
  <c r="AD102" i="1"/>
  <c r="AE102" i="1"/>
  <c r="AF102" i="1"/>
  <c r="AD67" i="1"/>
  <c r="AE67" i="1"/>
  <c r="AF67" i="1"/>
  <c r="AD79" i="1"/>
  <c r="AE79" i="1"/>
  <c r="AF79" i="1"/>
  <c r="AD91" i="1"/>
  <c r="AE91" i="1"/>
  <c r="AF91" i="1"/>
  <c r="AD103" i="1"/>
  <c r="AE103" i="1"/>
  <c r="AF103" i="1"/>
  <c r="AD53" i="1"/>
  <c r="AD50" i="1"/>
  <c r="AD55" i="1"/>
  <c r="AD59" i="1"/>
  <c r="AD51" i="1"/>
  <c r="AD56" i="1"/>
  <c r="AD60" i="1"/>
  <c r="AD52" i="1"/>
  <c r="AD57" i="1"/>
  <c r="AD61" i="1"/>
  <c r="AD49" i="1"/>
  <c r="AD54" i="1"/>
  <c r="AD58" i="1"/>
  <c r="AD62" i="1"/>
  <c r="AD43" i="1"/>
  <c r="AD47" i="1"/>
  <c r="AD44" i="1"/>
  <c r="AD48" i="1"/>
  <c r="AD45" i="1"/>
  <c r="AD46" i="1"/>
  <c r="AD7" i="1"/>
  <c r="AD11" i="1"/>
  <c r="AD15" i="1"/>
  <c r="AD19" i="1"/>
  <c r="AD23" i="1"/>
  <c r="AD27" i="1"/>
  <c r="AD31" i="1"/>
  <c r="AD35" i="1"/>
  <c r="AD39" i="1"/>
  <c r="AD18" i="1"/>
  <c r="AD38" i="1"/>
  <c r="AD8" i="1"/>
  <c r="AD12" i="1"/>
  <c r="AD16" i="1"/>
  <c r="AD20" i="1"/>
  <c r="AD24" i="1"/>
  <c r="AD28" i="1"/>
  <c r="AD32" i="1"/>
  <c r="AD36" i="1"/>
  <c r="AD40" i="1"/>
  <c r="AD14" i="1"/>
  <c r="AD26" i="1"/>
  <c r="AD34" i="1"/>
  <c r="AD42" i="1"/>
  <c r="AD9" i="1"/>
  <c r="AD13" i="1"/>
  <c r="AD17" i="1"/>
  <c r="AD21" i="1"/>
  <c r="AD25" i="1"/>
  <c r="AD29" i="1"/>
  <c r="AD33" i="1"/>
  <c r="AD37" i="1"/>
  <c r="AD41" i="1"/>
  <c r="AD10" i="1"/>
  <c r="AD22" i="1"/>
  <c r="AD30" i="1"/>
  <c r="AQ22" i="1"/>
  <c r="AO22" i="1"/>
  <c r="BH13" i="1"/>
  <c r="BH14" i="1"/>
  <c r="BJ21" i="1"/>
  <c r="BJ14" i="1"/>
  <c r="BJ15" i="1"/>
  <c r="BJ19" i="1"/>
  <c r="BK25" i="1"/>
  <c r="BJ16" i="1"/>
  <c r="BJ20" i="1"/>
  <c r="BJ17" i="1"/>
  <c r="BJ18" i="1"/>
  <c r="BJ13" i="1"/>
  <c r="K8" i="6"/>
  <c r="K11" i="6"/>
  <c r="K12" i="6"/>
  <c r="K13" i="6"/>
  <c r="K14" i="6"/>
  <c r="K15" i="6"/>
  <c r="K16" i="6"/>
  <c r="K17" i="6"/>
  <c r="K18" i="6"/>
  <c r="K19" i="6"/>
  <c r="K20" i="6"/>
  <c r="K21" i="6"/>
  <c r="K22" i="6"/>
  <c r="K10" i="6"/>
  <c r="AP13" i="1"/>
  <c r="U3" i="6"/>
  <c r="AI3" i="6" a="1"/>
  <c r="AI3" i="6"/>
  <c r="R3" i="6"/>
  <c r="C18" i="6"/>
  <c r="AG3" i="6" a="1"/>
  <c r="AG3" i="6"/>
  <c r="AC3" i="6" a="1"/>
  <c r="AC3" i="6"/>
  <c r="Y3" i="6" a="1"/>
  <c r="Y3" i="6"/>
  <c r="V3" i="6" a="1"/>
  <c r="V3" i="6"/>
  <c r="AE3" i="6" a="1"/>
  <c r="AE3" i="6"/>
  <c r="AA3" i="6" a="1"/>
  <c r="AA3" i="6"/>
  <c r="W3" i="6" a="1"/>
  <c r="W3" i="6"/>
  <c r="AD3" i="6" a="1"/>
  <c r="AD3" i="6"/>
  <c r="Z3" i="6" a="1"/>
  <c r="Z3" i="6"/>
  <c r="X3" i="6" a="1"/>
  <c r="X3" i="6"/>
  <c r="AB3" i="6" a="1"/>
  <c r="AB3" i="6"/>
  <c r="AH3" i="6" a="1"/>
  <c r="AH3" i="6"/>
  <c r="AF3" i="6" a="1"/>
  <c r="AF3" i="6"/>
  <c r="K6" i="6"/>
  <c r="K5" i="6"/>
  <c r="C20" i="6"/>
  <c r="C19" i="6"/>
  <c r="I7" i="1"/>
  <c r="I11" i="1"/>
  <c r="I15" i="1"/>
  <c r="I19" i="1"/>
  <c r="I23" i="1"/>
  <c r="I27" i="1"/>
  <c r="I31" i="1"/>
  <c r="I35" i="1"/>
  <c r="I39" i="1"/>
  <c r="I43" i="1"/>
  <c r="I47" i="1"/>
  <c r="I51" i="1"/>
  <c r="I55" i="1"/>
  <c r="I59" i="1"/>
  <c r="I63" i="1"/>
  <c r="I67" i="1"/>
  <c r="I71" i="1"/>
  <c r="I75" i="1"/>
  <c r="I79" i="1"/>
  <c r="I83" i="1"/>
  <c r="I87" i="1"/>
  <c r="I91" i="1"/>
  <c r="I95" i="1"/>
  <c r="I99" i="1"/>
  <c r="I103" i="1"/>
  <c r="I107" i="1"/>
  <c r="V107" i="1"/>
  <c r="I111" i="1"/>
  <c r="V111" i="1"/>
  <c r="I115" i="1"/>
  <c r="V115" i="1"/>
  <c r="I119" i="1"/>
  <c r="V119" i="1"/>
  <c r="I123" i="1"/>
  <c r="V123" i="1"/>
  <c r="I127" i="1"/>
  <c r="V127" i="1"/>
  <c r="I8" i="1"/>
  <c r="I12" i="1"/>
  <c r="I16" i="1"/>
  <c r="I20" i="1"/>
  <c r="I24" i="1"/>
  <c r="I28" i="1"/>
  <c r="I32" i="1"/>
  <c r="I36" i="1"/>
  <c r="I40" i="1"/>
  <c r="I44" i="1"/>
  <c r="I48" i="1"/>
  <c r="I52" i="1"/>
  <c r="I56" i="1"/>
  <c r="I60" i="1"/>
  <c r="I64" i="1"/>
  <c r="I68" i="1"/>
  <c r="I72" i="1"/>
  <c r="I76" i="1"/>
  <c r="I80" i="1"/>
  <c r="I84" i="1"/>
  <c r="I88" i="1"/>
  <c r="I92" i="1"/>
  <c r="I96" i="1"/>
  <c r="I100" i="1"/>
  <c r="I104" i="1"/>
  <c r="I108" i="1"/>
  <c r="V108" i="1"/>
  <c r="I112" i="1"/>
  <c r="V112" i="1"/>
  <c r="I116" i="1"/>
  <c r="V116" i="1"/>
  <c r="I120" i="1"/>
  <c r="V120" i="1"/>
  <c r="I124" i="1"/>
  <c r="V124" i="1"/>
  <c r="I128" i="1"/>
  <c r="V128" i="1"/>
  <c r="I132" i="1"/>
  <c r="V132" i="1"/>
  <c r="I136" i="1"/>
  <c r="V136" i="1"/>
  <c r="I140" i="1"/>
  <c r="V140" i="1"/>
  <c r="I144" i="1"/>
  <c r="V144" i="1"/>
  <c r="I9" i="1"/>
  <c r="I13" i="1"/>
  <c r="I17" i="1"/>
  <c r="I21" i="1"/>
  <c r="I25" i="1"/>
  <c r="I29" i="1"/>
  <c r="I33" i="1"/>
  <c r="I37" i="1"/>
  <c r="I41" i="1"/>
  <c r="I45" i="1"/>
  <c r="I49" i="1"/>
  <c r="I53" i="1"/>
  <c r="I57" i="1"/>
  <c r="I61" i="1"/>
  <c r="I65" i="1"/>
  <c r="I69" i="1"/>
  <c r="I73" i="1"/>
  <c r="I77" i="1"/>
  <c r="I81" i="1"/>
  <c r="I85" i="1"/>
  <c r="I89" i="1"/>
  <c r="I93" i="1"/>
  <c r="I97" i="1"/>
  <c r="I101" i="1"/>
  <c r="I105" i="1"/>
  <c r="I109" i="1"/>
  <c r="V109" i="1"/>
  <c r="I113" i="1"/>
  <c r="V113" i="1"/>
  <c r="I117" i="1"/>
  <c r="V117" i="1"/>
  <c r="I121" i="1"/>
  <c r="V121" i="1"/>
  <c r="I125" i="1"/>
  <c r="V125" i="1"/>
  <c r="I129" i="1"/>
  <c r="V129" i="1"/>
  <c r="I133" i="1"/>
  <c r="V133" i="1"/>
  <c r="I137" i="1"/>
  <c r="V137" i="1"/>
  <c r="I141" i="1"/>
  <c r="I145" i="1"/>
  <c r="V145" i="1"/>
  <c r="I10" i="1"/>
  <c r="I14" i="1"/>
  <c r="I18" i="1"/>
  <c r="I22" i="1"/>
  <c r="I26" i="1"/>
  <c r="I30" i="1"/>
  <c r="I34" i="1"/>
  <c r="I38" i="1"/>
  <c r="I42" i="1"/>
  <c r="I46" i="1"/>
  <c r="I50" i="1"/>
  <c r="I54" i="1"/>
  <c r="I58" i="1"/>
  <c r="I62" i="1"/>
  <c r="I66" i="1"/>
  <c r="I70" i="1"/>
  <c r="I86" i="1"/>
  <c r="I102" i="1"/>
  <c r="I118" i="1"/>
  <c r="V118" i="1"/>
  <c r="I131" i="1"/>
  <c r="V131" i="1"/>
  <c r="I139" i="1"/>
  <c r="V139" i="1"/>
  <c r="I6" i="1"/>
  <c r="I134" i="1"/>
  <c r="V134" i="1"/>
  <c r="I94" i="1"/>
  <c r="I135" i="1"/>
  <c r="V135" i="1"/>
  <c r="I82" i="1"/>
  <c r="I114" i="1"/>
  <c r="V114" i="1"/>
  <c r="I146" i="1"/>
  <c r="V146" i="1"/>
  <c r="I74" i="1"/>
  <c r="I90" i="1"/>
  <c r="I106" i="1"/>
  <c r="I122" i="1"/>
  <c r="V122" i="1"/>
  <c r="I142" i="1"/>
  <c r="I126" i="1"/>
  <c r="V126" i="1"/>
  <c r="I143" i="1"/>
  <c r="V143" i="1"/>
  <c r="I130" i="1"/>
  <c r="V130" i="1"/>
  <c r="I78" i="1"/>
  <c r="I110" i="1"/>
  <c r="V110" i="1"/>
  <c r="I98" i="1"/>
  <c r="I138" i="1"/>
  <c r="V138" i="1"/>
  <c r="BE20" i="1"/>
  <c r="BE26" i="1"/>
  <c r="BE27" i="1"/>
  <c r="BE28" i="1"/>
  <c r="BE29" i="1"/>
  <c r="BE30" i="1"/>
  <c r="BE25" i="1"/>
  <c r="V98" i="1"/>
  <c r="V66" i="1"/>
  <c r="V50" i="1"/>
  <c r="V34" i="1"/>
  <c r="V93" i="1"/>
  <c r="V77" i="1"/>
  <c r="V61" i="1"/>
  <c r="V45" i="1"/>
  <c r="V88" i="1"/>
  <c r="V72" i="1"/>
  <c r="V56" i="1"/>
  <c r="V40" i="1"/>
  <c r="V8" i="1"/>
  <c r="V99" i="1"/>
  <c r="V83" i="1"/>
  <c r="V67" i="1"/>
  <c r="V51" i="1"/>
  <c r="V35" i="1"/>
  <c r="V90" i="1"/>
  <c r="V82" i="1"/>
  <c r="V102" i="1"/>
  <c r="V62" i="1"/>
  <c r="V46" i="1"/>
  <c r="V89" i="1"/>
  <c r="V73" i="1"/>
  <c r="V57" i="1"/>
  <c r="V41" i="1"/>
  <c r="V9" i="1"/>
  <c r="V100" i="1"/>
  <c r="V84" i="1"/>
  <c r="V68" i="1"/>
  <c r="V52" i="1"/>
  <c r="V36" i="1"/>
  <c r="V95" i="1"/>
  <c r="V79" i="1"/>
  <c r="V63" i="1"/>
  <c r="V47" i="1"/>
  <c r="V31" i="1"/>
  <c r="V78" i="1"/>
  <c r="V74" i="1"/>
  <c r="V86" i="1"/>
  <c r="V58" i="1"/>
  <c r="V42" i="1"/>
  <c r="V10" i="1"/>
  <c r="V101" i="1"/>
  <c r="V85" i="1"/>
  <c r="V69" i="1"/>
  <c r="V53" i="1"/>
  <c r="V37" i="1"/>
  <c r="V96" i="1"/>
  <c r="V80" i="1"/>
  <c r="V64" i="1"/>
  <c r="V48" i="1"/>
  <c r="V32" i="1"/>
  <c r="V91" i="1"/>
  <c r="V75" i="1"/>
  <c r="V59" i="1"/>
  <c r="V43" i="1"/>
  <c r="V11" i="1"/>
  <c r="V94" i="1"/>
  <c r="V70" i="1"/>
  <c r="V54" i="1"/>
  <c r="V38" i="1"/>
  <c r="V97" i="1"/>
  <c r="V81" i="1"/>
  <c r="V65" i="1"/>
  <c r="V49" i="1"/>
  <c r="V33" i="1"/>
  <c r="V92" i="1"/>
  <c r="V76" i="1"/>
  <c r="V60" i="1"/>
  <c r="V44" i="1"/>
  <c r="V103" i="1"/>
  <c r="V87" i="1"/>
  <c r="V71" i="1"/>
  <c r="V55" i="1"/>
  <c r="V39" i="1"/>
  <c r="BE21" i="1"/>
  <c r="BE22" i="1"/>
  <c r="BE23" i="1"/>
  <c r="BE24" i="1"/>
  <c r="BE16" i="1"/>
  <c r="BE17" i="1"/>
  <c r="BE18" i="1"/>
  <c r="BE19" i="1"/>
  <c r="BE15" i="1"/>
  <c r="AR13" i="1"/>
  <c r="AP12" i="1"/>
  <c r="AR12" i="1"/>
  <c r="AM2" i="6"/>
  <c r="AN2" i="6"/>
  <c r="AM9" i="6"/>
  <c r="BD20" i="1"/>
  <c r="BD24" i="1"/>
  <c r="BD25" i="1"/>
  <c r="BD29" i="1"/>
  <c r="BD22" i="1"/>
  <c r="BD26" i="1"/>
  <c r="BD30" i="1"/>
  <c r="BD23" i="1"/>
  <c r="BD27" i="1"/>
  <c r="BD21" i="1"/>
  <c r="BD28" i="1"/>
  <c r="BD16" i="1"/>
  <c r="BD17" i="1"/>
  <c r="BD18" i="1"/>
  <c r="BD19" i="1"/>
  <c r="BD15" i="1"/>
  <c r="BC35" i="1"/>
  <c r="BC31" i="1"/>
  <c r="BC34" i="1"/>
  <c r="BC33" i="1"/>
  <c r="BC36" i="1"/>
  <c r="BC32" i="1"/>
  <c r="S10" i="1"/>
  <c r="S14" i="1"/>
  <c r="S18" i="1"/>
  <c r="S22" i="1"/>
  <c r="S26" i="1"/>
  <c r="S30" i="1"/>
  <c r="S34" i="1"/>
  <c r="S38" i="1"/>
  <c r="S42" i="1"/>
  <c r="S46" i="1"/>
  <c r="S50" i="1"/>
  <c r="S54" i="1"/>
  <c r="S58" i="1"/>
  <c r="S62" i="1"/>
  <c r="S66" i="1"/>
  <c r="S70" i="1"/>
  <c r="S74" i="1"/>
  <c r="S82" i="1"/>
  <c r="S90" i="1"/>
  <c r="S98" i="1"/>
  <c r="S106" i="1"/>
  <c r="S114" i="1"/>
  <c r="S126" i="1"/>
  <c r="S134" i="1"/>
  <c r="S142" i="1"/>
  <c r="S7" i="1"/>
  <c r="S11" i="1"/>
  <c r="S15" i="1"/>
  <c r="S19" i="1"/>
  <c r="S23" i="1"/>
  <c r="S27" i="1"/>
  <c r="S31" i="1"/>
  <c r="S35" i="1"/>
  <c r="S39" i="1"/>
  <c r="S43" i="1"/>
  <c r="S47" i="1"/>
  <c r="S51" i="1"/>
  <c r="S55" i="1"/>
  <c r="S59" i="1"/>
  <c r="S63" i="1"/>
  <c r="S67" i="1"/>
  <c r="S71" i="1"/>
  <c r="S75" i="1"/>
  <c r="S79" i="1"/>
  <c r="S83" i="1"/>
  <c r="S87" i="1"/>
  <c r="S91" i="1"/>
  <c r="S95" i="1"/>
  <c r="S99" i="1"/>
  <c r="S103" i="1"/>
  <c r="S107" i="1"/>
  <c r="S111" i="1"/>
  <c r="S115" i="1"/>
  <c r="S119" i="1"/>
  <c r="S123" i="1"/>
  <c r="S127" i="1"/>
  <c r="S131" i="1"/>
  <c r="S135" i="1"/>
  <c r="S139" i="1"/>
  <c r="S143" i="1"/>
  <c r="S6" i="1"/>
  <c r="S80" i="1"/>
  <c r="S88" i="1"/>
  <c r="S96" i="1"/>
  <c r="S104" i="1"/>
  <c r="S112" i="1"/>
  <c r="S116" i="1"/>
  <c r="S124" i="1"/>
  <c r="S132" i="1"/>
  <c r="S140" i="1"/>
  <c r="S8" i="1"/>
  <c r="S12" i="1"/>
  <c r="S16" i="1"/>
  <c r="S20" i="1"/>
  <c r="S24" i="1"/>
  <c r="S28" i="1"/>
  <c r="S32" i="1"/>
  <c r="S36" i="1"/>
  <c r="S40" i="1"/>
  <c r="S44" i="1"/>
  <c r="S48" i="1"/>
  <c r="S52" i="1"/>
  <c r="S56" i="1"/>
  <c r="S60" i="1"/>
  <c r="S64" i="1"/>
  <c r="S68" i="1"/>
  <c r="S72" i="1"/>
  <c r="S76" i="1"/>
  <c r="S84" i="1"/>
  <c r="S92" i="1"/>
  <c r="S100" i="1"/>
  <c r="S108" i="1"/>
  <c r="S120" i="1"/>
  <c r="S128" i="1"/>
  <c r="S136" i="1"/>
  <c r="S144" i="1"/>
  <c r="S9" i="1"/>
  <c r="S13" i="1"/>
  <c r="S17" i="1"/>
  <c r="S21" i="1"/>
  <c r="S25" i="1"/>
  <c r="S29" i="1"/>
  <c r="S33" i="1"/>
  <c r="S37" i="1"/>
  <c r="S41" i="1"/>
  <c r="S45" i="1"/>
  <c r="S49" i="1"/>
  <c r="S53" i="1"/>
  <c r="S57" i="1"/>
  <c r="S61" i="1"/>
  <c r="S65" i="1"/>
  <c r="S69" i="1"/>
  <c r="S73" i="1"/>
  <c r="S77" i="1"/>
  <c r="S81" i="1"/>
  <c r="S85" i="1"/>
  <c r="S89" i="1"/>
  <c r="S93" i="1"/>
  <c r="S97" i="1"/>
  <c r="S101" i="1"/>
  <c r="S105" i="1"/>
  <c r="S109" i="1"/>
  <c r="S113" i="1"/>
  <c r="S117" i="1"/>
  <c r="S121" i="1"/>
  <c r="S125" i="1"/>
  <c r="S129" i="1"/>
  <c r="S133" i="1"/>
  <c r="S137" i="1"/>
  <c r="S141" i="1"/>
  <c r="S145" i="1"/>
  <c r="S78" i="1"/>
  <c r="S86" i="1"/>
  <c r="S94" i="1"/>
  <c r="S102" i="1"/>
  <c r="S110" i="1"/>
  <c r="S118" i="1"/>
  <c r="S122" i="1"/>
  <c r="S130" i="1"/>
  <c r="S138" i="1"/>
  <c r="S146" i="1"/>
  <c r="BC17" i="1"/>
  <c r="BC21" i="1"/>
  <c r="BC25" i="1"/>
  <c r="BC29" i="1"/>
  <c r="BC18" i="1"/>
  <c r="BC22" i="1"/>
  <c r="BC26" i="1"/>
  <c r="BC30" i="1"/>
  <c r="BC19" i="1"/>
  <c r="BC23" i="1"/>
  <c r="BC27" i="1"/>
  <c r="BC16" i="1"/>
  <c r="BC20" i="1"/>
  <c r="BC24" i="1"/>
  <c r="BC28" i="1"/>
  <c r="BC15" i="1"/>
  <c r="BB8" i="1"/>
  <c r="BB12" i="1"/>
  <c r="BB9" i="1"/>
  <c r="BB7" i="1"/>
  <c r="BB10" i="1"/>
  <c r="BB11" i="1"/>
  <c r="BC8" i="1"/>
  <c r="BC12" i="1"/>
  <c r="BC9" i="1"/>
  <c r="BC7" i="1"/>
  <c r="BC10" i="1"/>
  <c r="BC11" i="1"/>
  <c r="AM31" i="1"/>
  <c r="AR30" i="1"/>
  <c r="AM30" i="1"/>
  <c r="AR31" i="1"/>
  <c r="AM37" i="1"/>
  <c r="AQ30" i="1"/>
  <c r="AM38" i="1"/>
  <c r="AQ31" i="1"/>
  <c r="C6" i="1"/>
  <c r="AM29" i="1"/>
  <c r="AR32" i="1"/>
  <c r="AL39" i="1"/>
  <c r="AM39" i="1"/>
  <c r="AQ32" i="1"/>
  <c r="BF8" i="1"/>
  <c r="AM17" i="1"/>
  <c r="BA7" i="1"/>
  <c r="S3" i="6"/>
  <c r="G3" i="2"/>
  <c r="H3" i="2"/>
  <c r="AM4" i="6"/>
  <c r="AM5" i="6"/>
  <c r="AM6" i="6"/>
  <c r="AM7" i="6"/>
  <c r="AM8" i="6"/>
  <c r="AM10" i="6"/>
  <c r="AA13" i="6"/>
  <c r="AM11" i="6"/>
  <c r="AM12" i="6"/>
  <c r="AM13" i="6"/>
  <c r="AM14" i="6"/>
  <c r="AM15" i="6"/>
  <c r="D7" i="1"/>
  <c r="D8" i="1"/>
  <c r="AP11" i="1"/>
  <c r="AR11" i="1"/>
  <c r="I4" i="2"/>
  <c r="I5" i="2"/>
  <c r="I6" i="2"/>
  <c r="I7" i="2"/>
  <c r="I8" i="2"/>
  <c r="I9" i="2"/>
  <c r="I10" i="2"/>
  <c r="I11" i="2"/>
  <c r="I12" i="2"/>
  <c r="I13" i="2"/>
  <c r="I14" i="2"/>
  <c r="I15" i="2"/>
  <c r="I16" i="2"/>
  <c r="I17" i="2"/>
  <c r="I18" i="2"/>
  <c r="I19" i="2"/>
  <c r="I20" i="2"/>
  <c r="I21" i="2"/>
  <c r="I22" i="2"/>
  <c r="I23" i="2"/>
  <c r="I24" i="2"/>
  <c r="I25" i="2"/>
  <c r="I26" i="2"/>
  <c r="I27" i="2"/>
  <c r="F6" i="2"/>
  <c r="G6" i="2"/>
  <c r="H6" i="2"/>
  <c r="G3" i="10"/>
  <c r="J3" i="10"/>
  <c r="H3" i="10"/>
  <c r="K3" i="10"/>
  <c r="G4" i="10"/>
  <c r="J4" i="10"/>
  <c r="H4" i="10"/>
  <c r="K4" i="10"/>
  <c r="G5" i="10"/>
  <c r="J5" i="10"/>
  <c r="H5" i="10"/>
  <c r="K5" i="10"/>
  <c r="G6" i="10"/>
  <c r="J6" i="10"/>
  <c r="H6" i="10"/>
  <c r="K6" i="10"/>
  <c r="G7" i="10"/>
  <c r="J7" i="10"/>
  <c r="H7" i="10"/>
  <c r="K7" i="10"/>
  <c r="AM40" i="1"/>
  <c r="AQ33" i="1"/>
  <c r="AM28" i="1"/>
  <c r="AR33" i="1"/>
  <c r="AM36" i="1"/>
  <c r="AQ29" i="1"/>
  <c r="AM32" i="1"/>
  <c r="AR29" i="1"/>
  <c r="AM35" i="1"/>
  <c r="AQ28" i="1"/>
  <c r="AM33" i="1"/>
  <c r="AR28" i="1"/>
  <c r="AM34" i="1"/>
  <c r="J104" i="1"/>
  <c r="N104" i="1"/>
  <c r="W104" i="1"/>
  <c r="J108" i="1"/>
  <c r="N108" i="1"/>
  <c r="W108" i="1"/>
  <c r="J112" i="1"/>
  <c r="N112" i="1"/>
  <c r="W112" i="1"/>
  <c r="J116" i="1"/>
  <c r="N116" i="1"/>
  <c r="W116" i="1"/>
  <c r="J120" i="1"/>
  <c r="N120" i="1"/>
  <c r="W120" i="1"/>
  <c r="J124" i="1"/>
  <c r="N124" i="1"/>
  <c r="W124" i="1"/>
  <c r="J128" i="1"/>
  <c r="N128" i="1"/>
  <c r="W128" i="1"/>
  <c r="J132" i="1"/>
  <c r="N132" i="1"/>
  <c r="W132" i="1"/>
  <c r="J136" i="1"/>
  <c r="N136" i="1"/>
  <c r="W136" i="1"/>
  <c r="J140" i="1"/>
  <c r="N140" i="1"/>
  <c r="W140" i="1"/>
  <c r="J144" i="1"/>
  <c r="N144" i="1"/>
  <c r="W144" i="1"/>
  <c r="J106" i="1"/>
  <c r="N106" i="1"/>
  <c r="W106" i="1"/>
  <c r="J110" i="1"/>
  <c r="N110" i="1"/>
  <c r="W110" i="1"/>
  <c r="J118" i="1"/>
  <c r="N118" i="1"/>
  <c r="W118" i="1"/>
  <c r="J122" i="1"/>
  <c r="N122" i="1"/>
  <c r="W122" i="1"/>
  <c r="J126" i="1"/>
  <c r="N126" i="1"/>
  <c r="W126" i="1"/>
  <c r="J130" i="1"/>
  <c r="N130" i="1"/>
  <c r="W130" i="1"/>
  <c r="J138" i="1"/>
  <c r="N138" i="1"/>
  <c r="W138" i="1"/>
  <c r="J142" i="1"/>
  <c r="N142" i="1"/>
  <c r="W142" i="1"/>
  <c r="J111" i="1"/>
  <c r="N111" i="1"/>
  <c r="W111" i="1"/>
  <c r="J119" i="1"/>
  <c r="N119" i="1"/>
  <c r="W119" i="1"/>
  <c r="J123" i="1"/>
  <c r="N123" i="1"/>
  <c r="W123" i="1"/>
  <c r="J131" i="1"/>
  <c r="N131" i="1"/>
  <c r="W131" i="1"/>
  <c r="J135" i="1"/>
  <c r="N135" i="1"/>
  <c r="W135" i="1"/>
  <c r="J139" i="1"/>
  <c r="N139" i="1"/>
  <c r="W139" i="1"/>
  <c r="J105" i="1"/>
  <c r="N105" i="1"/>
  <c r="W105" i="1"/>
  <c r="J109" i="1"/>
  <c r="N109" i="1"/>
  <c r="W109" i="1"/>
  <c r="J113" i="1"/>
  <c r="N113" i="1"/>
  <c r="W113" i="1"/>
  <c r="J117" i="1"/>
  <c r="N117" i="1"/>
  <c r="W117" i="1"/>
  <c r="J121" i="1"/>
  <c r="N121" i="1"/>
  <c r="W121" i="1"/>
  <c r="J125" i="1"/>
  <c r="N125" i="1"/>
  <c r="W125" i="1"/>
  <c r="J129" i="1"/>
  <c r="N129" i="1"/>
  <c r="W129" i="1"/>
  <c r="J133" i="1"/>
  <c r="N133" i="1"/>
  <c r="W133" i="1"/>
  <c r="J137" i="1"/>
  <c r="N137" i="1"/>
  <c r="W137" i="1"/>
  <c r="J141" i="1"/>
  <c r="N141" i="1"/>
  <c r="W141" i="1"/>
  <c r="J145" i="1"/>
  <c r="N145" i="1"/>
  <c r="W145" i="1"/>
  <c r="J114" i="1"/>
  <c r="N114" i="1"/>
  <c r="W114" i="1"/>
  <c r="J134" i="1"/>
  <c r="N134" i="1"/>
  <c r="W134" i="1"/>
  <c r="J146" i="1"/>
  <c r="N146" i="1"/>
  <c r="W146" i="1"/>
  <c r="J127" i="1"/>
  <c r="N127" i="1"/>
  <c r="W127" i="1"/>
  <c r="J107" i="1"/>
  <c r="N107" i="1"/>
  <c r="W107" i="1"/>
  <c r="J143" i="1"/>
  <c r="N143" i="1"/>
  <c r="W143" i="1"/>
  <c r="J115" i="1"/>
  <c r="N115" i="1"/>
  <c r="W115" i="1"/>
  <c r="J15" i="1"/>
  <c r="N15" i="1"/>
  <c r="W15" i="1"/>
  <c r="J25" i="1"/>
  <c r="N25" i="1"/>
  <c r="W25" i="1"/>
  <c r="J16" i="1"/>
  <c r="N16" i="1"/>
  <c r="W16" i="1"/>
  <c r="J24" i="1"/>
  <c r="N24" i="1"/>
  <c r="W24" i="1"/>
  <c r="J28" i="1"/>
  <c r="N28" i="1"/>
  <c r="W28" i="1"/>
  <c r="J59" i="1"/>
  <c r="N59" i="1"/>
  <c r="W59" i="1"/>
  <c r="J38" i="1"/>
  <c r="N38" i="1"/>
  <c r="W38" i="1"/>
  <c r="J60" i="1"/>
  <c r="N60" i="1"/>
  <c r="W60" i="1"/>
  <c r="J39" i="1"/>
  <c r="N39" i="1"/>
  <c r="W39" i="1"/>
  <c r="J29" i="1"/>
  <c r="N29" i="1"/>
  <c r="W29" i="1"/>
  <c r="J20" i="1"/>
  <c r="N20" i="1"/>
  <c r="W20" i="1"/>
  <c r="J27" i="1"/>
  <c r="N27" i="1"/>
  <c r="W27" i="1"/>
  <c r="J19" i="1"/>
  <c r="N19" i="1"/>
  <c r="W19" i="1"/>
  <c r="J12" i="1"/>
  <c r="N12" i="1"/>
  <c r="W12" i="1"/>
  <c r="J66" i="1"/>
  <c r="N66" i="1"/>
  <c r="W66" i="1"/>
  <c r="J34" i="1"/>
  <c r="N34" i="1"/>
  <c r="W34" i="1"/>
  <c r="J77" i="1"/>
  <c r="N77" i="1"/>
  <c r="W77" i="1"/>
  <c r="J45" i="1"/>
  <c r="N45" i="1"/>
  <c r="W45" i="1"/>
  <c r="J72" i="1"/>
  <c r="N72" i="1"/>
  <c r="W72" i="1"/>
  <c r="J40" i="1"/>
  <c r="N40" i="1"/>
  <c r="W40" i="1"/>
  <c r="J99" i="1"/>
  <c r="N99" i="1"/>
  <c r="W99" i="1"/>
  <c r="J67" i="1"/>
  <c r="N67" i="1"/>
  <c r="W67" i="1"/>
  <c r="J35" i="1"/>
  <c r="N35" i="1"/>
  <c r="W35" i="1"/>
  <c r="J82" i="1"/>
  <c r="N82" i="1"/>
  <c r="W82" i="1"/>
  <c r="J62" i="1"/>
  <c r="N62" i="1"/>
  <c r="W62" i="1"/>
  <c r="J89" i="1"/>
  <c r="N89" i="1"/>
  <c r="W89" i="1"/>
  <c r="J57" i="1"/>
  <c r="N57" i="1"/>
  <c r="W57" i="1"/>
  <c r="J9" i="1"/>
  <c r="N9" i="1"/>
  <c r="W9" i="1"/>
  <c r="J84" i="1"/>
  <c r="N84" i="1"/>
  <c r="W84" i="1"/>
  <c r="J52" i="1"/>
  <c r="N52" i="1"/>
  <c r="W52" i="1"/>
  <c r="J95" i="1"/>
  <c r="N95" i="1"/>
  <c r="W95" i="1"/>
  <c r="J63" i="1"/>
  <c r="N63" i="1"/>
  <c r="W63" i="1"/>
  <c r="J31" i="1"/>
  <c r="N31" i="1"/>
  <c r="W31" i="1"/>
  <c r="J74" i="1"/>
  <c r="N74" i="1"/>
  <c r="W74" i="1"/>
  <c r="J58" i="1"/>
  <c r="N58" i="1"/>
  <c r="W58" i="1"/>
  <c r="J10" i="1"/>
  <c r="N10" i="1"/>
  <c r="W10" i="1"/>
  <c r="J85" i="1"/>
  <c r="N85" i="1"/>
  <c r="W85" i="1"/>
  <c r="J53" i="1"/>
  <c r="N53" i="1"/>
  <c r="W53" i="1"/>
  <c r="J96" i="1"/>
  <c r="N96" i="1"/>
  <c r="W96" i="1"/>
  <c r="J64" i="1"/>
  <c r="N64" i="1"/>
  <c r="W64" i="1"/>
  <c r="J32" i="1"/>
  <c r="N32" i="1"/>
  <c r="W32" i="1"/>
  <c r="J75" i="1"/>
  <c r="N75" i="1"/>
  <c r="W75" i="1"/>
  <c r="J43" i="1"/>
  <c r="N43" i="1"/>
  <c r="W43" i="1"/>
  <c r="J94" i="1"/>
  <c r="N94" i="1"/>
  <c r="W94" i="1"/>
  <c r="J54" i="1"/>
  <c r="N54" i="1"/>
  <c r="W54" i="1"/>
  <c r="J97" i="1"/>
  <c r="N97" i="1"/>
  <c r="W97" i="1"/>
  <c r="J65" i="1"/>
  <c r="N65" i="1"/>
  <c r="W65" i="1"/>
  <c r="J33" i="1"/>
  <c r="N33" i="1"/>
  <c r="W33" i="1"/>
  <c r="J76" i="1"/>
  <c r="N76" i="1"/>
  <c r="W76" i="1"/>
  <c r="J44" i="1"/>
  <c r="N44" i="1"/>
  <c r="W44" i="1"/>
  <c r="J87" i="1"/>
  <c r="N87" i="1"/>
  <c r="W87" i="1"/>
  <c r="J55" i="1"/>
  <c r="N55" i="1"/>
  <c r="W55" i="1"/>
  <c r="J11" i="1"/>
  <c r="N11" i="1"/>
  <c r="W11" i="1"/>
  <c r="J49" i="1"/>
  <c r="N49" i="1"/>
  <c r="W49" i="1"/>
  <c r="J71" i="1"/>
  <c r="N71" i="1"/>
  <c r="W71" i="1"/>
  <c r="J30" i="1"/>
  <c r="N30" i="1"/>
  <c r="W30" i="1"/>
  <c r="J26" i="1"/>
  <c r="N26" i="1"/>
  <c r="W26" i="1"/>
  <c r="J18" i="1"/>
  <c r="N18" i="1"/>
  <c r="W18" i="1"/>
  <c r="J22" i="1"/>
  <c r="N22" i="1"/>
  <c r="W22" i="1"/>
  <c r="J23" i="1"/>
  <c r="N23" i="1"/>
  <c r="W23" i="1"/>
  <c r="J81" i="1"/>
  <c r="N81" i="1"/>
  <c r="W81" i="1"/>
  <c r="J103" i="1"/>
  <c r="N103" i="1"/>
  <c r="W103" i="1"/>
  <c r="J14" i="1"/>
  <c r="N14" i="1"/>
  <c r="W14" i="1"/>
  <c r="J21" i="1"/>
  <c r="N21" i="1"/>
  <c r="W21" i="1"/>
  <c r="J13" i="1"/>
  <c r="N13" i="1"/>
  <c r="W13" i="1"/>
  <c r="J17" i="1"/>
  <c r="N17" i="1"/>
  <c r="W17" i="1"/>
  <c r="J98" i="1"/>
  <c r="N98" i="1"/>
  <c r="W98" i="1"/>
  <c r="J50" i="1"/>
  <c r="N50" i="1"/>
  <c r="W50" i="1"/>
  <c r="J93" i="1"/>
  <c r="N93" i="1"/>
  <c r="W93" i="1"/>
  <c r="J61" i="1"/>
  <c r="N61" i="1"/>
  <c r="W61" i="1"/>
  <c r="J88" i="1"/>
  <c r="N88" i="1"/>
  <c r="W88" i="1"/>
  <c r="J56" i="1"/>
  <c r="N56" i="1"/>
  <c r="W56" i="1"/>
  <c r="J8" i="1"/>
  <c r="N8" i="1"/>
  <c r="W8" i="1"/>
  <c r="J83" i="1"/>
  <c r="N83" i="1"/>
  <c r="W83" i="1"/>
  <c r="J51" i="1"/>
  <c r="N51" i="1"/>
  <c r="W51" i="1"/>
  <c r="J90" i="1"/>
  <c r="N90" i="1"/>
  <c r="W90" i="1"/>
  <c r="J102" i="1"/>
  <c r="N102" i="1"/>
  <c r="W102" i="1"/>
  <c r="J46" i="1"/>
  <c r="N46" i="1"/>
  <c r="W46" i="1"/>
  <c r="J73" i="1"/>
  <c r="N73" i="1"/>
  <c r="W73" i="1"/>
  <c r="J41" i="1"/>
  <c r="N41" i="1"/>
  <c r="W41" i="1"/>
  <c r="J100" i="1"/>
  <c r="N100" i="1"/>
  <c r="W100" i="1"/>
  <c r="J68" i="1"/>
  <c r="N68" i="1"/>
  <c r="W68" i="1"/>
  <c r="J36" i="1"/>
  <c r="N36" i="1"/>
  <c r="W36" i="1"/>
  <c r="J79" i="1"/>
  <c r="N79" i="1"/>
  <c r="W79" i="1"/>
  <c r="J47" i="1"/>
  <c r="N47" i="1"/>
  <c r="W47" i="1"/>
  <c r="J78" i="1"/>
  <c r="N78" i="1"/>
  <c r="W78" i="1"/>
  <c r="J86" i="1"/>
  <c r="N86" i="1"/>
  <c r="W86" i="1"/>
  <c r="J42" i="1"/>
  <c r="N42" i="1"/>
  <c r="W42" i="1"/>
  <c r="J101" i="1"/>
  <c r="N101" i="1"/>
  <c r="W101" i="1"/>
  <c r="J69" i="1"/>
  <c r="N69" i="1"/>
  <c r="W69" i="1"/>
  <c r="J37" i="1"/>
  <c r="N37" i="1"/>
  <c r="W37" i="1"/>
  <c r="J80" i="1"/>
  <c r="N80" i="1"/>
  <c r="W80" i="1"/>
  <c r="J48" i="1"/>
  <c r="N48" i="1"/>
  <c r="W48" i="1"/>
  <c r="J91" i="1"/>
  <c r="N91" i="1"/>
  <c r="W91" i="1"/>
  <c r="J70" i="1"/>
  <c r="N70" i="1"/>
  <c r="W70" i="1"/>
  <c r="J92" i="1"/>
  <c r="N92" i="1"/>
  <c r="W92" i="1"/>
  <c r="C8" i="17"/>
  <c r="C7" i="17"/>
  <c r="AP33" i="1"/>
  <c r="C9" i="17"/>
  <c r="C10" i="17"/>
  <c r="AL14" i="1"/>
  <c r="AL15" i="1"/>
  <c r="BK15" i="1"/>
  <c r="BL15" i="1"/>
  <c r="BK17" i="1"/>
  <c r="BK13" i="1"/>
  <c r="BL13" i="1"/>
  <c r="BK18" i="1"/>
  <c r="BK19" i="1"/>
  <c r="BL19" i="1"/>
  <c r="BK16" i="1"/>
  <c r="BL16" i="1"/>
  <c r="BK21" i="1"/>
  <c r="BL21" i="1"/>
  <c r="BK20" i="1"/>
  <c r="BL20" i="1"/>
  <c r="BK14" i="1"/>
  <c r="BL14"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BD33" i="1"/>
  <c r="BD35" i="1"/>
  <c r="BD31" i="1"/>
  <c r="BD32" i="1"/>
  <c r="BD34" i="1"/>
  <c r="BD36" i="1"/>
  <c r="C14" i="17"/>
  <c r="C18" i="17"/>
  <c r="C22" i="17"/>
  <c r="C34" i="17"/>
  <c r="C38" i="17"/>
  <c r="C42" i="17"/>
  <c r="C46" i="17"/>
  <c r="C52" i="17"/>
  <c r="C56" i="17"/>
  <c r="C60" i="17"/>
  <c r="C64" i="17"/>
  <c r="C16" i="17"/>
  <c r="C32" i="17"/>
  <c r="C40" i="17"/>
  <c r="C58" i="17"/>
  <c r="C66" i="17"/>
  <c r="C11" i="17"/>
  <c r="C15" i="17"/>
  <c r="C19" i="17"/>
  <c r="C31" i="17"/>
  <c r="C35" i="17"/>
  <c r="C39" i="17"/>
  <c r="C43" i="17"/>
  <c r="C53" i="17"/>
  <c r="C57" i="17"/>
  <c r="C61" i="17"/>
  <c r="C65" i="17"/>
  <c r="C12" i="17"/>
  <c r="C20" i="17"/>
  <c r="C36" i="17"/>
  <c r="C44" i="17"/>
  <c r="C54" i="17"/>
  <c r="C62" i="17"/>
  <c r="C33" i="17"/>
  <c r="C51" i="17"/>
  <c r="C13" i="17"/>
  <c r="C37" i="17"/>
  <c r="C55" i="17"/>
  <c r="C17" i="17"/>
  <c r="C41" i="17"/>
  <c r="C21" i="17"/>
  <c r="C63" i="17"/>
  <c r="C59" i="17"/>
  <c r="C45" i="17"/>
  <c r="U6" i="1"/>
  <c r="B6" i="1"/>
  <c r="K9" i="1"/>
  <c r="O9" i="1"/>
  <c r="K11" i="1"/>
  <c r="O11" i="1"/>
  <c r="X11" i="1"/>
  <c r="K32" i="1"/>
  <c r="O32" i="1"/>
  <c r="X32" i="1"/>
  <c r="K34" i="1"/>
  <c r="O34" i="1"/>
  <c r="X34" i="1"/>
  <c r="K36" i="1"/>
  <c r="O36" i="1"/>
  <c r="X36" i="1"/>
  <c r="K38" i="1"/>
  <c r="O38" i="1"/>
  <c r="X38" i="1"/>
  <c r="K40" i="1"/>
  <c r="O40" i="1"/>
  <c r="X40" i="1"/>
  <c r="K42" i="1"/>
  <c r="O42" i="1"/>
  <c r="X42" i="1"/>
  <c r="K44" i="1"/>
  <c r="O44" i="1"/>
  <c r="X44" i="1"/>
  <c r="K46" i="1"/>
  <c r="O46" i="1"/>
  <c r="X46" i="1"/>
  <c r="K48" i="1"/>
  <c r="O48" i="1"/>
  <c r="X48" i="1"/>
  <c r="K50" i="1"/>
  <c r="O50" i="1"/>
  <c r="X50" i="1"/>
  <c r="K52" i="1"/>
  <c r="O52" i="1"/>
  <c r="X52" i="1"/>
  <c r="K54" i="1"/>
  <c r="O54" i="1"/>
  <c r="X54" i="1"/>
  <c r="K56" i="1"/>
  <c r="O56" i="1"/>
  <c r="X56" i="1"/>
  <c r="K58" i="1"/>
  <c r="O58" i="1"/>
  <c r="X58" i="1"/>
  <c r="K60" i="1"/>
  <c r="O60" i="1"/>
  <c r="X60" i="1"/>
  <c r="K62" i="1"/>
  <c r="O62" i="1"/>
  <c r="X62" i="1"/>
  <c r="K64" i="1"/>
  <c r="O64" i="1"/>
  <c r="X64" i="1"/>
  <c r="K66" i="1"/>
  <c r="O66" i="1"/>
  <c r="X66" i="1"/>
  <c r="K68" i="1"/>
  <c r="O68" i="1"/>
  <c r="X68" i="1"/>
  <c r="K70" i="1"/>
  <c r="O70" i="1"/>
  <c r="X70" i="1"/>
  <c r="K72" i="1"/>
  <c r="O72" i="1"/>
  <c r="X72" i="1"/>
  <c r="K74" i="1"/>
  <c r="O74" i="1"/>
  <c r="X74" i="1"/>
  <c r="K76" i="1"/>
  <c r="O76" i="1"/>
  <c r="X76" i="1"/>
  <c r="K78" i="1"/>
  <c r="O78" i="1"/>
  <c r="X78" i="1"/>
  <c r="K80" i="1"/>
  <c r="O80" i="1"/>
  <c r="X80" i="1"/>
  <c r="K82" i="1"/>
  <c r="O82" i="1"/>
  <c r="X82" i="1"/>
  <c r="K84" i="1"/>
  <c r="O84" i="1"/>
  <c r="X84" i="1"/>
  <c r="K86" i="1"/>
  <c r="O86" i="1"/>
  <c r="X86" i="1"/>
  <c r="K88" i="1"/>
  <c r="O88" i="1"/>
  <c r="X88" i="1"/>
  <c r="K90" i="1"/>
  <c r="O90" i="1"/>
  <c r="X90" i="1"/>
  <c r="K92" i="1"/>
  <c r="O92" i="1"/>
  <c r="X92" i="1"/>
  <c r="K94" i="1"/>
  <c r="O94" i="1"/>
  <c r="X94" i="1"/>
  <c r="K96" i="1"/>
  <c r="O96" i="1"/>
  <c r="X96" i="1"/>
  <c r="K98" i="1"/>
  <c r="O98" i="1"/>
  <c r="X98" i="1"/>
  <c r="K100" i="1"/>
  <c r="O100" i="1"/>
  <c r="X100" i="1"/>
  <c r="K102" i="1"/>
  <c r="O102" i="1"/>
  <c r="X102" i="1"/>
  <c r="L104" i="1"/>
  <c r="P104" i="1"/>
  <c r="Y104" i="1"/>
  <c r="L107" i="1"/>
  <c r="P107" i="1"/>
  <c r="Y107" i="1"/>
  <c r="L109" i="1"/>
  <c r="P109" i="1"/>
  <c r="Y109" i="1"/>
  <c r="L111" i="1"/>
  <c r="P111" i="1"/>
  <c r="Y111" i="1"/>
  <c r="L113" i="1"/>
  <c r="P113" i="1"/>
  <c r="Y113" i="1"/>
  <c r="L115" i="1"/>
  <c r="P115" i="1"/>
  <c r="Y115" i="1"/>
  <c r="L117" i="1"/>
  <c r="P117" i="1"/>
  <c r="Y117" i="1"/>
  <c r="L119" i="1"/>
  <c r="P119" i="1"/>
  <c r="Y119" i="1"/>
  <c r="L121" i="1"/>
  <c r="P121" i="1"/>
  <c r="Y121" i="1"/>
  <c r="L123" i="1"/>
  <c r="P123" i="1"/>
  <c r="Y123" i="1"/>
  <c r="L125" i="1"/>
  <c r="P125" i="1"/>
  <c r="Y125" i="1"/>
  <c r="L127" i="1"/>
  <c r="P127" i="1"/>
  <c r="Y127" i="1"/>
  <c r="L129" i="1"/>
  <c r="P129" i="1"/>
  <c r="Y129" i="1"/>
  <c r="L131" i="1"/>
  <c r="P131" i="1"/>
  <c r="Y131" i="1"/>
  <c r="L133" i="1"/>
  <c r="P133" i="1"/>
  <c r="Y133" i="1"/>
  <c r="L135" i="1"/>
  <c r="P135" i="1"/>
  <c r="Y135" i="1"/>
  <c r="L137" i="1"/>
  <c r="P137" i="1"/>
  <c r="Y137" i="1"/>
  <c r="L139" i="1"/>
  <c r="P139" i="1"/>
  <c r="Y139" i="1"/>
  <c r="L142" i="1"/>
  <c r="P142" i="1"/>
  <c r="Y142" i="1"/>
  <c r="L144" i="1"/>
  <c r="P144" i="1"/>
  <c r="Y144" i="1"/>
  <c r="K146" i="1"/>
  <c r="O146" i="1"/>
  <c r="X146" i="1"/>
  <c r="L9" i="1"/>
  <c r="P9" i="1"/>
  <c r="Y9" i="1"/>
  <c r="L11" i="1"/>
  <c r="P11" i="1"/>
  <c r="Y11" i="1"/>
  <c r="L32" i="1"/>
  <c r="P32" i="1"/>
  <c r="Y32" i="1"/>
  <c r="L34" i="1"/>
  <c r="P34" i="1"/>
  <c r="Y34" i="1"/>
  <c r="L36" i="1"/>
  <c r="P36" i="1"/>
  <c r="Y36" i="1"/>
  <c r="L38" i="1"/>
  <c r="P38" i="1"/>
  <c r="Y38" i="1"/>
  <c r="L40" i="1"/>
  <c r="P40" i="1"/>
  <c r="Y40" i="1"/>
  <c r="L42" i="1"/>
  <c r="P42" i="1"/>
  <c r="Y42" i="1"/>
  <c r="L44" i="1"/>
  <c r="P44" i="1"/>
  <c r="Y44" i="1"/>
  <c r="L46" i="1"/>
  <c r="P46" i="1"/>
  <c r="Y46" i="1"/>
  <c r="L48" i="1"/>
  <c r="P48" i="1"/>
  <c r="Y48" i="1"/>
  <c r="L50" i="1"/>
  <c r="P50" i="1"/>
  <c r="Y50" i="1"/>
  <c r="L52" i="1"/>
  <c r="P52" i="1"/>
  <c r="Y52" i="1"/>
  <c r="L54" i="1"/>
  <c r="P54" i="1"/>
  <c r="Y54" i="1"/>
  <c r="L56" i="1"/>
  <c r="P56" i="1"/>
  <c r="Y56" i="1"/>
  <c r="L58" i="1"/>
  <c r="P58" i="1"/>
  <c r="Y58" i="1"/>
  <c r="L60" i="1"/>
  <c r="P60" i="1"/>
  <c r="Y60" i="1"/>
  <c r="L62" i="1"/>
  <c r="P62" i="1"/>
  <c r="Y62" i="1"/>
  <c r="L64" i="1"/>
  <c r="P64" i="1"/>
  <c r="Y64" i="1"/>
  <c r="L66" i="1"/>
  <c r="P66" i="1"/>
  <c r="Y66" i="1"/>
  <c r="L68" i="1"/>
  <c r="P68" i="1"/>
  <c r="Y68" i="1"/>
  <c r="L70" i="1"/>
  <c r="P70" i="1"/>
  <c r="Y70" i="1"/>
  <c r="L72" i="1"/>
  <c r="P72" i="1"/>
  <c r="Y72" i="1"/>
  <c r="L74" i="1"/>
  <c r="P74" i="1"/>
  <c r="Y74" i="1"/>
  <c r="L76" i="1"/>
  <c r="P76" i="1"/>
  <c r="Y76" i="1"/>
  <c r="L78" i="1"/>
  <c r="P78" i="1"/>
  <c r="Y78" i="1"/>
  <c r="L80" i="1"/>
  <c r="P80" i="1"/>
  <c r="Y80" i="1"/>
  <c r="L82" i="1"/>
  <c r="P82" i="1"/>
  <c r="Y82" i="1"/>
  <c r="L84" i="1"/>
  <c r="P84" i="1"/>
  <c r="Y84" i="1"/>
  <c r="L86" i="1"/>
  <c r="P86" i="1"/>
  <c r="Y86" i="1"/>
  <c r="L88" i="1"/>
  <c r="P88" i="1"/>
  <c r="Y88" i="1"/>
  <c r="L90" i="1"/>
  <c r="P90" i="1"/>
  <c r="Y90" i="1"/>
  <c r="L92" i="1"/>
  <c r="P92" i="1"/>
  <c r="Y92" i="1"/>
  <c r="L94" i="1"/>
  <c r="P94" i="1"/>
  <c r="Y94" i="1"/>
  <c r="L96" i="1"/>
  <c r="P96" i="1"/>
  <c r="Y96" i="1"/>
  <c r="L98" i="1"/>
  <c r="P98" i="1"/>
  <c r="Y98" i="1"/>
  <c r="L100" i="1"/>
  <c r="P100" i="1"/>
  <c r="Y100" i="1"/>
  <c r="L102" i="1"/>
  <c r="P102" i="1"/>
  <c r="Y102" i="1"/>
  <c r="L105" i="1"/>
  <c r="P105" i="1"/>
  <c r="Y105" i="1"/>
  <c r="K108" i="1"/>
  <c r="O108" i="1"/>
  <c r="X108" i="1"/>
  <c r="K110" i="1"/>
  <c r="O110" i="1"/>
  <c r="X110" i="1"/>
  <c r="K112" i="1"/>
  <c r="O112" i="1"/>
  <c r="X112" i="1"/>
  <c r="K114" i="1"/>
  <c r="O114" i="1"/>
  <c r="X114" i="1"/>
  <c r="K116" i="1"/>
  <c r="O116" i="1"/>
  <c r="X116" i="1"/>
  <c r="K118" i="1"/>
  <c r="O118" i="1"/>
  <c r="X118" i="1"/>
  <c r="K120" i="1"/>
  <c r="O120" i="1"/>
  <c r="X120" i="1"/>
  <c r="K122" i="1"/>
  <c r="O122" i="1"/>
  <c r="X122" i="1"/>
  <c r="K124" i="1"/>
  <c r="O124" i="1"/>
  <c r="X124" i="1"/>
  <c r="K126" i="1"/>
  <c r="O126" i="1"/>
  <c r="X126" i="1"/>
  <c r="K128" i="1"/>
  <c r="O128" i="1"/>
  <c r="X128" i="1"/>
  <c r="K130" i="1"/>
  <c r="O130" i="1"/>
  <c r="X130" i="1"/>
  <c r="K132" i="1"/>
  <c r="O132" i="1"/>
  <c r="X132" i="1"/>
  <c r="K134" i="1"/>
  <c r="O134" i="1"/>
  <c r="X134" i="1"/>
  <c r="K136" i="1"/>
  <c r="O136" i="1"/>
  <c r="X136" i="1"/>
  <c r="K138" i="1"/>
  <c r="O138" i="1"/>
  <c r="X138" i="1"/>
  <c r="K140" i="1"/>
  <c r="O140" i="1"/>
  <c r="X140" i="1"/>
  <c r="K143" i="1"/>
  <c r="O143" i="1"/>
  <c r="X143" i="1"/>
  <c r="K145" i="1"/>
  <c r="O145" i="1"/>
  <c r="X145" i="1"/>
  <c r="K8" i="1"/>
  <c r="O8" i="1"/>
  <c r="X8" i="1"/>
  <c r="K10" i="1"/>
  <c r="O10" i="1"/>
  <c r="X10" i="1"/>
  <c r="K31" i="1"/>
  <c r="O31" i="1"/>
  <c r="X31" i="1"/>
  <c r="K33" i="1"/>
  <c r="O33" i="1"/>
  <c r="X33" i="1"/>
  <c r="K35" i="1"/>
  <c r="O35" i="1"/>
  <c r="X35" i="1"/>
  <c r="K37" i="1"/>
  <c r="O37" i="1"/>
  <c r="X37" i="1"/>
  <c r="K39" i="1"/>
  <c r="O39" i="1"/>
  <c r="X39" i="1"/>
  <c r="K41" i="1"/>
  <c r="O41" i="1"/>
  <c r="X41" i="1"/>
  <c r="K43" i="1"/>
  <c r="O43" i="1"/>
  <c r="X43" i="1"/>
  <c r="K45" i="1"/>
  <c r="O45" i="1"/>
  <c r="X45" i="1"/>
  <c r="K47" i="1"/>
  <c r="O47" i="1"/>
  <c r="X47" i="1"/>
  <c r="K49" i="1"/>
  <c r="O49" i="1"/>
  <c r="X49" i="1"/>
  <c r="K51" i="1"/>
  <c r="O51" i="1"/>
  <c r="X51" i="1"/>
  <c r="K53" i="1"/>
  <c r="O53" i="1"/>
  <c r="X53" i="1"/>
  <c r="K55" i="1"/>
  <c r="O55" i="1"/>
  <c r="X55" i="1"/>
  <c r="K57" i="1"/>
  <c r="O57" i="1"/>
  <c r="X57" i="1"/>
  <c r="K59" i="1"/>
  <c r="O59" i="1"/>
  <c r="X59" i="1"/>
  <c r="K61" i="1"/>
  <c r="O61" i="1"/>
  <c r="X61" i="1"/>
  <c r="K63" i="1"/>
  <c r="O63" i="1"/>
  <c r="X63" i="1"/>
  <c r="K65" i="1"/>
  <c r="O65" i="1"/>
  <c r="X65" i="1"/>
  <c r="K67" i="1"/>
  <c r="O67" i="1"/>
  <c r="X67" i="1"/>
  <c r="K69" i="1"/>
  <c r="O69" i="1"/>
  <c r="X69" i="1"/>
  <c r="K71" i="1"/>
  <c r="O71" i="1"/>
  <c r="X71" i="1"/>
  <c r="K73" i="1"/>
  <c r="O73" i="1"/>
  <c r="X73" i="1"/>
  <c r="K75" i="1"/>
  <c r="O75" i="1"/>
  <c r="X75" i="1"/>
  <c r="K77" i="1"/>
  <c r="O77" i="1"/>
  <c r="X77" i="1"/>
  <c r="K79" i="1"/>
  <c r="O79" i="1"/>
  <c r="X79" i="1"/>
  <c r="K81" i="1"/>
  <c r="O81" i="1"/>
  <c r="X81" i="1"/>
  <c r="K83" i="1"/>
  <c r="O83" i="1"/>
  <c r="X83" i="1"/>
  <c r="K85" i="1"/>
  <c r="O85" i="1"/>
  <c r="X85" i="1"/>
  <c r="K87" i="1"/>
  <c r="O87" i="1"/>
  <c r="X87" i="1"/>
  <c r="K89" i="1"/>
  <c r="O89" i="1"/>
  <c r="X89" i="1"/>
  <c r="K91" i="1"/>
  <c r="O91" i="1"/>
  <c r="X91" i="1"/>
  <c r="K93" i="1"/>
  <c r="O93" i="1"/>
  <c r="X93" i="1"/>
  <c r="K95" i="1"/>
  <c r="O95" i="1"/>
  <c r="X95" i="1"/>
  <c r="K97" i="1"/>
  <c r="O97" i="1"/>
  <c r="X97" i="1"/>
  <c r="K99" i="1"/>
  <c r="O99" i="1"/>
  <c r="X99" i="1"/>
  <c r="K101" i="1"/>
  <c r="O101" i="1"/>
  <c r="X101" i="1"/>
  <c r="K103" i="1"/>
  <c r="O103" i="1"/>
  <c r="X103" i="1"/>
  <c r="L106" i="1"/>
  <c r="P106" i="1"/>
  <c r="Y106" i="1"/>
  <c r="L108" i="1"/>
  <c r="P108" i="1"/>
  <c r="Y108" i="1"/>
  <c r="L110" i="1"/>
  <c r="P110" i="1"/>
  <c r="Y110" i="1"/>
  <c r="L112" i="1"/>
  <c r="P112" i="1"/>
  <c r="Y112" i="1"/>
  <c r="L114" i="1"/>
  <c r="P114" i="1"/>
  <c r="Y114" i="1"/>
  <c r="L116" i="1"/>
  <c r="P116" i="1"/>
  <c r="Y116" i="1"/>
  <c r="L118" i="1"/>
  <c r="P118" i="1"/>
  <c r="Y118" i="1"/>
  <c r="L120" i="1"/>
  <c r="P120" i="1"/>
  <c r="Y120" i="1"/>
  <c r="L122" i="1"/>
  <c r="P122" i="1"/>
  <c r="Y122" i="1"/>
  <c r="L124" i="1"/>
  <c r="P124" i="1"/>
  <c r="Y124" i="1"/>
  <c r="L126" i="1"/>
  <c r="P126" i="1"/>
  <c r="Y126" i="1"/>
  <c r="L128" i="1"/>
  <c r="P128" i="1"/>
  <c r="Y128" i="1"/>
  <c r="L130" i="1"/>
  <c r="P130" i="1"/>
  <c r="Y130" i="1"/>
  <c r="L132" i="1"/>
  <c r="P132" i="1"/>
  <c r="Y132" i="1"/>
  <c r="L134" i="1"/>
  <c r="P134" i="1"/>
  <c r="Y134" i="1"/>
  <c r="L136" i="1"/>
  <c r="P136" i="1"/>
  <c r="Y136" i="1"/>
  <c r="L138" i="1"/>
  <c r="P138" i="1"/>
  <c r="Y138" i="1"/>
  <c r="L140" i="1"/>
  <c r="P140" i="1"/>
  <c r="Y140" i="1"/>
  <c r="L143" i="1"/>
  <c r="P143" i="1"/>
  <c r="Y143" i="1"/>
  <c r="L145" i="1"/>
  <c r="P145" i="1"/>
  <c r="Y145" i="1"/>
  <c r="L8" i="1"/>
  <c r="P8" i="1"/>
  <c r="Y8" i="1"/>
  <c r="L10" i="1"/>
  <c r="P10" i="1"/>
  <c r="Y10" i="1"/>
  <c r="L31" i="1"/>
  <c r="P31" i="1"/>
  <c r="Y31" i="1"/>
  <c r="L33" i="1"/>
  <c r="P33" i="1"/>
  <c r="Y33" i="1"/>
  <c r="L35" i="1"/>
  <c r="P35" i="1"/>
  <c r="Y35" i="1"/>
  <c r="L37" i="1"/>
  <c r="P37" i="1"/>
  <c r="Y37" i="1"/>
  <c r="L39" i="1"/>
  <c r="P39" i="1"/>
  <c r="Y39" i="1"/>
  <c r="L41" i="1"/>
  <c r="P41" i="1"/>
  <c r="Y41" i="1"/>
  <c r="L43" i="1"/>
  <c r="P43" i="1"/>
  <c r="Y43" i="1"/>
  <c r="L45" i="1"/>
  <c r="P45" i="1"/>
  <c r="Y45" i="1"/>
  <c r="L47" i="1"/>
  <c r="P47" i="1"/>
  <c r="Y47" i="1"/>
  <c r="L49" i="1"/>
  <c r="P49" i="1"/>
  <c r="Y49" i="1"/>
  <c r="L51" i="1"/>
  <c r="P51" i="1"/>
  <c r="Y51" i="1"/>
  <c r="L53" i="1"/>
  <c r="P53" i="1"/>
  <c r="Y53" i="1"/>
  <c r="L55" i="1"/>
  <c r="P55" i="1"/>
  <c r="Y55" i="1"/>
  <c r="L57" i="1"/>
  <c r="P57" i="1"/>
  <c r="Y57" i="1"/>
  <c r="L59" i="1"/>
  <c r="P59" i="1"/>
  <c r="Y59" i="1"/>
  <c r="L61" i="1"/>
  <c r="P61" i="1"/>
  <c r="Y61" i="1"/>
  <c r="L63" i="1"/>
  <c r="P63" i="1"/>
  <c r="Y63" i="1"/>
  <c r="L65" i="1"/>
  <c r="P65" i="1"/>
  <c r="Y65" i="1"/>
  <c r="L67" i="1"/>
  <c r="P67" i="1"/>
  <c r="Y67" i="1"/>
  <c r="L69" i="1"/>
  <c r="P69" i="1"/>
  <c r="Y69" i="1"/>
  <c r="L71" i="1"/>
  <c r="P71" i="1"/>
  <c r="Y71" i="1"/>
  <c r="L73" i="1"/>
  <c r="P73" i="1"/>
  <c r="Y73" i="1"/>
  <c r="L75" i="1"/>
  <c r="P75" i="1"/>
  <c r="Y75" i="1"/>
  <c r="L77" i="1"/>
  <c r="P77" i="1"/>
  <c r="Y77" i="1"/>
  <c r="L79" i="1"/>
  <c r="P79" i="1"/>
  <c r="Y79" i="1"/>
  <c r="L81" i="1"/>
  <c r="P81" i="1"/>
  <c r="Y81" i="1"/>
  <c r="L83" i="1"/>
  <c r="P83" i="1"/>
  <c r="Y83" i="1"/>
  <c r="L85" i="1"/>
  <c r="P85" i="1"/>
  <c r="Y85" i="1"/>
  <c r="L87" i="1"/>
  <c r="P87" i="1"/>
  <c r="Y87" i="1"/>
  <c r="L89" i="1"/>
  <c r="P89" i="1"/>
  <c r="Y89" i="1"/>
  <c r="L91" i="1"/>
  <c r="P91" i="1"/>
  <c r="Y91" i="1"/>
  <c r="L93" i="1"/>
  <c r="P93" i="1"/>
  <c r="Y93" i="1"/>
  <c r="L95" i="1"/>
  <c r="P95" i="1"/>
  <c r="Y95" i="1"/>
  <c r="L97" i="1"/>
  <c r="P97" i="1"/>
  <c r="Y97" i="1"/>
  <c r="L99" i="1"/>
  <c r="P99" i="1"/>
  <c r="Y99" i="1"/>
  <c r="L101" i="1"/>
  <c r="P101" i="1"/>
  <c r="Y101" i="1"/>
  <c r="L103" i="1"/>
  <c r="P103" i="1"/>
  <c r="Y103" i="1"/>
  <c r="K107" i="1"/>
  <c r="O107" i="1"/>
  <c r="X107" i="1"/>
  <c r="K109" i="1"/>
  <c r="O109" i="1"/>
  <c r="X109" i="1"/>
  <c r="K111" i="1"/>
  <c r="O111" i="1"/>
  <c r="X111" i="1"/>
  <c r="K113" i="1"/>
  <c r="O113" i="1"/>
  <c r="X113" i="1"/>
  <c r="K115" i="1"/>
  <c r="O115" i="1"/>
  <c r="X115" i="1"/>
  <c r="K117" i="1"/>
  <c r="O117" i="1"/>
  <c r="X117" i="1"/>
  <c r="K119" i="1"/>
  <c r="O119" i="1"/>
  <c r="X119" i="1"/>
  <c r="K121" i="1"/>
  <c r="O121" i="1"/>
  <c r="X121" i="1"/>
  <c r="K123" i="1"/>
  <c r="O123" i="1"/>
  <c r="X123" i="1"/>
  <c r="K125" i="1"/>
  <c r="O125" i="1"/>
  <c r="X125" i="1"/>
  <c r="K127" i="1"/>
  <c r="O127" i="1"/>
  <c r="X127" i="1"/>
  <c r="K129" i="1"/>
  <c r="O129" i="1"/>
  <c r="X129" i="1"/>
  <c r="K131" i="1"/>
  <c r="O131" i="1"/>
  <c r="X131" i="1"/>
  <c r="K133" i="1"/>
  <c r="O133" i="1"/>
  <c r="X133" i="1"/>
  <c r="K135" i="1"/>
  <c r="O135" i="1"/>
  <c r="X135" i="1"/>
  <c r="K137" i="1"/>
  <c r="O137" i="1"/>
  <c r="X137" i="1"/>
  <c r="K139" i="1"/>
  <c r="O139" i="1"/>
  <c r="X139" i="1"/>
  <c r="L141" i="1"/>
  <c r="P141" i="1"/>
  <c r="Y141" i="1"/>
  <c r="K144" i="1"/>
  <c r="O144" i="1"/>
  <c r="X144" i="1"/>
  <c r="L146" i="1"/>
  <c r="P146" i="1"/>
  <c r="Y146" i="1"/>
  <c r="BA8" i="1"/>
  <c r="BA9" i="1"/>
  <c r="BA10" i="1"/>
  <c r="BA11" i="1"/>
  <c r="BA12" i="1"/>
  <c r="C7" i="1"/>
  <c r="B7" i="1"/>
  <c r="AP30" i="1"/>
  <c r="AP32" i="1"/>
  <c r="AP29" i="1"/>
  <c r="AP31" i="1"/>
  <c r="AP28" i="1"/>
  <c r="F7" i="2"/>
  <c r="I3" i="2"/>
  <c r="I1" i="2"/>
  <c r="G4" i="2"/>
  <c r="G5" i="2"/>
  <c r="Q6" i="1"/>
  <c r="X9" i="1"/>
  <c r="AP35" i="1"/>
  <c r="BL18" i="1"/>
  <c r="BK23" i="1"/>
  <c r="BK24" i="1"/>
  <c r="BL17" i="1"/>
  <c r="C8" i="1"/>
  <c r="B8" i="1"/>
  <c r="U7" i="1"/>
  <c r="F8" i="2"/>
  <c r="G7" i="2"/>
  <c r="H4" i="2"/>
  <c r="H5" i="2"/>
  <c r="AL16" i="1"/>
  <c r="AG104" i="1"/>
  <c r="AH104" i="1"/>
  <c r="AG81" i="1"/>
  <c r="AG71" i="1"/>
  <c r="AG77" i="1"/>
  <c r="AG90" i="1"/>
  <c r="AG73" i="1"/>
  <c r="AG68" i="1"/>
  <c r="AG92" i="1"/>
  <c r="AG99" i="1"/>
  <c r="AG86" i="1"/>
  <c r="AG69" i="1"/>
  <c r="AG64" i="1"/>
  <c r="AG67" i="1"/>
  <c r="AG84" i="1"/>
  <c r="AG102" i="1"/>
  <c r="AG91" i="1"/>
  <c r="AG76" i="1"/>
  <c r="AG101" i="1"/>
  <c r="AG74" i="1"/>
  <c r="AG87" i="1"/>
  <c r="AG98" i="1"/>
  <c r="AG79" i="1"/>
  <c r="AG88" i="1"/>
  <c r="AG70" i="1"/>
  <c r="AG75" i="1"/>
  <c r="AG97" i="1"/>
  <c r="AG65" i="1"/>
  <c r="AG85" i="1"/>
  <c r="AG82" i="1"/>
  <c r="AG94" i="1"/>
  <c r="AG72" i="1"/>
  <c r="AG83" i="1"/>
  <c r="AG100" i="1"/>
  <c r="AG66" i="1"/>
  <c r="AG78" i="1"/>
  <c r="AG103" i="1"/>
  <c r="AG63" i="1"/>
  <c r="AG96" i="1"/>
  <c r="AG95" i="1"/>
  <c r="AG89" i="1"/>
  <c r="AG93" i="1"/>
  <c r="AG80" i="1"/>
  <c r="AP10" i="1"/>
  <c r="AR10" i="1"/>
  <c r="AH80" i="1"/>
  <c r="AH81" i="1"/>
  <c r="AH82" i="1"/>
  <c r="AH71" i="1"/>
  <c r="AH94" i="1"/>
  <c r="AH77" i="1"/>
  <c r="AH72" i="1"/>
  <c r="AH90" i="1"/>
  <c r="AH83" i="1"/>
  <c r="AH73" i="1"/>
  <c r="AH100" i="1"/>
  <c r="AH68" i="1"/>
  <c r="AH66" i="1"/>
  <c r="AH92" i="1"/>
  <c r="AH78" i="1"/>
  <c r="AH99" i="1"/>
  <c r="AH103" i="1"/>
  <c r="AH86" i="1"/>
  <c r="AH63" i="1"/>
  <c r="AH69" i="1"/>
  <c r="AH96" i="1"/>
  <c r="AH64" i="1"/>
  <c r="AH67" i="1"/>
  <c r="AH89" i="1"/>
  <c r="AH98" i="1"/>
  <c r="AH79" i="1"/>
  <c r="AH88" i="1"/>
  <c r="AH70" i="1"/>
  <c r="AH75" i="1"/>
  <c r="AH91" i="1"/>
  <c r="AH97" i="1"/>
  <c r="AH76" i="1"/>
  <c r="AH95" i="1"/>
  <c r="AH101" i="1"/>
  <c r="AH74" i="1"/>
  <c r="AH87" i="1"/>
  <c r="AH84" i="1"/>
  <c r="AH65" i="1"/>
  <c r="AH93" i="1"/>
  <c r="AH102" i="1"/>
  <c r="AH85" i="1"/>
  <c r="AE61" i="1"/>
  <c r="AE62" i="1"/>
  <c r="AD6" i="1"/>
  <c r="AL11" i="1"/>
  <c r="AL12" i="1"/>
  <c r="K142" i="1"/>
  <c r="O142" i="1"/>
  <c r="X142" i="1"/>
  <c r="V142" i="1"/>
  <c r="K141" i="1"/>
  <c r="O141" i="1"/>
  <c r="X141" i="1"/>
  <c r="V141" i="1"/>
  <c r="C9" i="1"/>
  <c r="U8" i="1"/>
  <c r="H7" i="2"/>
  <c r="G8" i="2"/>
  <c r="F9" i="2"/>
  <c r="AN6" i="1"/>
  <c r="BG8" i="1"/>
  <c r="AG62" i="1"/>
  <c r="AH62" i="1"/>
  <c r="AG61" i="1"/>
  <c r="AH61" i="1"/>
  <c r="AF62" i="1"/>
  <c r="AF61" i="1"/>
  <c r="AE56" i="1"/>
  <c r="AE58" i="1"/>
  <c r="AE46" i="1"/>
  <c r="AE50" i="1"/>
  <c r="AE57" i="1"/>
  <c r="AE47" i="1"/>
  <c r="AE53" i="1"/>
  <c r="AE54" i="1"/>
  <c r="AE51" i="1"/>
  <c r="AE43" i="1"/>
  <c r="AE45" i="1"/>
  <c r="AE44" i="1"/>
  <c r="AE42" i="1"/>
  <c r="AE52" i="1"/>
  <c r="AE49" i="1"/>
  <c r="AE48" i="1"/>
  <c r="AE55" i="1"/>
  <c r="AE59" i="1"/>
  <c r="AE60" i="1"/>
  <c r="AE28" i="1"/>
  <c r="AE34" i="1"/>
  <c r="AE38" i="1"/>
  <c r="AE30" i="1"/>
  <c r="AE29" i="1"/>
  <c r="AE27" i="1"/>
  <c r="AE31" i="1"/>
  <c r="AE35" i="1"/>
  <c r="AE37" i="1"/>
  <c r="AE25" i="1"/>
  <c r="AE26" i="1"/>
  <c r="AE32" i="1"/>
  <c r="AE36" i="1"/>
  <c r="AE39" i="1"/>
  <c r="AE33" i="1"/>
  <c r="AE40" i="1"/>
  <c r="AE41" i="1"/>
  <c r="AE8" i="1"/>
  <c r="AE12" i="1"/>
  <c r="AE15" i="1"/>
  <c r="AE19" i="1"/>
  <c r="AE18" i="1"/>
  <c r="AE23" i="1"/>
  <c r="AE11" i="1"/>
  <c r="AE21" i="1"/>
  <c r="AE20" i="1"/>
  <c r="AE24" i="1"/>
  <c r="AE17" i="1"/>
  <c r="AE10" i="1"/>
  <c r="AE7" i="1"/>
  <c r="AE14" i="1"/>
  <c r="AE9" i="1"/>
  <c r="AE13" i="1"/>
  <c r="AE22" i="1"/>
  <c r="AE16" i="1"/>
  <c r="AE6" i="1"/>
  <c r="AM12" i="1" a="1"/>
  <c r="AM12" i="1"/>
  <c r="AP9" i="1"/>
  <c r="AR9" i="1"/>
  <c r="B9" i="1"/>
  <c r="C10" i="1"/>
  <c r="B10" i="1"/>
  <c r="U9" i="1"/>
  <c r="H8" i="2"/>
  <c r="BH8" i="1"/>
  <c r="BI8" i="1"/>
  <c r="G9" i="2"/>
  <c r="H9" i="2"/>
  <c r="F10" i="2"/>
  <c r="AR14" i="1"/>
  <c r="AS21" i="1"/>
  <c r="AN21" i="1"/>
  <c r="AG16" i="1"/>
  <c r="AH16" i="1"/>
  <c r="AG23" i="1"/>
  <c r="AH23" i="1"/>
  <c r="AG33" i="1"/>
  <c r="AH33" i="1"/>
  <c r="AG38" i="1"/>
  <c r="AH38" i="1"/>
  <c r="AG52" i="1"/>
  <c r="AH52" i="1"/>
  <c r="AG47" i="1"/>
  <c r="AH47" i="1"/>
  <c r="AG22" i="1"/>
  <c r="AH22" i="1"/>
  <c r="AG7" i="1"/>
  <c r="AH7" i="1"/>
  <c r="AG20" i="1"/>
  <c r="AH20" i="1"/>
  <c r="AG18" i="1"/>
  <c r="AH18" i="1"/>
  <c r="AG8" i="1"/>
  <c r="AH8" i="1"/>
  <c r="AG39" i="1"/>
  <c r="AH39" i="1"/>
  <c r="AG25" i="1"/>
  <c r="AH25" i="1"/>
  <c r="AG27" i="1"/>
  <c r="AH27" i="1"/>
  <c r="AG34" i="1"/>
  <c r="AH34" i="1"/>
  <c r="AG55" i="1"/>
  <c r="AH55" i="1"/>
  <c r="AG42" i="1"/>
  <c r="AH42" i="1"/>
  <c r="AG51" i="1"/>
  <c r="AH51" i="1"/>
  <c r="AG57" i="1"/>
  <c r="AH57" i="1"/>
  <c r="AG56" i="1"/>
  <c r="AH56" i="1"/>
  <c r="AG13" i="1"/>
  <c r="AH13" i="1"/>
  <c r="AG10" i="1"/>
  <c r="AH10" i="1"/>
  <c r="AG21" i="1"/>
  <c r="AH21" i="1"/>
  <c r="AG19" i="1"/>
  <c r="AH19" i="1"/>
  <c r="AG41" i="1"/>
  <c r="AH41" i="1"/>
  <c r="AG36" i="1"/>
  <c r="AH36" i="1"/>
  <c r="AG37" i="1"/>
  <c r="AH37" i="1"/>
  <c r="AG29" i="1"/>
  <c r="AH29" i="1"/>
  <c r="AG28" i="1"/>
  <c r="AH28" i="1"/>
  <c r="AG48" i="1"/>
  <c r="AH48" i="1"/>
  <c r="AG44" i="1"/>
  <c r="AH44" i="1"/>
  <c r="AG54" i="1"/>
  <c r="AH54" i="1"/>
  <c r="AG50" i="1"/>
  <c r="AH50" i="1"/>
  <c r="AG14" i="1"/>
  <c r="AH14" i="1"/>
  <c r="AG24" i="1"/>
  <c r="AH24" i="1"/>
  <c r="AG12" i="1"/>
  <c r="AH12" i="1"/>
  <c r="AG26" i="1"/>
  <c r="AH26" i="1"/>
  <c r="AG31" i="1"/>
  <c r="AH31" i="1"/>
  <c r="AG59" i="1"/>
  <c r="AH59" i="1"/>
  <c r="AG43" i="1"/>
  <c r="AH43" i="1"/>
  <c r="AG58" i="1"/>
  <c r="AH58" i="1"/>
  <c r="AG9" i="1"/>
  <c r="AH9" i="1"/>
  <c r="AG17" i="1"/>
  <c r="AH17" i="1"/>
  <c r="AG11" i="1"/>
  <c r="AH11" i="1"/>
  <c r="AG15" i="1"/>
  <c r="AH15" i="1"/>
  <c r="AG40" i="1"/>
  <c r="AH40" i="1"/>
  <c r="AG32" i="1"/>
  <c r="AH32" i="1"/>
  <c r="AG35" i="1"/>
  <c r="AH35" i="1"/>
  <c r="AG30" i="1"/>
  <c r="AH30" i="1"/>
  <c r="AG60" i="1"/>
  <c r="AH60" i="1"/>
  <c r="AG49" i="1"/>
  <c r="AH49" i="1"/>
  <c r="AG45" i="1"/>
  <c r="AH45" i="1"/>
  <c r="AG53" i="1"/>
  <c r="AH53" i="1"/>
  <c r="AG46" i="1"/>
  <c r="AH46" i="1"/>
  <c r="AG6" i="1"/>
  <c r="AH6" i="1"/>
  <c r="AN22" i="1"/>
  <c r="AL22" i="1"/>
  <c r="AF60" i="1"/>
  <c r="AF16" i="1"/>
  <c r="AF14" i="1"/>
  <c r="AF24" i="1"/>
  <c r="AF23" i="1"/>
  <c r="AF12" i="1"/>
  <c r="AF33" i="1"/>
  <c r="AF26" i="1"/>
  <c r="AF31" i="1"/>
  <c r="AF38" i="1"/>
  <c r="AF48" i="1"/>
  <c r="AF44" i="1"/>
  <c r="AF54" i="1"/>
  <c r="AF50" i="1"/>
  <c r="AF22" i="1"/>
  <c r="AF7" i="1"/>
  <c r="AF20" i="1"/>
  <c r="AF18" i="1"/>
  <c r="AF8" i="1"/>
  <c r="AF39" i="1"/>
  <c r="AF25" i="1"/>
  <c r="AF27" i="1"/>
  <c r="AF34" i="1"/>
  <c r="AF49" i="1"/>
  <c r="AF45" i="1"/>
  <c r="AF53" i="1"/>
  <c r="AF46" i="1"/>
  <c r="AF13" i="1"/>
  <c r="AF10" i="1"/>
  <c r="AF21" i="1"/>
  <c r="AF19" i="1"/>
  <c r="AF41" i="1"/>
  <c r="AF36" i="1"/>
  <c r="AF37" i="1"/>
  <c r="AF29" i="1"/>
  <c r="AF28" i="1"/>
  <c r="AF59" i="1"/>
  <c r="AF52" i="1"/>
  <c r="AF43" i="1"/>
  <c r="AF47" i="1"/>
  <c r="AF58" i="1"/>
  <c r="AF9" i="1"/>
  <c r="AF17" i="1"/>
  <c r="AF11" i="1"/>
  <c r="AF15" i="1"/>
  <c r="AF40" i="1"/>
  <c r="AF32" i="1"/>
  <c r="AF35" i="1"/>
  <c r="AF30" i="1"/>
  <c r="AF55" i="1"/>
  <c r="AF42" i="1"/>
  <c r="AF51" i="1"/>
  <c r="AF57" i="1"/>
  <c r="AF56" i="1"/>
  <c r="AF6" i="1"/>
  <c r="AL21" i="1"/>
  <c r="C11" i="1"/>
  <c r="B11" i="1"/>
  <c r="U10" i="1"/>
  <c r="BJ8" i="1"/>
  <c r="G10" i="2"/>
  <c r="F11" i="2"/>
  <c r="AR22" i="1"/>
  <c r="AP22" i="1"/>
  <c r="AR21" i="1"/>
  <c r="AP21" i="1"/>
  <c r="BK8" i="1"/>
  <c r="BK10" i="1"/>
  <c r="U11" i="1"/>
  <c r="C12" i="1"/>
  <c r="B12" i="1"/>
  <c r="H10" i="2"/>
  <c r="G11" i="2"/>
  <c r="F12" i="2"/>
  <c r="U12" i="1"/>
  <c r="C13" i="1"/>
  <c r="H11" i="2"/>
  <c r="G12" i="2"/>
  <c r="H12" i="2"/>
  <c r="F13" i="2"/>
  <c r="B13" i="1"/>
  <c r="U13" i="1"/>
  <c r="C14" i="1"/>
  <c r="B14" i="1"/>
  <c r="F14" i="2"/>
  <c r="G13" i="2"/>
  <c r="H13" i="2"/>
  <c r="G14" i="2"/>
  <c r="H14" i="2"/>
  <c r="C15" i="1"/>
  <c r="B15" i="1"/>
  <c r="U14" i="1"/>
  <c r="F15" i="2"/>
  <c r="K104" i="1"/>
  <c r="O104" i="1"/>
  <c r="X104" i="1"/>
  <c r="V104" i="1"/>
  <c r="C16" i="1"/>
  <c r="B16" i="1"/>
  <c r="U15" i="1"/>
  <c r="G15" i="2"/>
  <c r="H15" i="2"/>
  <c r="F16" i="2"/>
  <c r="K106" i="1"/>
  <c r="O106" i="1"/>
  <c r="X106" i="1"/>
  <c r="V106" i="1"/>
  <c r="C17" i="1"/>
  <c r="U16" i="1"/>
  <c r="G16" i="2"/>
  <c r="H16" i="2"/>
  <c r="F17" i="2"/>
  <c r="B17" i="1"/>
  <c r="V105" i="1"/>
  <c r="K105" i="1"/>
  <c r="O105" i="1"/>
  <c r="X105" i="1"/>
  <c r="G17" i="2"/>
  <c r="H17" i="2"/>
  <c r="C18" i="1"/>
  <c r="U17" i="1"/>
  <c r="F18" i="2"/>
  <c r="C19" i="1"/>
  <c r="B19" i="1"/>
  <c r="B18" i="1"/>
  <c r="U18" i="1"/>
  <c r="G18" i="2"/>
  <c r="H18" i="2"/>
  <c r="F19" i="2"/>
  <c r="C20" i="1"/>
  <c r="B20" i="1"/>
  <c r="U19" i="1"/>
  <c r="F20" i="2"/>
  <c r="G19" i="2"/>
  <c r="H19" i="2"/>
  <c r="G20" i="2"/>
  <c r="H20" i="2"/>
  <c r="U20" i="1"/>
  <c r="C21" i="1"/>
  <c r="B21" i="1"/>
  <c r="F21" i="2"/>
  <c r="C22" i="1"/>
  <c r="U21" i="1"/>
  <c r="G21" i="2"/>
  <c r="H21" i="2"/>
  <c r="F22" i="2"/>
  <c r="B22" i="1"/>
  <c r="C29" i="17"/>
  <c r="C23" i="1"/>
  <c r="B23" i="1"/>
  <c r="U22" i="1"/>
  <c r="G22" i="2"/>
  <c r="H22" i="2"/>
  <c r="F23" i="2"/>
  <c r="G23" i="2"/>
  <c r="H23" i="2"/>
  <c r="C24" i="1"/>
  <c r="U23" i="1"/>
  <c r="F24" i="2"/>
  <c r="B24" i="1"/>
  <c r="C27" i="17"/>
  <c r="C25" i="1"/>
  <c r="U24" i="1"/>
  <c r="G24" i="2"/>
  <c r="H24" i="2"/>
  <c r="F25" i="2"/>
  <c r="B25" i="1"/>
  <c r="C26" i="1"/>
  <c r="B26" i="1"/>
  <c r="U25" i="1"/>
  <c r="F26" i="2"/>
  <c r="G25" i="2"/>
  <c r="G26" i="2"/>
  <c r="H25" i="2"/>
  <c r="C27" i="1"/>
  <c r="U26" i="1"/>
  <c r="F27" i="2"/>
  <c r="H26" i="2"/>
  <c r="B27" i="1"/>
  <c r="U27" i="1"/>
  <c r="C28" i="1"/>
  <c r="B28" i="1"/>
  <c r="G27" i="2"/>
  <c r="H27" i="2"/>
  <c r="F28" i="2"/>
  <c r="C29" i="1"/>
  <c r="B29" i="1"/>
  <c r="U28" i="1"/>
  <c r="G28" i="2"/>
  <c r="H28" i="2"/>
  <c r="F29" i="2"/>
  <c r="G29" i="2"/>
  <c r="H29" i="2"/>
  <c r="C30" i="1"/>
  <c r="B30" i="1"/>
  <c r="U29" i="1"/>
  <c r="F30" i="2"/>
  <c r="C31" i="1"/>
  <c r="B31" i="1"/>
  <c r="U30" i="1"/>
  <c r="G30" i="2"/>
  <c r="H30" i="2"/>
  <c r="F31" i="2"/>
  <c r="C32" i="1"/>
  <c r="B32" i="1"/>
  <c r="U31" i="1"/>
  <c r="F32" i="2"/>
  <c r="G31" i="2"/>
  <c r="H31" i="2"/>
  <c r="G32" i="2"/>
  <c r="H32" i="2"/>
  <c r="C33" i="1"/>
  <c r="B33" i="1"/>
  <c r="U32" i="1"/>
  <c r="F33" i="2"/>
  <c r="C34" i="1"/>
  <c r="C25" i="17"/>
  <c r="U33" i="1"/>
  <c r="G33" i="2"/>
  <c r="H33" i="2"/>
  <c r="F34" i="2"/>
  <c r="B34" i="1"/>
  <c r="K28" i="1"/>
  <c r="O28" i="1"/>
  <c r="X28" i="1"/>
  <c r="L28" i="1"/>
  <c r="P28" i="1"/>
  <c r="Y28" i="1"/>
  <c r="V28" i="1"/>
  <c r="K27" i="1"/>
  <c r="O27" i="1"/>
  <c r="X27" i="1"/>
  <c r="L27" i="1"/>
  <c r="P27" i="1"/>
  <c r="Y27" i="1"/>
  <c r="V27" i="1"/>
  <c r="C35" i="1"/>
  <c r="B35" i="1"/>
  <c r="U34" i="1"/>
  <c r="G34" i="2"/>
  <c r="H34" i="2"/>
  <c r="F35" i="2"/>
  <c r="K30" i="1"/>
  <c r="O30" i="1"/>
  <c r="X30" i="1"/>
  <c r="L30" i="1"/>
  <c r="P30" i="1"/>
  <c r="Y30" i="1"/>
  <c r="V30" i="1"/>
  <c r="V23" i="1"/>
  <c r="L23" i="1"/>
  <c r="P23" i="1"/>
  <c r="Y23" i="1"/>
  <c r="K23" i="1"/>
  <c r="O23" i="1"/>
  <c r="X23" i="1"/>
  <c r="L24" i="1"/>
  <c r="P24" i="1"/>
  <c r="Y24" i="1"/>
  <c r="V24" i="1"/>
  <c r="K24" i="1"/>
  <c r="O24" i="1"/>
  <c r="X24" i="1"/>
  <c r="G35" i="2"/>
  <c r="H35" i="2"/>
  <c r="C36" i="1"/>
  <c r="B36" i="1"/>
  <c r="U35" i="1"/>
  <c r="F36" i="2"/>
  <c r="V19" i="1"/>
  <c r="L19" i="1"/>
  <c r="P19" i="1"/>
  <c r="Y19" i="1"/>
  <c r="K19" i="1"/>
  <c r="O19" i="1"/>
  <c r="X19" i="1"/>
  <c r="L20" i="1"/>
  <c r="P20" i="1"/>
  <c r="Y20" i="1"/>
  <c r="K20" i="1"/>
  <c r="O20" i="1"/>
  <c r="X20" i="1"/>
  <c r="V20" i="1"/>
  <c r="K29" i="1"/>
  <c r="O29" i="1"/>
  <c r="X29" i="1"/>
  <c r="L29" i="1"/>
  <c r="P29" i="1"/>
  <c r="Y29" i="1"/>
  <c r="V29" i="1"/>
  <c r="K26" i="1"/>
  <c r="O26" i="1"/>
  <c r="X26" i="1"/>
  <c r="L26" i="1"/>
  <c r="P26" i="1"/>
  <c r="Y26" i="1"/>
  <c r="V26" i="1"/>
  <c r="C37" i="1"/>
  <c r="B37" i="1"/>
  <c r="U36" i="1"/>
  <c r="G36" i="2"/>
  <c r="H36" i="2"/>
  <c r="F37" i="2"/>
  <c r="V15" i="1"/>
  <c r="L15" i="1"/>
  <c r="P15" i="1"/>
  <c r="Y15" i="1"/>
  <c r="K15" i="1"/>
  <c r="O15" i="1"/>
  <c r="X15" i="1"/>
  <c r="L16" i="1"/>
  <c r="P16" i="1"/>
  <c r="Y16" i="1"/>
  <c r="V16" i="1"/>
  <c r="K16" i="1"/>
  <c r="O16" i="1"/>
  <c r="X16" i="1"/>
  <c r="K25" i="1"/>
  <c r="O25" i="1"/>
  <c r="X25" i="1"/>
  <c r="L25" i="1"/>
  <c r="P25" i="1"/>
  <c r="Y25" i="1"/>
  <c r="V25" i="1"/>
  <c r="K22" i="1"/>
  <c r="O22" i="1"/>
  <c r="X22" i="1"/>
  <c r="V22" i="1"/>
  <c r="L22" i="1"/>
  <c r="P22" i="1"/>
  <c r="Y22" i="1"/>
  <c r="C38" i="1"/>
  <c r="U37" i="1"/>
  <c r="G37" i="2"/>
  <c r="H37" i="2"/>
  <c r="F38" i="2"/>
  <c r="B38" i="1"/>
  <c r="C28" i="17"/>
  <c r="K21" i="1"/>
  <c r="O21" i="1"/>
  <c r="X21" i="1"/>
  <c r="L21" i="1"/>
  <c r="P21" i="1"/>
  <c r="Y21" i="1"/>
  <c r="V21" i="1"/>
  <c r="L12" i="1"/>
  <c r="P12" i="1"/>
  <c r="Y12" i="1"/>
  <c r="V12" i="1"/>
  <c r="K12" i="1"/>
  <c r="O12" i="1"/>
  <c r="X12" i="1"/>
  <c r="K18" i="1"/>
  <c r="O18" i="1"/>
  <c r="X18" i="1"/>
  <c r="L18" i="1"/>
  <c r="P18" i="1"/>
  <c r="Y18" i="1"/>
  <c r="V18" i="1"/>
  <c r="G38" i="2"/>
  <c r="H38" i="2"/>
  <c r="C39" i="1"/>
  <c r="U38" i="1"/>
  <c r="F39" i="2"/>
  <c r="B39" i="1"/>
  <c r="C30" i="17"/>
  <c r="K14" i="1"/>
  <c r="O14" i="1"/>
  <c r="X14" i="1"/>
  <c r="L14" i="1"/>
  <c r="P14" i="1"/>
  <c r="Y14" i="1"/>
  <c r="V14" i="1"/>
  <c r="K17" i="1"/>
  <c r="O17" i="1"/>
  <c r="X17" i="1"/>
  <c r="V17" i="1"/>
  <c r="L17" i="1"/>
  <c r="P17" i="1"/>
  <c r="Y17" i="1"/>
  <c r="K7" i="1"/>
  <c r="O7" i="1"/>
  <c r="L7" i="1"/>
  <c r="P7" i="1"/>
  <c r="Y7" i="1"/>
  <c r="J7" i="1"/>
  <c r="N7" i="1"/>
  <c r="W7" i="1"/>
  <c r="V7" i="1"/>
  <c r="C40" i="1"/>
  <c r="B40" i="1"/>
  <c r="U39" i="1"/>
  <c r="G39" i="2"/>
  <c r="H39" i="2"/>
  <c r="F40" i="2"/>
  <c r="X7" i="1"/>
  <c r="L13" i="1"/>
  <c r="P13" i="1"/>
  <c r="Y13" i="1"/>
  <c r="V13" i="1"/>
  <c r="K13" i="1"/>
  <c r="O13" i="1"/>
  <c r="X13" i="1"/>
  <c r="C41" i="1"/>
  <c r="B41" i="1"/>
  <c r="U40" i="1"/>
  <c r="G40" i="2"/>
  <c r="H40" i="2"/>
  <c r="F41" i="2"/>
  <c r="V6" i="1"/>
  <c r="J6" i="1"/>
  <c r="N6" i="1"/>
  <c r="W6" i="1"/>
  <c r="L6" i="1"/>
  <c r="P6" i="1"/>
  <c r="Y6" i="1"/>
  <c r="K6" i="1"/>
  <c r="O6" i="1"/>
  <c r="G41" i="2"/>
  <c r="H41" i="2"/>
  <c r="U41" i="1"/>
  <c r="C42" i="1"/>
  <c r="B42" i="1"/>
  <c r="F42" i="2"/>
  <c r="X6" i="1"/>
  <c r="C43" i="1"/>
  <c r="B43" i="1"/>
  <c r="U42" i="1"/>
  <c r="G42" i="2"/>
  <c r="H42" i="2"/>
  <c r="F43" i="2"/>
  <c r="C44" i="1"/>
  <c r="B44" i="1"/>
  <c r="U43" i="1"/>
  <c r="G43" i="2"/>
  <c r="H43" i="2"/>
  <c r="F44" i="2"/>
  <c r="G44" i="2"/>
  <c r="H44" i="2"/>
  <c r="C45" i="1"/>
  <c r="B45" i="1"/>
  <c r="U44" i="1"/>
  <c r="F45" i="2"/>
  <c r="C46" i="1"/>
  <c r="B46" i="1"/>
  <c r="U45" i="1"/>
  <c r="G45" i="2"/>
  <c r="H45" i="2"/>
  <c r="F46" i="2"/>
  <c r="C47" i="1"/>
  <c r="B47" i="1"/>
  <c r="U46" i="1"/>
  <c r="G46" i="2"/>
  <c r="H46" i="2"/>
  <c r="F47" i="2"/>
  <c r="G47" i="2"/>
  <c r="H47" i="2"/>
  <c r="C48" i="1"/>
  <c r="U47" i="1"/>
  <c r="F48" i="2"/>
  <c r="B48" i="1"/>
  <c r="C49" i="1"/>
  <c r="B49" i="1"/>
  <c r="U48" i="1"/>
  <c r="G48" i="2"/>
  <c r="H48" i="2"/>
  <c r="F49" i="2"/>
  <c r="C50" i="1"/>
  <c r="B50" i="1"/>
  <c r="U49" i="1"/>
  <c r="G49" i="2"/>
  <c r="H49" i="2"/>
  <c r="F50" i="2"/>
  <c r="G50" i="2"/>
  <c r="H50" i="2"/>
  <c r="C51" i="1"/>
  <c r="U50" i="1"/>
  <c r="F51" i="2"/>
  <c r="B51" i="1"/>
  <c r="C49" i="17"/>
  <c r="C52" i="1"/>
  <c r="B52" i="1"/>
  <c r="U51" i="1"/>
  <c r="G51" i="2"/>
  <c r="H51" i="2"/>
  <c r="F52" i="2"/>
  <c r="C53" i="1"/>
  <c r="B53" i="1"/>
  <c r="U52" i="1"/>
  <c r="G52" i="2"/>
  <c r="H52" i="2"/>
  <c r="F53" i="2"/>
  <c r="G53" i="2"/>
  <c r="H53" i="2"/>
  <c r="C54" i="1"/>
  <c r="B54" i="1"/>
  <c r="U53" i="1"/>
  <c r="F54" i="2"/>
  <c r="C55" i="1"/>
  <c r="B55" i="1"/>
  <c r="U54" i="1"/>
  <c r="G54" i="2"/>
  <c r="H54" i="2"/>
  <c r="F55" i="2"/>
  <c r="C56" i="1"/>
  <c r="B56" i="1"/>
  <c r="U55" i="1"/>
  <c r="G55" i="2"/>
  <c r="H55" i="2"/>
  <c r="F56" i="2"/>
  <c r="G56" i="2"/>
  <c r="H56" i="2"/>
  <c r="C57" i="1"/>
  <c r="B57" i="1"/>
  <c r="U56" i="1"/>
  <c r="F57" i="2"/>
  <c r="C58" i="1"/>
  <c r="B58" i="1"/>
  <c r="U57" i="1"/>
  <c r="G57" i="2"/>
  <c r="H57" i="2"/>
  <c r="F58" i="2"/>
  <c r="C59" i="1"/>
  <c r="B59" i="1"/>
  <c r="U58" i="1"/>
  <c r="G58" i="2"/>
  <c r="F59" i="2"/>
  <c r="H58" i="2"/>
  <c r="G59" i="2"/>
  <c r="H59" i="2"/>
  <c r="C60" i="1"/>
  <c r="B60" i="1"/>
  <c r="U59" i="1"/>
  <c r="F60" i="2"/>
  <c r="C61" i="1"/>
  <c r="B61" i="1"/>
  <c r="U60" i="1"/>
  <c r="G60" i="2"/>
  <c r="H60" i="2"/>
  <c r="F61" i="2"/>
  <c r="C62" i="1"/>
  <c r="C26" i="17"/>
  <c r="U61" i="1"/>
  <c r="G61" i="2"/>
  <c r="H61" i="2"/>
  <c r="F62" i="2"/>
  <c r="B62" i="1"/>
  <c r="G62" i="2"/>
  <c r="H62" i="2"/>
  <c r="U62" i="1"/>
  <c r="C63" i="1"/>
  <c r="B63" i="1"/>
  <c r="F63" i="2"/>
  <c r="C64" i="1"/>
  <c r="B64" i="1"/>
  <c r="U63" i="1"/>
  <c r="G63" i="2"/>
  <c r="H63" i="2"/>
  <c r="F64" i="2"/>
  <c r="C65" i="1"/>
  <c r="B65" i="1"/>
  <c r="U64" i="1"/>
  <c r="G64" i="2"/>
  <c r="H64" i="2"/>
  <c r="F65" i="2"/>
  <c r="G65" i="2"/>
  <c r="H65" i="2"/>
  <c r="C66" i="1"/>
  <c r="B66" i="1"/>
  <c r="U65" i="1"/>
  <c r="F66" i="2"/>
  <c r="U66" i="1"/>
  <c r="C67" i="1"/>
  <c r="B67" i="1"/>
  <c r="G66" i="2"/>
  <c r="H66" i="2"/>
  <c r="F67" i="2"/>
  <c r="C68" i="1"/>
  <c r="U67" i="1"/>
  <c r="G67" i="2"/>
  <c r="H67" i="2"/>
  <c r="F68" i="2"/>
  <c r="B68" i="1"/>
  <c r="G68" i="2"/>
  <c r="H68" i="2"/>
  <c r="C69" i="1"/>
  <c r="B69" i="1"/>
  <c r="U68" i="1"/>
  <c r="F69" i="2"/>
  <c r="U69" i="1"/>
  <c r="C70" i="1"/>
  <c r="B70" i="1"/>
  <c r="G69" i="2"/>
  <c r="H69" i="2"/>
  <c r="F70" i="2"/>
  <c r="C71" i="1"/>
  <c r="U70" i="1"/>
  <c r="G70" i="2"/>
  <c r="H70" i="2"/>
  <c r="F71" i="2"/>
  <c r="B71" i="1"/>
  <c r="C50" i="17"/>
  <c r="G71" i="2"/>
  <c r="H71" i="2"/>
  <c r="C72" i="1"/>
  <c r="B72" i="1"/>
  <c r="U71" i="1"/>
  <c r="F72" i="2"/>
  <c r="C73" i="1"/>
  <c r="B73" i="1"/>
  <c r="U72" i="1"/>
  <c r="G72" i="2"/>
  <c r="H72" i="2"/>
  <c r="F73" i="2"/>
  <c r="C74" i="1"/>
  <c r="B74" i="1"/>
  <c r="U73" i="1"/>
  <c r="G73" i="2"/>
  <c r="H73" i="2"/>
  <c r="F74" i="2"/>
  <c r="G74" i="2"/>
  <c r="H74" i="2"/>
  <c r="C75" i="1"/>
  <c r="B75" i="1"/>
  <c r="U74" i="1"/>
  <c r="F75" i="2"/>
  <c r="C76" i="1"/>
  <c r="U75" i="1"/>
  <c r="G75" i="2"/>
  <c r="H75" i="2"/>
  <c r="F76" i="2"/>
  <c r="B76" i="1"/>
  <c r="C5" i="17"/>
  <c r="C77" i="1"/>
  <c r="U76" i="1"/>
  <c r="G76" i="2"/>
  <c r="H76" i="2"/>
  <c r="F77" i="2"/>
  <c r="B77" i="1"/>
  <c r="C3" i="17"/>
  <c r="G77" i="2"/>
  <c r="H77" i="2"/>
  <c r="C78" i="1"/>
  <c r="B78" i="1"/>
  <c r="U77" i="1"/>
  <c r="U78" i="1"/>
  <c r="C79" i="1"/>
  <c r="B79" i="1"/>
  <c r="C80" i="1"/>
  <c r="B80" i="1"/>
  <c r="U79" i="1"/>
  <c r="C81" i="1"/>
  <c r="B81" i="1"/>
  <c r="U80" i="1"/>
  <c r="C82" i="1"/>
  <c r="B82" i="1"/>
  <c r="U81" i="1"/>
  <c r="C83" i="1"/>
  <c r="B83" i="1"/>
  <c r="U82" i="1"/>
  <c r="Q7" i="1"/>
  <c r="U83" i="1"/>
  <c r="C84" i="1"/>
  <c r="B84" i="1"/>
  <c r="Q8" i="1"/>
  <c r="C85" i="1"/>
  <c r="B85" i="1"/>
  <c r="U84" i="1"/>
  <c r="Q9" i="1"/>
  <c r="C86" i="1"/>
  <c r="B86" i="1"/>
  <c r="U85" i="1"/>
  <c r="Q10" i="1"/>
  <c r="C87" i="1"/>
  <c r="B87" i="1"/>
  <c r="U86" i="1"/>
  <c r="Q11" i="1"/>
  <c r="C88" i="1"/>
  <c r="B88" i="1"/>
  <c r="U87" i="1"/>
  <c r="Q12" i="1"/>
  <c r="C89" i="1"/>
  <c r="B89" i="1"/>
  <c r="U88" i="1"/>
  <c r="Q13" i="1"/>
  <c r="C90" i="1"/>
  <c r="B90" i="1"/>
  <c r="U89" i="1"/>
  <c r="Q14" i="1"/>
  <c r="U90" i="1"/>
  <c r="C91" i="1"/>
  <c r="B91" i="1"/>
  <c r="Q15" i="1"/>
  <c r="U91" i="1"/>
  <c r="C92" i="1"/>
  <c r="B92" i="1"/>
  <c r="Q16" i="1"/>
  <c r="C93" i="1"/>
  <c r="B93" i="1"/>
  <c r="U92" i="1"/>
  <c r="Q17" i="1"/>
  <c r="C94" i="1"/>
  <c r="B94" i="1"/>
  <c r="U93" i="1"/>
  <c r="Q18" i="1"/>
  <c r="C95" i="1"/>
  <c r="B95" i="1"/>
  <c r="U94" i="1"/>
  <c r="Q19" i="1"/>
  <c r="C96" i="1"/>
  <c r="B96" i="1"/>
  <c r="U95" i="1"/>
  <c r="Q20" i="1"/>
  <c r="C97" i="1"/>
  <c r="B97" i="1"/>
  <c r="U96" i="1"/>
  <c r="Q21" i="1"/>
  <c r="U97" i="1"/>
  <c r="C98" i="1"/>
  <c r="B98" i="1"/>
  <c r="Q22" i="1"/>
  <c r="C99" i="1"/>
  <c r="B99" i="1"/>
  <c r="U98" i="1"/>
  <c r="Q23" i="1"/>
  <c r="C100" i="1"/>
  <c r="B100" i="1"/>
  <c r="U99" i="1"/>
  <c r="Q24" i="1"/>
  <c r="C101" i="1"/>
  <c r="B101" i="1"/>
  <c r="U100" i="1"/>
  <c r="Q25" i="1"/>
  <c r="C102" i="1"/>
  <c r="B102" i="1"/>
  <c r="U101" i="1"/>
  <c r="Q26" i="1"/>
  <c r="C103" i="1"/>
  <c r="B103" i="1"/>
  <c r="U102" i="1"/>
  <c r="Q27" i="1"/>
  <c r="C104" i="1"/>
  <c r="U103" i="1"/>
  <c r="Q28" i="1"/>
  <c r="B104" i="1"/>
  <c r="C105" i="1"/>
  <c r="B105" i="1"/>
  <c r="U104" i="1"/>
  <c r="Q29" i="1"/>
  <c r="C106" i="1"/>
  <c r="B106" i="1"/>
  <c r="U105" i="1"/>
  <c r="Q30" i="1"/>
  <c r="U106" i="1"/>
  <c r="C107" i="1"/>
  <c r="B107" i="1"/>
  <c r="Q31" i="1"/>
  <c r="U107" i="1"/>
  <c r="Q107" i="1"/>
  <c r="C108" i="1"/>
  <c r="B108" i="1"/>
  <c r="Q32" i="1"/>
  <c r="U108" i="1"/>
  <c r="C109" i="1"/>
  <c r="B109" i="1"/>
  <c r="Q108" i="1"/>
  <c r="Q33" i="1"/>
  <c r="U109" i="1"/>
  <c r="C110" i="1"/>
  <c r="B110" i="1"/>
  <c r="Q109" i="1"/>
  <c r="Q34" i="1"/>
  <c r="U110" i="1"/>
  <c r="C111" i="1"/>
  <c r="C4" i="17"/>
  <c r="Q110" i="1"/>
  <c r="Q35" i="1"/>
  <c r="B111" i="1"/>
  <c r="C6" i="17"/>
  <c r="C112" i="1"/>
  <c r="B112" i="1"/>
  <c r="U111" i="1"/>
  <c r="Q111" i="1"/>
  <c r="Q36" i="1"/>
  <c r="U112" i="1"/>
  <c r="Q112" i="1"/>
  <c r="C113" i="1"/>
  <c r="B113" i="1"/>
  <c r="Q37" i="1"/>
  <c r="U113" i="1"/>
  <c r="C114" i="1"/>
  <c r="B114" i="1"/>
  <c r="Q113" i="1"/>
  <c r="Q38" i="1"/>
  <c r="U114" i="1"/>
  <c r="Q114" i="1"/>
  <c r="C115" i="1"/>
  <c r="B115" i="1"/>
  <c r="Q39" i="1"/>
  <c r="U115" i="1"/>
  <c r="Q115" i="1"/>
  <c r="C116" i="1"/>
  <c r="B116" i="1"/>
  <c r="Q40" i="1"/>
  <c r="U116" i="1"/>
  <c r="C117" i="1"/>
  <c r="B117" i="1"/>
  <c r="Q116" i="1"/>
  <c r="Q41" i="1"/>
  <c r="U117" i="1"/>
  <c r="Q117" i="1"/>
  <c r="C118" i="1"/>
  <c r="B118" i="1"/>
  <c r="Q42" i="1"/>
  <c r="Q118" i="1"/>
  <c r="U118" i="1"/>
  <c r="C119" i="1"/>
  <c r="B119" i="1"/>
  <c r="Q43" i="1"/>
  <c r="U119" i="1"/>
  <c r="Q119" i="1"/>
  <c r="C120" i="1"/>
  <c r="B120" i="1"/>
  <c r="Q44" i="1"/>
  <c r="U120" i="1"/>
  <c r="C121" i="1"/>
  <c r="B121" i="1"/>
  <c r="Q120" i="1"/>
  <c r="Q45" i="1"/>
  <c r="U121" i="1"/>
  <c r="C122" i="1"/>
  <c r="B122" i="1"/>
  <c r="Q121" i="1"/>
  <c r="Q46" i="1"/>
  <c r="U122" i="1"/>
  <c r="Q122" i="1"/>
  <c r="C123" i="1"/>
  <c r="B123" i="1"/>
  <c r="Q47" i="1"/>
  <c r="U123" i="1"/>
  <c r="Q123" i="1"/>
  <c r="C124" i="1"/>
  <c r="B124" i="1"/>
  <c r="Q48" i="1"/>
  <c r="U124" i="1"/>
  <c r="Q124" i="1"/>
  <c r="C125" i="1"/>
  <c r="B125" i="1"/>
  <c r="Q49" i="1"/>
  <c r="Q125" i="1"/>
  <c r="C126" i="1"/>
  <c r="B126" i="1"/>
  <c r="U125" i="1"/>
  <c r="Q50" i="1"/>
  <c r="U126" i="1"/>
  <c r="Q126" i="1"/>
  <c r="C127" i="1"/>
  <c r="B127" i="1"/>
  <c r="Q51" i="1"/>
  <c r="U127" i="1"/>
  <c r="C128" i="1"/>
  <c r="B128" i="1"/>
  <c r="Q127" i="1"/>
  <c r="Q52" i="1"/>
  <c r="U128" i="1"/>
  <c r="C129" i="1"/>
  <c r="B129" i="1"/>
  <c r="Q128" i="1"/>
  <c r="Q53" i="1"/>
  <c r="U129" i="1"/>
  <c r="Q129" i="1"/>
  <c r="C130" i="1"/>
  <c r="B130" i="1"/>
  <c r="Q54" i="1"/>
  <c r="U130" i="1"/>
  <c r="Q130" i="1"/>
  <c r="C131" i="1"/>
  <c r="B131" i="1"/>
  <c r="Q55" i="1"/>
  <c r="Q131" i="1"/>
  <c r="U131" i="1"/>
  <c r="C132" i="1"/>
  <c r="B132" i="1"/>
  <c r="Q56" i="1"/>
  <c r="U132" i="1"/>
  <c r="Q132" i="1"/>
  <c r="C133" i="1"/>
  <c r="B133" i="1"/>
  <c r="Q57" i="1"/>
  <c r="U133" i="1"/>
  <c r="C134" i="1"/>
  <c r="B134" i="1"/>
  <c r="Q133" i="1"/>
  <c r="Q58" i="1"/>
  <c r="U134" i="1"/>
  <c r="C135" i="1"/>
  <c r="B135" i="1"/>
  <c r="Q134" i="1"/>
  <c r="Q59" i="1"/>
  <c r="U135" i="1"/>
  <c r="Q135" i="1"/>
  <c r="C136" i="1"/>
  <c r="B136" i="1"/>
  <c r="Q60" i="1"/>
  <c r="U136" i="1"/>
  <c r="Q136" i="1"/>
  <c r="C137" i="1"/>
  <c r="B137" i="1"/>
  <c r="Q61" i="1"/>
  <c r="U137" i="1"/>
  <c r="C138" i="1"/>
  <c r="B138" i="1"/>
  <c r="Q137" i="1"/>
  <c r="Q62" i="1"/>
  <c r="U138" i="1"/>
  <c r="Q138" i="1"/>
  <c r="C139" i="1"/>
  <c r="B139" i="1"/>
  <c r="Q63" i="1"/>
  <c r="U139" i="1"/>
  <c r="Q139" i="1"/>
  <c r="C140" i="1"/>
  <c r="B140" i="1"/>
  <c r="Q64" i="1"/>
  <c r="U140" i="1"/>
  <c r="Q140" i="1"/>
  <c r="C141" i="1"/>
  <c r="B141" i="1"/>
  <c r="Q65" i="1"/>
  <c r="U141" i="1"/>
  <c r="Q141" i="1"/>
  <c r="C142" i="1"/>
  <c r="B142" i="1"/>
  <c r="Q66" i="1"/>
  <c r="U142" i="1"/>
  <c r="Q142" i="1"/>
  <c r="C143" i="1"/>
  <c r="B143" i="1"/>
  <c r="Q67" i="1"/>
  <c r="U143" i="1"/>
  <c r="C144" i="1"/>
  <c r="B144" i="1"/>
  <c r="Q143" i="1"/>
  <c r="Q68" i="1"/>
  <c r="U144" i="1"/>
  <c r="Q144" i="1"/>
  <c r="C145" i="1"/>
  <c r="Q69" i="1"/>
  <c r="B145" i="1"/>
  <c r="U145" i="1"/>
  <c r="Q145" i="1"/>
  <c r="C146" i="1"/>
  <c r="Q70" i="1"/>
  <c r="B146" i="1"/>
  <c r="U146" i="1"/>
  <c r="Q146"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<sst xmlns="http://schemas.openxmlformats.org/spreadsheetml/2006/main" count="1348" uniqueCount="310">
  <si>
    <t>Apr</t>
  </si>
  <si>
    <t>May</t>
  </si>
  <si>
    <t>Ymax/100</t>
  </si>
  <si>
    <t>SELECTOR ROW</t>
  </si>
  <si>
    <t>Celeration</t>
  </si>
  <si>
    <t>Labels</t>
  </si>
  <si>
    <t>Text</t>
  </si>
  <si>
    <t>SchlYr</t>
  </si>
  <si>
    <t>Blank</t>
  </si>
  <si>
    <t>STATISTICAL ANALYSES FOR CELERATION AND BOUNCE LINES</t>
  </si>
  <si>
    <t>Celeration Method</t>
  </si>
  <si>
    <t>OS</t>
  </si>
  <si>
    <t>DataPtOffset</t>
  </si>
  <si>
    <t>Nphases2</t>
  </si>
  <si>
    <t>Phase or Comment No.</t>
  </si>
  <si>
    <t>AcRate</t>
  </si>
  <si>
    <t>Zero-count multiple:</t>
  </si>
  <si>
    <t>DisRatio</t>
  </si>
  <si>
    <t>mini</t>
  </si>
  <si>
    <t>maxi</t>
  </si>
  <si>
    <t>(Y'/Y)</t>
  </si>
  <si>
    <t>Time for "Zero Count"</t>
  </si>
  <si>
    <t>RTN</t>
  </si>
  <si>
    <t>Offsetter</t>
  </si>
  <si>
    <t>Calendar Days</t>
  </si>
  <si>
    <t>Mo</t>
  </si>
  <si>
    <t>Y'</t>
  </si>
  <si>
    <t>Keep in mind that only a "Zero-Count" Decel Aimstar requires time data.  This is so that the Decel Aimstar will be plotted below the record floor.  Enter the value of the Record Floor from the Y-axis.</t>
  </si>
  <si>
    <t>Total</t>
  </si>
  <si>
    <t>Aim Star Freq Decel</t>
  </si>
  <si>
    <t>Jun</t>
  </si>
  <si>
    <t>Jul</t>
  </si>
  <si>
    <t>Aug</t>
  </si>
  <si>
    <t>Sep</t>
  </si>
  <si>
    <t>Oct</t>
  </si>
  <si>
    <t>Nov</t>
  </si>
  <si>
    <t>Dec</t>
  </si>
  <si>
    <t>CELERATION AND BOUNCE ANALYSIS AREA</t>
  </si>
  <si>
    <t>Selector</t>
  </si>
  <si>
    <t>Days/Mo</t>
  </si>
  <si>
    <t>Jan</t>
  </si>
  <si>
    <t>Feb</t>
  </si>
  <si>
    <t>Mar</t>
  </si>
  <si>
    <t>X(P=p)</t>
  </si>
  <si>
    <t>10^(Y')</t>
  </si>
  <si>
    <t>Count</t>
  </si>
  <si>
    <t>Define the length of the standard week: 5 days for school weeks, etc.  Enter '1' if you do not wish to work with fractional weeks.</t>
  </si>
  <si>
    <t>K</t>
  </si>
  <si>
    <t>%iles</t>
  </si>
  <si>
    <t>Date (m/d/y)</t>
  </si>
  <si>
    <t>Start</t>
  </si>
  <si>
    <t>Stop</t>
  </si>
  <si>
    <t>LL</t>
  </si>
  <si>
    <t>Change Date</t>
  </si>
  <si>
    <t>ChartType</t>
  </si>
  <si>
    <t>ScaleFactor</t>
  </si>
  <si>
    <t>Xmax</t>
  </si>
  <si>
    <t>YMax</t>
  </si>
  <si>
    <t>Ymin</t>
  </si>
  <si>
    <t>CalDays</t>
  </si>
  <si>
    <t>W</t>
  </si>
  <si>
    <t>SpreadIndex</t>
  </si>
  <si>
    <t>Type the description of the deceleration movement cycle.</t>
  </si>
  <si>
    <t>Tot.Bounce</t>
  </si>
  <si>
    <t>DateLoc</t>
  </si>
  <si>
    <t>Y= Log(FCount)</t>
  </si>
  <si>
    <t>CalDate</t>
  </si>
  <si>
    <t>Order</t>
  </si>
  <si>
    <t>Ymax</t>
  </si>
  <si>
    <t>Up</t>
  </si>
  <si>
    <t>Down</t>
  </si>
  <si>
    <t>Day</t>
  </si>
  <si>
    <t>DcRate</t>
  </si>
  <si>
    <t>RecFloor</t>
  </si>
  <si>
    <t>Type description of target movement cycle here.  This information appears on the progress record and on the standard chart.</t>
  </si>
  <si>
    <t xml:space="preserve">       Line To (High)</t>
  </si>
  <si>
    <t/>
  </si>
  <si>
    <t>Aim Star Number</t>
  </si>
  <si>
    <t>Limits</t>
  </si>
  <si>
    <t>Convert Rec Flr to Minutes</t>
  </si>
  <si>
    <t>Aim Star Date</t>
  </si>
  <si>
    <t>UL</t>
  </si>
  <si>
    <t>SSreg, SSresid</t>
  </si>
  <si>
    <t>Owen White</t>
  </si>
  <si>
    <t xml:space="preserve">     Line From (Low)</t>
  </si>
  <si>
    <t>N</t>
  </si>
  <si>
    <t>Scott Born</t>
  </si>
  <si>
    <t>Aim Stars</t>
  </si>
  <si>
    <t>Chart Synchronization Date</t>
  </si>
  <si>
    <t>Date</t>
  </si>
  <si>
    <t>Sign</t>
  </si>
  <si>
    <t>Organization</t>
  </si>
  <si>
    <t>Supervisor</t>
  </si>
  <si>
    <t>Manager</t>
  </si>
  <si>
    <t>Adviser</t>
  </si>
  <si>
    <t>UpStar</t>
  </si>
  <si>
    <t>Time1</t>
  </si>
  <si>
    <t>Time2</t>
  </si>
  <si>
    <t>DownStar</t>
  </si>
  <si>
    <t>p(F,v1,v2)</t>
  </si>
  <si>
    <t>Change author:</t>
  </si>
  <si>
    <t>c.75</t>
  </si>
  <si>
    <t>c.80</t>
  </si>
  <si>
    <t>c.50</t>
  </si>
  <si>
    <t>c.90</t>
  </si>
  <si>
    <t>1-R^2</t>
  </si>
  <si>
    <t>R^2</t>
  </si>
  <si>
    <t>t(n-1)</t>
  </si>
  <si>
    <t>Notes</t>
  </si>
  <si>
    <t>Used to record limits that may be imposed by measurement procedure.</t>
  </si>
  <si>
    <t>P(T-dist,N-2)</t>
  </si>
  <si>
    <t>Standard Week</t>
  </si>
  <si>
    <t>Scalar</t>
  </si>
  <si>
    <t>Performer</t>
  </si>
  <si>
    <t>Stuart Harder</t>
  </si>
  <si>
    <t>Version:</t>
  </si>
  <si>
    <t>Description</t>
  </si>
  <si>
    <t>Percentiles for Bounce Analysis</t>
  </si>
  <si>
    <t>Aim Star Freq Accel</t>
  </si>
  <si>
    <t>StartDay</t>
  </si>
  <si>
    <t>StopDay</t>
  </si>
  <si>
    <t>Offsets</t>
  </si>
  <si>
    <t>Linear Regression</t>
  </si>
  <si>
    <t>F,v</t>
  </si>
  <si>
    <t>Date:</t>
  </si>
  <si>
    <t>c.95</t>
  </si>
  <si>
    <t>c.mm</t>
  </si>
  <si>
    <t>Charter</t>
  </si>
  <si>
    <t>Se(n),seb</t>
  </si>
  <si>
    <t>Agency</t>
  </si>
  <si>
    <t>Counter</t>
  </si>
  <si>
    <t>Timer</t>
  </si>
  <si>
    <t>Phase Changes</t>
  </si>
  <si>
    <t>Prorate Acel</t>
  </si>
  <si>
    <t>Prorate Decel</t>
  </si>
  <si>
    <t>Prorate Ceiling</t>
  </si>
  <si>
    <t>Bnc Including Cel</t>
  </si>
  <si>
    <t>COUNT PER MINUTE</t>
  </si>
  <si>
    <t>Y-AxisLabel</t>
  </si>
  <si>
    <t>ymax</t>
  </si>
  <si>
    <t>FCount</t>
  </si>
  <si>
    <t>ACL</t>
  </si>
  <si>
    <t>DCL</t>
  </si>
  <si>
    <t>eVersion</t>
  </si>
  <si>
    <t>Absolute Mean Ratio</t>
  </si>
  <si>
    <t>Bnc Around Cel</t>
  </si>
  <si>
    <t>Type name of behaver here.  This name appears on the progress record and on the standard chart.</t>
  </si>
  <si>
    <t>CALCULATIONS FOR COEFF OF DETERMINATION AND RELATED PROBABILITIES (MEDIAN SLOPE ONLY)</t>
  </si>
  <si>
    <t>Total Bounce</t>
  </si>
  <si>
    <t>DayUp</t>
  </si>
  <si>
    <t>UpBnc</t>
  </si>
  <si>
    <t>DayDwn</t>
  </si>
  <si>
    <t>DwnBnc</t>
  </si>
  <si>
    <t>CelInfo</t>
  </si>
  <si>
    <t>Windows OS</t>
  </si>
  <si>
    <t>SUCCESSIVE CALENDAR WEEKS</t>
  </si>
  <si>
    <t>X_AxisLbl</t>
  </si>
  <si>
    <t>X-AxisLabel</t>
  </si>
  <si>
    <t>SUCCESSIVE CALENDAR DAYS</t>
  </si>
  <si>
    <t>SUCCESSIVE CALENDAR MONTHS</t>
  </si>
  <si>
    <t>SUCCESSIVE CALENDAR YEARS</t>
  </si>
  <si>
    <t>SelRow</t>
  </si>
  <si>
    <t>CI</t>
  </si>
  <si>
    <t>ZRO</t>
  </si>
  <si>
    <t>MTHD</t>
  </si>
  <si>
    <t>Element</t>
  </si>
  <si>
    <t>Value</t>
  </si>
  <si>
    <t>Use</t>
  </si>
  <si>
    <t>extra r-axis scale</t>
  </si>
  <si>
    <t>Setting</t>
  </si>
  <si>
    <t>Type</t>
  </si>
  <si>
    <t>All the "ZERO COUNT" frequencies on the standard chart are set  to some arbitrary point below the record floor.  Og Lindsley prefered "0.50" (half the value of the record floor) because that places the zero-count  as far below the floor as the next non-zero value is above the floor.</t>
  </si>
  <si>
    <t xml:space="preserve">Enter the date of the first Sunday prior to the start of the school-year.  This is the chart synchronization date for the first half of the school-year.  The last date on this chart is a Sunday, 100 weeks (700 days) from the beginning chart date.  Use this Sunday date as the start of your second half of the school-year chart.  </t>
  </si>
  <si>
    <t>DCPM</t>
  </si>
  <si>
    <t>DCPD</t>
  </si>
  <si>
    <t>WCPM</t>
  </si>
  <si>
    <t>WCPW</t>
  </si>
  <si>
    <t>MCPM</t>
  </si>
  <si>
    <t>YCPY</t>
  </si>
  <si>
    <t>MS</t>
  </si>
  <si>
    <t>LR</t>
  </si>
  <si>
    <t>COMMENTS</t>
  </si>
  <si>
    <t>CHART-FIELD LABELS AND ELEMENTS</t>
  </si>
  <si>
    <t>Celeration Val.</t>
  </si>
  <si>
    <t>AZR</t>
  </si>
  <si>
    <t>DZR</t>
  </si>
  <si>
    <t>CZR</t>
  </si>
  <si>
    <t>p</t>
  </si>
  <si>
    <t>q</t>
  </si>
  <si>
    <t>mmm-yyyy</t>
  </si>
  <si>
    <t>yyyy</t>
  </si>
  <si>
    <t>Dformat</t>
  </si>
  <si>
    <t>DateFormat</t>
  </si>
  <si>
    <t>mm/dd/yy</t>
  </si>
  <si>
    <t>D</t>
  </si>
  <si>
    <t>Y</t>
  </si>
  <si>
    <t>M</t>
  </si>
  <si>
    <t>ScalingLbl</t>
  </si>
  <si>
    <t>TopLbl</t>
  </si>
  <si>
    <t>WEEKS</t>
  </si>
  <si>
    <t>MONTHS</t>
  </si>
  <si>
    <t>HALF-YEARS</t>
  </si>
  <si>
    <t>HALF-DECADES</t>
  </si>
  <si>
    <t>Base Position</t>
  </si>
  <si>
    <t>Terminal Position</t>
  </si>
  <si>
    <t>FIELD NAME</t>
  </si>
  <si>
    <t>FIELD INFORMATION</t>
  </si>
  <si>
    <t>COMMENT</t>
  </si>
  <si>
    <t>Time_Unit</t>
  </si>
  <si>
    <t>TimeUnit</t>
  </si>
  <si>
    <t>DAY</t>
  </si>
  <si>
    <t>WEEK</t>
  </si>
  <si>
    <t>MONTH</t>
  </si>
  <si>
    <t>YEAR</t>
  </si>
  <si>
    <t>extra-log scale</t>
  </si>
  <si>
    <t>Base</t>
  </si>
  <si>
    <t>X(t)</t>
  </si>
  <si>
    <t>Y(t)</t>
  </si>
  <si>
    <t>Y(t) Labels</t>
  </si>
  <si>
    <t>SCCFB GenTemp v10-0 (2010)</t>
  </si>
  <si>
    <t>Original version</t>
  </si>
  <si>
    <t>Multiple bug fixes by Scott Born</t>
  </si>
  <si>
    <t>1. This SCC is now a General Template capable of presenting data in the following formats:  daily per minute, daily per day, weekly per minute, weekly per week, monthly per month, and yearly per year.</t>
  </si>
  <si>
    <t>2. Fischer's Exact has been removed.</t>
  </si>
  <si>
    <t>3. Owen White's Median Slope method is updated.</t>
  </si>
  <si>
    <t>4. Summary Table is fully functional.</t>
  </si>
  <si>
    <t>45Set-up page has table and button to change the Y-axis scale min/max values.</t>
  </si>
  <si>
    <t>6. Zero-counts may be included or excluded from celeration analysis and display on the SCC. Connecting datapoint lines may be removed or repaired.</t>
  </si>
  <si>
    <t>7. Data point lines crossing phase lines may be turned on or off using Control+Shift+J/Control+Shift+K.  A chart series may be fully repaired using Control+Shift+I.</t>
  </si>
  <si>
    <t>8. The Accuracy Ratio chart is removed.</t>
  </si>
  <si>
    <t>9. In the Statistics Area, a table is added permitting the user to place 1's or 0's by each element of the celeration line text label.  A '1' includes the text; a '0' excludes it.  The final result is a concantenation of those elements whose inclusion markers are set to '1'.</t>
  </si>
  <si>
    <t>Prorate Aceleration series based on Counting Days/Standard Week (True/False)</t>
  </si>
  <si>
    <t>Prorate Deceleration series based on Counting Days/Standard Week (True/False)</t>
  </si>
  <si>
    <t>Prorate Record Ceiling series based on Counting Days/Standard Week (True/False)</t>
  </si>
  <si>
    <t>MWDY</t>
  </si>
  <si>
    <t>RcRate</t>
  </si>
  <si>
    <t>m, b</t>
  </si>
  <si>
    <t>Ordinary Least Squares Parameters</t>
  </si>
  <si>
    <r>
      <t>r</t>
    </r>
    <r>
      <rPr>
        <vertAlign val="superscript"/>
        <sz val="9"/>
        <rFont val="Calibri Light"/>
        <family val="2"/>
      </rPr>
      <t>2</t>
    </r>
    <r>
      <rPr>
        <sz val="8"/>
        <rFont val="Calibri Light"/>
        <family val="2"/>
      </rPr>
      <t>, se(y)</t>
    </r>
  </si>
  <si>
    <t>Use Txt Element (1/0)</t>
  </si>
  <si>
    <t>Bounce Statistics</t>
  </si>
  <si>
    <t>Celeration Line Definition Table</t>
  </si>
  <si>
    <t>Confidence Interval Table</t>
  </si>
  <si>
    <r>
      <t xml:space="preserve">Note: you may change the </t>
    </r>
    <r>
      <rPr>
        <b/>
        <sz val="9"/>
        <rFont val="Helv"/>
      </rPr>
      <t>Field Names</t>
    </r>
    <r>
      <rPr>
        <sz val="9"/>
        <rFont val="Helv"/>
      </rPr>
      <t xml:space="preserve"> to whatever value suits your purpose.  Then enter </t>
    </r>
    <r>
      <rPr>
        <b/>
        <sz val="9"/>
        <rFont val="Helv"/>
      </rPr>
      <t>Field Information</t>
    </r>
    <r>
      <rPr>
        <sz val="9"/>
        <rFont val="Helv"/>
      </rPr>
      <t xml:space="preserve"> to complete the text elements.  Example: Performer may be changed to Student and Field Information may contain Jim Johnson: the text element then reads, "Student: Jim Johnson."</t>
    </r>
  </si>
  <si>
    <t>WK DAY</t>
  </si>
  <si>
    <t>Sequence #s</t>
  </si>
  <si>
    <r>
      <rPr>
        <b/>
        <sz val="8"/>
        <rFont val="Calibri"/>
        <family val="2"/>
        <scheme val="minor"/>
      </rPr>
      <t>RecFlr</t>
    </r>
    <r>
      <rPr>
        <sz val="8"/>
        <rFont val="Calibri"/>
        <family val="2"/>
        <scheme val="minor"/>
      </rPr>
      <t xml:space="preserve"> ("h:mm:ss" or "1")</t>
    </r>
  </si>
  <si>
    <t>Min</t>
  </si>
  <si>
    <t>Max</t>
  </si>
  <si>
    <t>Days</t>
  </si>
  <si>
    <t>Frequency</t>
  </si>
  <si>
    <t>10^f</t>
  </si>
  <si>
    <t>slope</t>
  </si>
  <si>
    <t>Ymd</t>
  </si>
  <si>
    <t>Xmd</t>
  </si>
  <si>
    <t>Proj</t>
  </si>
  <si>
    <t>CelLineTxt</t>
  </si>
  <si>
    <t>PF</t>
  </si>
  <si>
    <t>Celeration Finder Date Values</t>
  </si>
  <si>
    <t>Enter a Start, Stop, and Proj Forward</t>
  </si>
  <si>
    <t>Celeration Line and Cel Val.</t>
  </si>
  <si>
    <t>PinPoint#3</t>
  </si>
  <si>
    <t>RCL</t>
  </si>
  <si>
    <t>Day # for the series needing a</t>
  </si>
  <si>
    <t>PP#1</t>
  </si>
  <si>
    <t>PP#2</t>
  </si>
  <si>
    <t>PP#3</t>
  </si>
  <si>
    <t>Start.Day#</t>
  </si>
  <si>
    <t>Start.Vals</t>
  </si>
  <si>
    <t>Stop.Day#</t>
  </si>
  <si>
    <t>Stop.Vals</t>
  </si>
  <si>
    <t>UL.Day#</t>
  </si>
  <si>
    <t>UL.Vals</t>
  </si>
  <si>
    <t>LL.Day#</t>
  </si>
  <si>
    <t>LL.Vals</t>
  </si>
  <si>
    <t>CelLine.Txt</t>
  </si>
  <si>
    <t>AltBounce</t>
  </si>
  <si>
    <t xml:space="preserve">            </t>
  </si>
  <si>
    <t>Note: to clear a specific line from the PP#1 Series,</t>
  </si>
  <si>
    <t xml:space="preserve">   </t>
  </si>
  <si>
    <t>PP#1 Lines</t>
  </si>
  <si>
    <t>PP#3 Lines</t>
  </si>
  <si>
    <t>PP#2 Lines</t>
  </si>
  <si>
    <t>Note: to clear a specific line from the PP#3 Series,</t>
  </si>
  <si>
    <t xml:space="preserve">   select one rose-colored cell (check date #s or dates</t>
  </si>
  <si>
    <r>
      <t xml:space="preserve">   of the given line) and click the </t>
    </r>
    <r>
      <rPr>
        <b/>
        <sz val="9"/>
        <rFont val="Helv"/>
      </rPr>
      <t>Clear Selected PP#1</t>
    </r>
    <r>
      <rPr>
        <sz val="9"/>
        <rFont val="Helv"/>
      </rPr>
      <t xml:space="preserve"> button</t>
    </r>
  </si>
  <si>
    <r>
      <t xml:space="preserve">   of the given line) and click the </t>
    </r>
    <r>
      <rPr>
        <b/>
        <sz val="9"/>
        <rFont val="Helv"/>
      </rPr>
      <t>Clear Selected PP#2</t>
    </r>
    <r>
      <rPr>
        <sz val="9"/>
        <rFont val="Helv"/>
      </rPr>
      <t xml:space="preserve"> button</t>
    </r>
  </si>
  <si>
    <r>
      <t xml:space="preserve"> for the given line) and click the</t>
    </r>
    <r>
      <rPr>
        <b/>
        <sz val="9"/>
        <rFont val="Helv"/>
      </rPr>
      <t xml:space="preserve"> Clear Selected PP#3 </t>
    </r>
    <r>
      <rPr>
        <sz val="9"/>
        <rFont val="Helv"/>
      </rPr>
      <t>button</t>
    </r>
  </si>
  <si>
    <t>PinPoint #1</t>
  </si>
  <si>
    <t>PinPoint #2</t>
  </si>
  <si>
    <t>&lt;- Current Status</t>
  </si>
  <si>
    <t>Alt_Ylabels</t>
  </si>
  <si>
    <t>Alt_Ylbl</t>
  </si>
  <si>
    <t>EVENT FREQUENCY</t>
  </si>
  <si>
    <t>Select #</t>
  </si>
  <si>
    <t>[re: AM14]</t>
  </si>
  <si>
    <t>Infections</t>
  </si>
  <si>
    <t>Deaths</t>
  </si>
  <si>
    <t>Recoveries</t>
  </si>
  <si>
    <t>SCC GenTemplate v11-3 (office 3655)</t>
  </si>
  <si>
    <t>1. Template revised to run with MS Visual Basic for Applications.</t>
  </si>
  <si>
    <t>2. Celeration Finder: simplified to use only Least Squares Linear Regression.</t>
  </si>
  <si>
    <t>3. Bounce lines who confidence limits may be set by the user, are imposed on either side of the celeration line.  Selectable limits include: a) inter quartile range, b) 75th %ile, c) 80th %ile, d) 90th %ile, e) 95th %ile, and f) min/max.</t>
  </si>
  <si>
    <t>CI Selector #</t>
  </si>
  <si>
    <t>Defined Confidence Limit</t>
  </si>
  <si>
    <t xml:space="preserve">4. To select a confidence limits go to cell AM14 on the Progress Record page and enter one of the CI Selector #s from the table at the right.  </t>
  </si>
  <si>
    <t>5. Formating the Chart calendar and scale.  On the Set-up page, go to cells T2:AI13.  This is the Chart Definition table.  The Change Chart Formats button will move the Red Arrow on the left side of the chart from one row to the next, changing the Chart to the designated calendar and scale format.  Each row contains all of the parameters needed to define the Chart including labels.  Study the row elements to be sure you are selecting the chart that meets your purposes.  In the far-righthand column, "Alt_YLbl", you may enter a unique y-axis label on the row corresponding to the red arrow.  If you change the chart format, this label will be lost and needs to be re-entered if needed again.</t>
  </si>
  <si>
    <t>6. Celeration lines.  This page holds the celeration line definitions.  There are three blocks of ten (10) lines each corresponding to the celerations of Pinpoints #1, #2, and #3.   The is a Clear Lines button that removes all celeration lines in that block.  There are also buttons to remove individual lines in a block.  This is accomplished by select a rose-colored cell (these cells represent the beginning of the definition range for a given line), and clicking the Clear Select PP# button.</t>
  </si>
  <si>
    <t>7. Change Zero-Count Flag.  This button toggles between including zero-counts in the assessment of celeration and removing zero-counts from consideration.  I recommend the later, but the button is there in case you disagree.</t>
  </si>
  <si>
    <t>8. Get PP# CelLine buttons.  These buttons activate the celeration finder.  The three cells in each row to the left of these buttons are where the user enters the Start, Stop, and Project Forward day numbers needed to define the celeration line.  Column D contains a sequential list of the Day #s that define the x-axis of the chart.  The are Clear buttons for each of the Get PP# buttons used to clear the tabled cells.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</si>
</sst>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0.0"/>
    <numFmt numFmtId="165" formatCode="mm/dd/yy"/>
    <numFmt numFmtId="166" formatCode="0.000"/>
    <numFmt numFmtId="167" formatCode="0.00000"/>
    <numFmt numFmtId="168" formatCode="0.0000"/>
    <numFmt numFmtId="169" formatCode="_(* #,##0_);_(* \(#,##0\);_(* &quot;-&quot;??_);_(@_)"/>
    <numFmt numFmtId="170" formatCode="[$-409]d\-mmm\-yy;@"/>
    <numFmt numFmtId="171" formatCode="[Red]\→;;"/>
    <numFmt numFmtId="172" formatCode="[$-409]d\-mmm\-yyyy;@"/>
    <numFmt numFmtId="173" formatCode="mm/dd/yy;@"/>
    <numFmt numFmtId="174" formatCode="0.000000000"/>
    <numFmt numFmtId="175" formatCode="0.000000"/>
  </numFmts>
  <fonts count="59">
    <font>
      <sz val="9"/>
      <name val="Helv"/>
    </font>
    <font>
      <b/>
      <sz val="9"/>
      <name val="Helv"/>
    </font>
    <font>
      <sz val="9"/>
      <name val="Helv"/>
    </font>
    <font>
      <b/>
      <sz val="12"/>
      <name val="Helv"/>
    </font>
    <font>
      <b/>
      <sz val="14"/>
      <name val="Arial"/>
      <family val="2"/>
    </font>
    <font>
      <sz val="9"/>
      <color indexed="10"/>
      <name val="Helv"/>
    </font>
    <font>
      <b/>
      <sz val="9"/>
      <color indexed="10"/>
      <name val="Helv"/>
    </font>
    <font>
      <sz val="9"/>
      <name val="Arial"/>
      <family val="2"/>
    </font>
    <font>
      <sz val="9"/>
      <color indexed="10"/>
      <name val="Zapf Dingbats"/>
    </font>
    <font>
      <sz val="9"/>
      <name val="Zapf Dingbats"/>
    </font>
    <font>
      <sz val="10"/>
      <name val="Verdana"/>
      <family val="2"/>
    </font>
    <font>
      <b/>
      <sz val="9"/>
      <name val="Big Caslon"/>
    </font>
    <font>
      <b/>
      <sz val="9"/>
      <name val="Calibri"/>
      <family val="2"/>
      <scheme val="minor"/>
    </font>
    <font>
      <sz val="8"/>
      <name val="Calibri"/>
      <family val="2"/>
      <scheme val="minor"/>
    </font>
    <font>
      <sz val="8"/>
      <color indexed="10"/>
      <name val="Calibri"/>
      <family val="2"/>
      <scheme val="minor"/>
    </font>
    <font>
      <b/>
      <sz val="8"/>
      <name val="Calibri"/>
      <family val="2"/>
      <scheme val="minor"/>
    </font>
    <font>
      <sz val="8"/>
      <color indexed="9"/>
      <name val="Calibri"/>
      <family val="2"/>
      <scheme val="minor"/>
    </font>
    <font>
      <b/>
      <i/>
      <sz val="8"/>
      <name val="Calibri"/>
      <family val="2"/>
      <scheme val="minor"/>
    </font>
    <font>
      <b/>
      <sz val="8"/>
      <color indexed="10"/>
      <name val="Calibri"/>
      <family val="2"/>
      <scheme val="minor"/>
    </font>
    <font>
      <sz val="8"/>
      <color indexed="13"/>
      <name val="Calibri"/>
      <family val="2"/>
      <scheme val="minor"/>
    </font>
    <font>
      <u/>
      <sz val="9"/>
      <color theme="10"/>
      <name val="Helv"/>
    </font>
    <font>
      <sz val="8"/>
      <color theme="1"/>
      <name val="Calibri"/>
      <family val="2"/>
      <scheme val="minor"/>
    </font>
    <font>
      <sz val="9"/>
      <name val="Calibri"/>
      <family val="2"/>
      <scheme val="minor"/>
    </font>
    <font>
      <sz val="12"/>
      <name val="Calibri"/>
      <family val="2"/>
      <scheme val="minor"/>
    </font>
    <font>
      <u/>
      <sz val="12"/>
      <color theme="10"/>
      <name val="Calibri"/>
      <family val="2"/>
      <scheme val="minor"/>
    </font>
    <font>
      <sz val="9"/>
      <color rgb="FF33CCCC"/>
      <name val="Helv"/>
    </font>
    <font>
      <b/>
      <i/>
      <sz val="14"/>
      <name val="Calibri"/>
      <family val="2"/>
      <scheme val="minor"/>
    </font>
    <font>
      <b/>
      <sz val="14"/>
      <name val="Calibri"/>
      <family val="2"/>
      <scheme val="minor"/>
    </font>
    <font>
      <b/>
      <sz val="10"/>
      <name val="Calibri"/>
      <family val="2"/>
      <scheme val="minor"/>
    </font>
    <font>
      <sz val="8"/>
      <color theme="0" tint="-0.34998626667073579"/>
      <name val="Calibri"/>
      <family val="2"/>
      <scheme val="minor"/>
    </font>
    <font>
      <sz val="12"/>
      <color rgb="FFFF0000"/>
      <name val="Calibri"/>
      <family val="2"/>
      <scheme val="minor"/>
    </font>
    <font>
      <sz val="11"/>
      <name val="Wingdings 3"/>
      <family val="1"/>
      <charset val="2"/>
    </font>
    <font>
      <sz val="9"/>
      <color indexed="12"/>
      <name val="Calibri"/>
      <family val="2"/>
      <scheme val="minor"/>
    </font>
    <font>
      <b/>
      <i/>
      <sz val="9"/>
      <name val="Calibri"/>
      <family val="2"/>
      <scheme val="minor"/>
    </font>
    <font>
      <b/>
      <i/>
      <sz val="9"/>
      <name val="Helv"/>
    </font>
    <font>
      <b/>
      <sz val="8"/>
      <name val="Calibri Light"/>
      <family val="2"/>
    </font>
    <font>
      <sz val="8"/>
      <name val="Calibri Light"/>
      <family val="2"/>
    </font>
    <font>
      <sz val="8"/>
      <color indexed="13"/>
      <name val="Calibri Light"/>
      <family val="2"/>
    </font>
    <font>
      <b/>
      <sz val="9"/>
      <name val="Calibri Light"/>
      <family val="2"/>
    </font>
    <font>
      <sz val="8"/>
      <color theme="1"/>
      <name val="Calibri Light"/>
      <family val="2"/>
    </font>
    <font>
      <b/>
      <i/>
      <sz val="9"/>
      <name val="Calibri Light"/>
      <family val="2"/>
    </font>
    <font>
      <b/>
      <sz val="8"/>
      <color theme="1"/>
      <name val="Calibri"/>
      <family val="2"/>
      <scheme val="minor"/>
    </font>
    <font>
      <sz val="9"/>
      <name val="Calibri Light"/>
      <family val="2"/>
    </font>
    <font>
      <vertAlign val="superscript"/>
      <sz val="9"/>
      <name val="Calibri Light"/>
      <family val="2"/>
    </font>
    <font>
      <sz val="10"/>
      <name val="Calibri"/>
      <family val="2"/>
      <scheme val="minor"/>
    </font>
    <font>
      <sz val="14"/>
      <name val="Calibri"/>
      <family val="2"/>
      <scheme val="minor"/>
    </font>
    <font>
      <sz val="9"/>
      <color theme="1"/>
      <name val="Calibri"/>
      <family val="2"/>
      <scheme val="minor"/>
    </font>
    <font>
      <sz val="8"/>
      <color theme="5" tint="0.39997558519241921"/>
      <name val="Calibri"/>
      <family val="2"/>
      <scheme val="minor"/>
    </font>
    <font>
      <sz val="9"/>
      <color theme="5" tint="0.39997558519241921"/>
      <name val="Calibri"/>
      <family val="2"/>
      <scheme val="minor"/>
    </font>
    <font>
      <b/>
      <sz val="11"/>
      <color theme="5" tint="0.39997558519241921"/>
      <name val="Calibri"/>
      <family val="2"/>
      <scheme val="minor"/>
    </font>
    <font>
      <sz val="6"/>
      <name val="Calibri"/>
      <family val="2"/>
      <scheme val="minor"/>
    </font>
    <font>
      <b/>
      <sz val="12"/>
      <name val="Calibri"/>
      <family val="2"/>
      <scheme val="minor"/>
    </font>
    <font>
      <sz val="8"/>
      <name val="Symbol"/>
      <family val="1"/>
      <charset val="2"/>
    </font>
    <font>
      <sz val="8"/>
      <color rgb="FF000000"/>
      <name val="Calibri"/>
      <family val="2"/>
    </font>
    <font>
      <sz val="9"/>
      <color rgb="FF000000"/>
      <name val="Helv"/>
    </font>
    <font>
      <sz val="8"/>
      <color rgb="FFFF0000"/>
      <name val="Calibri"/>
      <family val="2"/>
      <scheme val="minor"/>
    </font>
    <font>
      <sz val="9"/>
      <color rgb="FFFF0000"/>
      <name val="Calibri"/>
      <family val="2"/>
      <scheme val="minor"/>
    </font>
    <font>
      <u/>
      <sz val="8"/>
      <name val="Calibri Light"/>
      <family val="2"/>
    </font>
    <font>
      <b/>
      <sz val="10"/>
      <name val="Calibri Light"/>
      <family val="2"/>
    </font>
  </fonts>
  <fills count="16">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3" tint="0.39997558519241921"/>
        <bgColor indexed="64"/>
      </patternFill>
    </fill>
    <fill>
      <patternFill patternType="solid">
        <fgColor rgb="FFB8FBFE"/>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medium">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medium">
        <color indexed="64"/>
      </top>
      <bottom/>
      <diagonal/>
    </border>
    <border>
      <left/>
      <right/>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thin">
        <color indexed="64"/>
      </bottom>
      <diagonal/>
    </border>
    <border>
      <left/>
      <right/>
      <top style="thin">
        <color auto="1"/>
      </top>
      <bottom style="thin">
        <color auto="1"/>
      </bottom>
      <diagonal/>
    </border>
    <border>
      <left/>
      <right/>
      <top style="thin">
        <color indexed="64"/>
      </top>
      <bottom style="thin">
        <color indexed="64"/>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top/>
      <bottom style="thin">
        <color theme="0" tint="-0.24994659260841701"/>
      </bottom>
      <diagonal/>
    </border>
    <border>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thin">
        <color rgb="FFC00000"/>
      </top>
      <bottom style="thin">
        <color rgb="FFC00000"/>
      </bottom>
      <diagonal/>
    </border>
  </borders>
  <cellStyleXfs count="5">
    <xf numFmtId="0" fontId="0" fillId="0" borderId="0"/>
    <xf numFmtId="0" fontId="10" fillId="0" borderId="0"/>
    <xf numFmtId="9" fontId="2" fillId="0" borderId="0" applyFont="0" applyFill="0" applyBorder="0" applyAlignment="0" applyProtection="0"/>
    <xf numFmtId="0" fontId="20" fillId="0" borderId="0" applyNumberFormat="0" applyFill="0" applyBorder="0" applyAlignment="0" applyProtection="0"/>
    <xf numFmtId="43" fontId="2" fillId="0" borderId="0" applyFont="0" applyFill="0" applyBorder="0" applyAlignment="0" applyProtection="0"/>
  </cellStyleXfs>
  <cellXfs count="506">
    <xf numFmtId="0" fontId="0" fillId="0" borderId="0" xfId="0"/>
    <xf numFmtId="0" fontId="1" fillId="0" borderId="0" xfId="0" applyFont="1" applyAlignment="1" applyProtection="1">
      <alignment wrapText="1"/>
    </xf>
    <xf numFmtId="0" fontId="0" fillId="0" borderId="0" xfId="0" applyFont="1" applyProtection="1"/>
    <xf numFmtId="0" fontId="0" fillId="0" borderId="0" xfId="0" applyAlignment="1">
      <alignment horizontal="left" vertical="top" wrapText="1"/>
    </xf>
    <xf numFmtId="0" fontId="0" fillId="0" borderId="1" xfId="0" applyFont="1" applyBorder="1" applyProtection="1"/>
    <xf numFmtId="14" fontId="0" fillId="0" borderId="1" xfId="0" applyNumberFormat="1" applyFont="1" applyBorder="1" applyProtection="1">
      <protection locked="0"/>
    </xf>
    <xf numFmtId="0" fontId="0" fillId="0" borderId="1" xfId="0" applyBorder="1" applyProtection="1">
      <protection locked="0"/>
    </xf>
    <xf numFmtId="0" fontId="3" fillId="0" borderId="0" xfId="0" applyFont="1" applyAlignment="1">
      <alignment horizontal="left" vertical="top" wrapText="1"/>
    </xf>
    <xf numFmtId="0" fontId="5" fillId="2" borderId="0" xfId="0" applyFont="1" applyFill="1" applyProtection="1"/>
    <xf numFmtId="0" fontId="5" fillId="0" borderId="0" xfId="0" applyFont="1" applyProtection="1"/>
    <xf numFmtId="0" fontId="5" fillId="0" borderId="0" xfId="0" applyFont="1" applyFill="1" applyProtection="1"/>
    <xf numFmtId="0" fontId="6" fillId="0" borderId="0" xfId="0" applyFont="1" applyFill="1" applyAlignment="1" applyProtection="1">
      <alignment wrapText="1"/>
    </xf>
    <xf numFmtId="0" fontId="4" fillId="0" borderId="0" xfId="0" applyFont="1" applyAlignment="1" applyProtection="1">
      <alignment wrapText="1"/>
    </xf>
    <xf numFmtId="0" fontId="5" fillId="0" borderId="0" xfId="0" applyFont="1" applyFill="1" applyAlignment="1" applyProtection="1">
      <alignment horizontal="right"/>
    </xf>
    <xf numFmtId="0" fontId="0" fillId="0" borderId="1" xfId="0" applyFont="1" applyBorder="1" applyAlignment="1" applyProtection="1">
      <alignment horizontal="right"/>
      <protection locked="0"/>
    </xf>
    <xf numFmtId="0" fontId="8" fillId="0" borderId="0" xfId="0" applyFont="1" applyProtection="1"/>
    <xf numFmtId="0" fontId="0" fillId="0" borderId="0" xfId="0" applyFill="1"/>
    <xf numFmtId="0" fontId="9" fillId="0" borderId="0" xfId="0" applyFont="1" applyProtection="1"/>
    <xf numFmtId="0" fontId="11" fillId="0" borderId="0" xfId="0" applyFont="1" applyAlignment="1" applyProtection="1">
      <alignment wrapText="1"/>
    </xf>
    <xf numFmtId="0" fontId="1" fillId="3" borderId="1" xfId="0" applyFont="1" applyFill="1" applyBorder="1" applyAlignment="1" applyProtection="1">
      <alignment horizontal="right" wrapText="1"/>
    </xf>
    <xf numFmtId="0" fontId="1" fillId="3" borderId="1" xfId="0" applyFont="1" applyFill="1" applyBorder="1" applyAlignment="1" applyProtection="1">
      <alignment horizontal="center" wrapText="1"/>
    </xf>
    <xf numFmtId="0" fontId="13" fillId="0" borderId="0" xfId="0" applyFont="1" applyBorder="1" applyAlignment="1">
      <alignment horizontal="center"/>
    </xf>
    <xf numFmtId="0" fontId="13" fillId="0" borderId="0" xfId="0" applyFont="1" applyBorder="1" applyAlignment="1" applyProtection="1">
      <alignment horizontal="center"/>
      <protection hidden="1"/>
    </xf>
    <xf numFmtId="164" fontId="13" fillId="0" borderId="0" xfId="0" applyNumberFormat="1" applyFont="1" applyBorder="1" applyAlignment="1" applyProtection="1">
      <alignment horizontal="center"/>
      <protection hidden="1"/>
    </xf>
    <xf numFmtId="0" fontId="13" fillId="0" borderId="0" xfId="0" applyFont="1"/>
    <xf numFmtId="0" fontId="13" fillId="0" borderId="0" xfId="0" applyFont="1" applyAlignment="1" applyProtection="1">
      <alignment horizontal="center"/>
      <protection hidden="1"/>
    </xf>
    <xf numFmtId="166" fontId="13" fillId="0" borderId="0" xfId="0" applyNumberFormat="1" applyFont="1" applyBorder="1" applyAlignment="1" applyProtection="1">
      <alignment horizontal="center"/>
      <protection hidden="1"/>
    </xf>
    <xf numFmtId="2" fontId="13" fillId="0" borderId="0" xfId="0" applyNumberFormat="1" applyFont="1" applyBorder="1" applyAlignment="1" applyProtection="1">
      <alignment horizontal="center"/>
      <protection hidden="1"/>
    </xf>
    <xf numFmtId="2" fontId="13" fillId="0" borderId="0" xfId="0" applyNumberFormat="1" applyFont="1" applyAlignment="1" applyProtection="1">
      <alignment horizontal="center"/>
      <protection hidden="1"/>
    </xf>
    <xf numFmtId="2" fontId="14" fillId="0" borderId="0" xfId="0" applyNumberFormat="1" applyFont="1" applyAlignment="1" applyProtection="1">
      <alignment horizontal="center"/>
      <protection hidden="1"/>
    </xf>
    <xf numFmtId="164" fontId="14" fillId="0" borderId="0" xfId="0" applyNumberFormat="1" applyFont="1" applyAlignment="1" applyProtection="1">
      <alignment horizontal="center"/>
      <protection hidden="1"/>
    </xf>
    <xf numFmtId="1" fontId="13" fillId="0" borderId="0" xfId="0" applyNumberFormat="1" applyFont="1" applyBorder="1" applyAlignment="1" applyProtection="1">
      <alignment horizontal="center"/>
      <protection hidden="1"/>
    </xf>
    <xf numFmtId="164" fontId="13" fillId="0" borderId="0" xfId="0" applyNumberFormat="1" applyFont="1" applyFill="1" applyAlignment="1" applyProtection="1">
      <alignment horizontal="center"/>
      <protection hidden="1"/>
    </xf>
    <xf numFmtId="2" fontId="14" fillId="0" borderId="0" xfId="0" applyNumberFormat="1" applyFont="1" applyFill="1" applyBorder="1" applyAlignment="1" applyProtection="1">
      <alignment horizontal="center"/>
      <protection hidden="1"/>
    </xf>
    <xf numFmtId="2" fontId="13" fillId="0" borderId="0" xfId="0" applyNumberFormat="1" applyFont="1" applyFill="1" applyAlignment="1" applyProtection="1">
      <alignment horizontal="center"/>
      <protection hidden="1"/>
    </xf>
    <xf numFmtId="164" fontId="13" fillId="0" borderId="0" xfId="0" applyNumberFormat="1" applyFont="1" applyAlignment="1" applyProtection="1">
      <alignment horizontal="center"/>
      <protection hidden="1"/>
    </xf>
    <xf numFmtId="166" fontId="13" fillId="0" borderId="30" xfId="0" applyNumberFormat="1" applyFont="1" applyBorder="1" applyAlignment="1" applyProtection="1">
      <alignment horizontal="center"/>
    </xf>
    <xf numFmtId="0" fontId="17" fillId="0" borderId="0" xfId="0" applyFont="1" applyBorder="1" applyAlignment="1">
      <alignment horizontal="center" wrapText="1"/>
    </xf>
    <xf numFmtId="165" fontId="13" fillId="0" borderId="0" xfId="0" applyNumberFormat="1" applyFont="1" applyBorder="1" applyAlignment="1" applyProtection="1">
      <alignment horizontal="center"/>
      <protection hidden="1"/>
    </xf>
    <xf numFmtId="15" fontId="13" fillId="0" borderId="0" xfId="0" applyNumberFormat="1" applyFont="1" applyBorder="1" applyAlignment="1" applyProtection="1">
      <alignment horizontal="center"/>
      <protection hidden="1"/>
    </xf>
    <xf numFmtId="0" fontId="13" fillId="0" borderId="0" xfId="0" applyFont="1" applyAlignment="1">
      <alignment horizontal="center"/>
    </xf>
    <xf numFmtId="0" fontId="13" fillId="0" borderId="10" xfId="0" applyFont="1" applyBorder="1" applyAlignment="1">
      <alignment horizontal="center"/>
    </xf>
    <xf numFmtId="15" fontId="13" fillId="0" borderId="0" xfId="0" applyNumberFormat="1" applyFont="1" applyAlignment="1">
      <alignment horizontal="center"/>
    </xf>
    <xf numFmtId="1" fontId="13" fillId="0" borderId="0" xfId="0" applyNumberFormat="1" applyFont="1" applyFill="1" applyBorder="1" applyAlignment="1" applyProtection="1">
      <alignment horizontal="center"/>
      <protection hidden="1"/>
    </xf>
    <xf numFmtId="46" fontId="13" fillId="0" borderId="23" xfId="0" applyNumberFormat="1" applyFont="1" applyBorder="1" applyAlignment="1" applyProtection="1">
      <alignment horizontal="center" vertical="center"/>
      <protection locked="0"/>
    </xf>
    <xf numFmtId="0" fontId="13" fillId="0" borderId="23" xfId="0" applyFont="1" applyBorder="1" applyAlignment="1" applyProtection="1">
      <alignment horizontal="center" vertical="center" wrapText="1"/>
      <protection locked="0"/>
    </xf>
    <xf numFmtId="0" fontId="13" fillId="0" borderId="24" xfId="0" applyFont="1" applyBorder="1" applyAlignment="1" applyProtection="1">
      <alignment horizontal="center" vertical="center" wrapText="1"/>
      <protection locked="0"/>
    </xf>
    <xf numFmtId="1" fontId="13" fillId="0" borderId="23" xfId="0" applyNumberFormat="1" applyFont="1" applyBorder="1" applyAlignment="1" applyProtection="1">
      <alignment horizontal="center" vertical="center"/>
      <protection locked="0"/>
    </xf>
    <xf numFmtId="0" fontId="13" fillId="0" borderId="24" xfId="0" applyFont="1" applyBorder="1" applyAlignment="1" applyProtection="1">
      <alignment horizontal="center" vertical="center"/>
      <protection locked="0"/>
    </xf>
    <xf numFmtId="0" fontId="13" fillId="0" borderId="23" xfId="0" applyFont="1" applyBorder="1" applyAlignment="1" applyProtection="1">
      <alignment horizontal="center" vertical="center"/>
      <protection locked="0"/>
    </xf>
    <xf numFmtId="0" fontId="13" fillId="0" borderId="0" xfId="0" applyFont="1" applyFill="1" applyBorder="1" applyAlignment="1" applyProtection="1">
      <alignment horizontal="center"/>
      <protection hidden="1"/>
    </xf>
    <xf numFmtId="0" fontId="13" fillId="0" borderId="23" xfId="0" applyFont="1" applyFill="1" applyBorder="1" applyAlignment="1" applyProtection="1">
      <alignment horizontal="center" vertical="center"/>
      <protection locked="0"/>
    </xf>
    <xf numFmtId="0" fontId="13" fillId="0" borderId="24" xfId="0" applyFont="1" applyFill="1" applyBorder="1" applyAlignment="1" applyProtection="1">
      <alignment horizontal="center" vertical="center"/>
      <protection locked="0"/>
    </xf>
    <xf numFmtId="0" fontId="13" fillId="0" borderId="0" xfId="0" applyFont="1" applyAlignment="1">
      <alignment horizontal="right"/>
    </xf>
    <xf numFmtId="2" fontId="13" fillId="0" borderId="0" xfId="0" applyNumberFormat="1" applyFont="1" applyFill="1" applyBorder="1" applyAlignment="1" applyProtection="1">
      <alignment horizontal="center"/>
      <protection hidden="1"/>
    </xf>
    <xf numFmtId="0" fontId="13" fillId="0" borderId="0" xfId="0" applyFont="1" applyFill="1" applyAlignment="1" applyProtection="1">
      <alignment horizontal="center"/>
      <protection hidden="1"/>
    </xf>
    <xf numFmtId="0" fontId="13" fillId="0" borderId="0" xfId="0" applyFont="1" applyFill="1" applyAlignment="1">
      <alignment horizontal="center"/>
    </xf>
    <xf numFmtId="166" fontId="13" fillId="0" borderId="0" xfId="0" applyNumberFormat="1" applyFont="1" applyFill="1" applyBorder="1" applyAlignment="1" applyProtection="1">
      <alignment horizontal="center"/>
      <protection hidden="1"/>
    </xf>
    <xf numFmtId="0" fontId="13" fillId="0" borderId="0" xfId="0" applyFont="1" applyProtection="1"/>
    <xf numFmtId="165" fontId="13" fillId="0" borderId="0" xfId="0" applyNumberFormat="1" applyFont="1" applyAlignment="1" applyProtection="1">
      <alignment horizontal="right"/>
    </xf>
    <xf numFmtId="0" fontId="13" fillId="0" borderId="0" xfId="0" applyNumberFormat="1" applyFont="1" applyAlignment="1" applyProtection="1">
      <alignment horizontal="right"/>
    </xf>
    <xf numFmtId="0" fontId="13" fillId="0" borderId="0" xfId="0" applyFont="1" applyAlignment="1" applyProtection="1">
      <alignment horizontal="left"/>
    </xf>
    <xf numFmtId="0" fontId="13" fillId="0" borderId="0" xfId="0" applyFont="1" applyFill="1" applyAlignment="1" applyProtection="1">
      <alignment horizontal="right"/>
    </xf>
    <xf numFmtId="0" fontId="13" fillId="0" borderId="0" xfId="0" applyFont="1" applyFill="1" applyProtection="1"/>
    <xf numFmtId="0" fontId="13" fillId="0" borderId="0" xfId="0" applyFont="1" applyProtection="1">
      <protection hidden="1"/>
    </xf>
    <xf numFmtId="0" fontId="15" fillId="0" borderId="0" xfId="0" applyFont="1" applyBorder="1" applyAlignment="1" applyProtection="1">
      <alignment horizontal="center" wrapText="1"/>
    </xf>
    <xf numFmtId="0" fontId="15" fillId="0" borderId="0" xfId="0" applyFont="1" applyAlignment="1" applyProtection="1">
      <alignment wrapText="1"/>
      <protection hidden="1"/>
    </xf>
    <xf numFmtId="0" fontId="15" fillId="0" borderId="0" xfId="0" applyFont="1" applyAlignment="1" applyProtection="1">
      <alignment wrapText="1"/>
    </xf>
    <xf numFmtId="0" fontId="13" fillId="0" borderId="0" xfId="0" applyFont="1" applyBorder="1" applyAlignment="1" applyProtection="1">
      <alignment horizontal="left"/>
      <protection locked="0"/>
    </xf>
    <xf numFmtId="1" fontId="13" fillId="0" borderId="0" xfId="0" applyNumberFormat="1" applyFont="1" applyFill="1" applyProtection="1"/>
    <xf numFmtId="165" fontId="13" fillId="0" borderId="0" xfId="0" applyNumberFormat="1" applyFont="1" applyFill="1" applyAlignment="1" applyProtection="1">
      <alignment horizontal="right"/>
    </xf>
    <xf numFmtId="0" fontId="13" fillId="0" borderId="0" xfId="0" applyNumberFormat="1" applyFont="1" applyFill="1" applyBorder="1" applyAlignment="1" applyProtection="1">
      <alignment horizontal="right"/>
    </xf>
    <xf numFmtId="0" fontId="13" fillId="0" borderId="0" xfId="0" applyFont="1" applyFill="1" applyBorder="1" applyAlignment="1" applyProtection="1">
      <alignment horizontal="left"/>
    </xf>
    <xf numFmtId="0" fontId="13" fillId="0" borderId="0" xfId="0" applyNumberFormat="1" applyFont="1" applyFill="1" applyBorder="1" applyAlignment="1" applyProtection="1">
      <alignment horizontal="right"/>
      <protection locked="0"/>
    </xf>
    <xf numFmtId="0" fontId="13" fillId="0" borderId="0" xfId="0" applyFont="1" applyFill="1" applyBorder="1" applyAlignment="1" applyProtection="1">
      <alignment horizontal="left"/>
      <protection locked="0"/>
    </xf>
    <xf numFmtId="0" fontId="13" fillId="0" borderId="0" xfId="0" applyNumberFormat="1" applyFont="1" applyFill="1" applyAlignment="1" applyProtection="1">
      <alignment horizontal="right"/>
    </xf>
    <xf numFmtId="0" fontId="13" fillId="0" borderId="0" xfId="0" applyFont="1" applyFill="1" applyAlignment="1" applyProtection="1">
      <alignment horizontal="left"/>
    </xf>
    <xf numFmtId="0" fontId="13" fillId="6" borderId="0" xfId="0" applyFont="1" applyFill="1"/>
    <xf numFmtId="166" fontId="13" fillId="0" borderId="0" xfId="0" applyNumberFormat="1" applyFont="1" applyAlignment="1">
      <alignment horizontal="center"/>
    </xf>
    <xf numFmtId="0" fontId="13" fillId="0" borderId="0" xfId="0" applyFont="1" applyFill="1" applyBorder="1" applyAlignment="1" applyProtection="1">
      <alignment horizontal="right"/>
      <protection hidden="1"/>
    </xf>
    <xf numFmtId="0" fontId="13" fillId="0" borderId="0" xfId="0" applyFont="1" applyFill="1" applyBorder="1" applyAlignment="1">
      <alignment horizontal="center"/>
    </xf>
    <xf numFmtId="166" fontId="13" fillId="0" borderId="0" xfId="0" applyNumberFormat="1" applyFont="1" applyFill="1" applyBorder="1" applyAlignment="1">
      <alignment horizontal="center"/>
    </xf>
    <xf numFmtId="166" fontId="13" fillId="0" borderId="0" xfId="0" applyNumberFormat="1" applyFont="1" applyBorder="1" applyAlignment="1">
      <alignment horizontal="center"/>
    </xf>
    <xf numFmtId="169" fontId="13" fillId="0" borderId="0" xfId="4" applyNumberFormat="1" applyFont="1" applyBorder="1" applyAlignment="1" applyProtection="1">
      <alignment horizontal="center"/>
      <protection hidden="1"/>
    </xf>
    <xf numFmtId="169" fontId="13" fillId="0" borderId="0" xfId="4" applyNumberFormat="1" applyFont="1" applyAlignment="1">
      <alignment horizontal="center"/>
    </xf>
    <xf numFmtId="0" fontId="23" fillId="0" borderId="0" xfId="0" applyFont="1" applyBorder="1" applyAlignment="1">
      <alignment horizontal="right"/>
    </xf>
    <xf numFmtId="0" fontId="24" fillId="0" borderId="0" xfId="3" applyFont="1"/>
    <xf numFmtId="0" fontId="23" fillId="0" borderId="0" xfId="0" applyFont="1" applyAlignment="1">
      <alignment horizontal="right"/>
    </xf>
    <xf numFmtId="0" fontId="22" fillId="0" borderId="0" xfId="0" applyFont="1"/>
    <xf numFmtId="0" fontId="13" fillId="4" borderId="22" xfId="0" applyFont="1" applyFill="1" applyBorder="1" applyAlignment="1" applyProtection="1">
      <alignment horizontal="center"/>
      <protection hidden="1"/>
    </xf>
    <xf numFmtId="0" fontId="13" fillId="4" borderId="33" xfId="0" applyFont="1" applyFill="1" applyBorder="1" applyAlignment="1" applyProtection="1">
      <alignment horizontal="center"/>
      <protection hidden="1"/>
    </xf>
    <xf numFmtId="166" fontId="13" fillId="4" borderId="21" xfId="0" applyNumberFormat="1" applyFont="1" applyFill="1" applyBorder="1" applyAlignment="1" applyProtection="1">
      <alignment horizontal="center"/>
      <protection hidden="1"/>
    </xf>
    <xf numFmtId="0" fontId="13" fillId="4" borderId="15" xfId="0" applyFont="1" applyFill="1" applyBorder="1" applyAlignment="1">
      <alignment horizontal="center"/>
    </xf>
    <xf numFmtId="0" fontId="13" fillId="4" borderId="14" xfId="0" applyFont="1" applyFill="1" applyBorder="1" applyAlignment="1">
      <alignment horizontal="right"/>
    </xf>
    <xf numFmtId="0" fontId="13" fillId="4" borderId="22" xfId="0" applyFont="1" applyFill="1" applyBorder="1" applyAlignment="1">
      <alignment horizontal="center"/>
    </xf>
    <xf numFmtId="166" fontId="13" fillId="4" borderId="22" xfId="0" applyNumberFormat="1" applyFont="1" applyFill="1" applyBorder="1" applyAlignment="1" applyProtection="1">
      <alignment horizontal="center"/>
      <protection hidden="1"/>
    </xf>
    <xf numFmtId="166" fontId="13" fillId="4" borderId="21" xfId="0" applyNumberFormat="1" applyFont="1" applyFill="1" applyBorder="1" applyAlignment="1">
      <alignment horizontal="center"/>
    </xf>
    <xf numFmtId="0" fontId="13" fillId="0" borderId="0" xfId="0" applyFont="1" applyFill="1"/>
    <xf numFmtId="0" fontId="29" fillId="0" borderId="0" xfId="0" applyFont="1" applyFill="1" applyAlignment="1">
      <alignment horizontal="center"/>
    </xf>
    <xf numFmtId="0" fontId="29" fillId="0" borderId="24" xfId="0" applyNumberFormat="1" applyFont="1" applyFill="1" applyBorder="1" applyAlignment="1" applyProtection="1">
      <alignment horizontal="center"/>
      <protection hidden="1"/>
    </xf>
    <xf numFmtId="0" fontId="23" fillId="0" borderId="0" xfId="0" applyFont="1" applyAlignment="1" applyProtection="1">
      <alignment horizontal="center"/>
      <protection hidden="1"/>
    </xf>
    <xf numFmtId="0" fontId="23" fillId="0" borderId="0" xfId="0" applyFont="1" applyAlignment="1">
      <alignment horizontal="center"/>
    </xf>
    <xf numFmtId="2" fontId="23" fillId="0" borderId="0" xfId="0" applyNumberFormat="1" applyFont="1" applyFill="1" applyBorder="1" applyAlignment="1" applyProtection="1">
      <alignment horizontal="center"/>
      <protection hidden="1"/>
    </xf>
    <xf numFmtId="0" fontId="23" fillId="0" borderId="0" xfId="0" applyFont="1" applyFill="1" applyAlignment="1" applyProtection="1">
      <alignment horizontal="center"/>
      <protection hidden="1"/>
    </xf>
    <xf numFmtId="0" fontId="23" fillId="0" borderId="0" xfId="0" applyFont="1" applyFill="1" applyAlignment="1">
      <alignment horizontal="center"/>
    </xf>
    <xf numFmtId="0" fontId="23" fillId="0" borderId="0" xfId="0" applyFont="1" applyFill="1" applyAlignment="1" applyProtection="1">
      <alignment horizontal="right"/>
      <protection hidden="1"/>
    </xf>
    <xf numFmtId="0" fontId="17" fillId="0" borderId="0" xfId="0" applyFont="1" applyFill="1" applyBorder="1" applyAlignment="1">
      <alignment horizontal="center" wrapText="1"/>
    </xf>
    <xf numFmtId="9" fontId="13" fillId="0" borderId="0" xfId="2" applyFont="1" applyFill="1" applyAlignment="1" applyProtection="1">
      <alignment horizontal="center"/>
      <protection hidden="1"/>
    </xf>
    <xf numFmtId="0" fontId="17" fillId="0" borderId="0" xfId="0" applyFont="1" applyFill="1" applyBorder="1" applyAlignment="1" applyProtection="1">
      <alignment horizontal="center" wrapText="1"/>
      <protection hidden="1"/>
    </xf>
    <xf numFmtId="0" fontId="13" fillId="0" borderId="1" xfId="0" applyFont="1" applyFill="1" applyBorder="1" applyAlignment="1" applyProtection="1">
      <alignment horizontal="left"/>
      <protection hidden="1"/>
    </xf>
    <xf numFmtId="0" fontId="13" fillId="0" borderId="1" xfId="0" applyFont="1" applyFill="1" applyBorder="1" applyAlignment="1" applyProtection="1">
      <alignment horizontal="center"/>
      <protection hidden="1"/>
    </xf>
    <xf numFmtId="0" fontId="13" fillId="0" borderId="1" xfId="2" applyNumberFormat="1" applyFont="1" applyFill="1" applyBorder="1" applyAlignment="1" applyProtection="1">
      <alignment horizontal="left"/>
      <protection hidden="1"/>
    </xf>
    <xf numFmtId="9" fontId="13" fillId="0" borderId="1" xfId="2" applyFont="1" applyFill="1" applyBorder="1" applyAlignment="1" applyProtection="1">
      <alignment horizontal="center"/>
      <protection hidden="1"/>
    </xf>
    <xf numFmtId="0" fontId="15" fillId="0" borderId="0" xfId="0" applyFont="1" applyFill="1" applyBorder="1" applyAlignment="1">
      <alignment horizontal="center"/>
    </xf>
    <xf numFmtId="166" fontId="13" fillId="0" borderId="0" xfId="0" applyNumberFormat="1" applyFont="1" applyFill="1" applyAlignment="1" applyProtection="1">
      <alignment horizontal="center"/>
      <protection hidden="1"/>
    </xf>
    <xf numFmtId="2" fontId="13" fillId="0" borderId="0" xfId="2" applyNumberFormat="1" applyFont="1" applyFill="1" applyAlignment="1" applyProtection="1">
      <alignment horizontal="center"/>
      <protection hidden="1"/>
    </xf>
    <xf numFmtId="164" fontId="13" fillId="0" borderId="0" xfId="2" applyNumberFormat="1" applyFont="1" applyFill="1" applyAlignment="1" applyProtection="1">
      <alignment horizontal="center"/>
      <protection hidden="1"/>
    </xf>
    <xf numFmtId="1" fontId="13" fillId="0" borderId="0" xfId="2" applyNumberFormat="1" applyFont="1" applyFill="1" applyAlignment="1" applyProtection="1">
      <alignment horizontal="center"/>
      <protection hidden="1"/>
    </xf>
    <xf numFmtId="1" fontId="13" fillId="0" borderId="0" xfId="0" applyNumberFormat="1" applyFont="1" applyFill="1" applyBorder="1" applyAlignment="1">
      <alignment horizontal="center"/>
    </xf>
    <xf numFmtId="2" fontId="13" fillId="0" borderId="0" xfId="0" applyNumberFormat="1" applyFont="1" applyFill="1" applyBorder="1" applyAlignment="1">
      <alignment horizontal="center"/>
    </xf>
    <xf numFmtId="0" fontId="18" fillId="0" borderId="0" xfId="0" applyFont="1" applyFill="1" applyBorder="1" applyAlignment="1" applyProtection="1">
      <alignment horizontal="center"/>
      <protection hidden="1"/>
    </xf>
    <xf numFmtId="0" fontId="0" fillId="0" borderId="0" xfId="0" applyFill="1" applyBorder="1" applyAlignment="1">
      <alignment horizontal="center" vertical="center"/>
    </xf>
    <xf numFmtId="0" fontId="0" fillId="0" borderId="37" xfId="0" applyFill="1" applyBorder="1" applyAlignment="1">
      <alignment horizontal="center" vertical="center"/>
    </xf>
    <xf numFmtId="0" fontId="0" fillId="0" borderId="37" xfId="0" applyFill="1" applyBorder="1" applyAlignment="1">
      <alignment vertical="center"/>
    </xf>
    <xf numFmtId="0" fontId="2" fillId="0" borderId="0" xfId="0" applyFont="1" applyFill="1"/>
    <xf numFmtId="0" fontId="0" fillId="0" borderId="0" xfId="0" applyFill="1" applyBorder="1" applyAlignment="1">
      <alignment horizontal="right" vertical="center"/>
    </xf>
    <xf numFmtId="0" fontId="0" fillId="0" borderId="7" xfId="0" applyFill="1" applyBorder="1" applyAlignment="1">
      <alignment horizontal="right" vertical="center"/>
    </xf>
    <xf numFmtId="0" fontId="0" fillId="0" borderId="13" xfId="0" applyFill="1" applyBorder="1" applyAlignment="1">
      <alignment horizontal="left" vertical="center"/>
    </xf>
    <xf numFmtId="0" fontId="22" fillId="0" borderId="0" xfId="0" applyFont="1" applyFill="1"/>
    <xf numFmtId="0" fontId="0" fillId="0" borderId="0" xfId="0" applyFill="1" applyAlignment="1">
      <alignment horizontal="center" vertical="center"/>
    </xf>
    <xf numFmtId="166" fontId="13" fillId="0" borderId="0" xfId="0" applyNumberFormat="1" applyFont="1" applyBorder="1" applyAlignment="1" applyProtection="1">
      <alignment horizontal="center"/>
    </xf>
    <xf numFmtId="0" fontId="13" fillId="8" borderId="0" xfId="0" applyFont="1" applyFill="1" applyBorder="1" applyAlignment="1">
      <alignment horizontal="center"/>
    </xf>
    <xf numFmtId="0" fontId="31" fillId="0" borderId="2" xfId="0" applyFont="1" applyBorder="1" applyProtection="1">
      <protection locked="0"/>
    </xf>
    <xf numFmtId="0" fontId="31" fillId="0" borderId="3" xfId="0" applyFont="1" applyBorder="1" applyProtection="1">
      <protection locked="0"/>
    </xf>
    <xf numFmtId="14" fontId="29" fillId="0" borderId="10" xfId="0" applyNumberFormat="1" applyFont="1" applyBorder="1" applyAlignment="1" applyProtection="1">
      <alignment horizontal="center"/>
      <protection hidden="1"/>
    </xf>
    <xf numFmtId="14" fontId="29" fillId="0" borderId="28" xfId="0" applyNumberFormat="1" applyFont="1" applyBorder="1" applyAlignment="1" applyProtection="1">
      <alignment horizontal="center"/>
      <protection hidden="1"/>
    </xf>
    <xf numFmtId="164" fontId="0" fillId="0" borderId="0" xfId="0" applyNumberFormat="1" applyFill="1"/>
    <xf numFmtId="1" fontId="0" fillId="0" borderId="0" xfId="0" applyNumberFormat="1" applyFill="1"/>
    <xf numFmtId="0" fontId="13" fillId="0" borderId="0" xfId="0" applyFont="1" applyAlignment="1" applyProtection="1">
      <alignment horizontal="right"/>
      <protection hidden="1"/>
    </xf>
    <xf numFmtId="0" fontId="23" fillId="7" borderId="0" xfId="0" applyFont="1" applyFill="1" applyBorder="1" applyAlignment="1">
      <alignment horizontal="right"/>
    </xf>
    <xf numFmtId="0" fontId="22" fillId="7" borderId="0" xfId="0" applyFont="1" applyFill="1"/>
    <xf numFmtId="0" fontId="22" fillId="7" borderId="2" xfId="0" applyFont="1" applyFill="1" applyBorder="1" applyAlignment="1">
      <alignment horizontal="left" vertical="center" wrapText="1"/>
    </xf>
    <xf numFmtId="0" fontId="22" fillId="7" borderId="2" xfId="0" applyFont="1" applyFill="1" applyBorder="1" applyAlignment="1">
      <alignment horizontal="left" vertical="center"/>
    </xf>
    <xf numFmtId="0" fontId="22" fillId="7" borderId="2" xfId="0" applyFont="1" applyFill="1" applyBorder="1" applyAlignment="1">
      <alignment horizontal="left" vertical="top" wrapText="1"/>
    </xf>
    <xf numFmtId="0" fontId="22" fillId="7" borderId="0" xfId="0" applyFont="1" applyFill="1" applyBorder="1"/>
    <xf numFmtId="0" fontId="23" fillId="7" borderId="0" xfId="0" applyFont="1" applyFill="1" applyBorder="1"/>
    <xf numFmtId="0" fontId="23" fillId="0" borderId="0" xfId="0" applyFont="1" applyBorder="1"/>
    <xf numFmtId="0" fontId="22" fillId="0" borderId="0" xfId="0" applyFont="1" applyBorder="1"/>
    <xf numFmtId="0" fontId="23" fillId="0" borderId="0" xfId="0" applyFont="1"/>
    <xf numFmtId="0" fontId="32" fillId="7" borderId="1" xfId="0" applyFont="1" applyFill="1" applyBorder="1" applyAlignment="1" applyProtection="1">
      <alignment horizontal="center" vertical="center"/>
      <protection locked="0"/>
    </xf>
    <xf numFmtId="0" fontId="32" fillId="7" borderId="1" xfId="0" applyNumberFormat="1" applyFont="1" applyFill="1" applyBorder="1" applyAlignment="1" applyProtection="1">
      <alignment horizontal="center" vertical="center"/>
      <protection locked="0"/>
    </xf>
    <xf numFmtId="0" fontId="32" fillId="7" borderId="1" xfId="0" applyFont="1" applyFill="1" applyBorder="1" applyAlignment="1" applyProtection="1">
      <alignment horizontal="center" vertical="center" wrapText="1"/>
      <protection locked="0"/>
    </xf>
    <xf numFmtId="0" fontId="22" fillId="6" borderId="0" xfId="0" applyFont="1" applyFill="1"/>
    <xf numFmtId="0" fontId="23" fillId="6" borderId="0" xfId="0" applyFont="1" applyFill="1" applyBorder="1" applyAlignment="1">
      <alignment horizontal="right"/>
    </xf>
    <xf numFmtId="0" fontId="23" fillId="6" borderId="0" xfId="0" applyFont="1" applyFill="1" applyBorder="1"/>
    <xf numFmtId="0" fontId="22" fillId="6" borderId="0" xfId="0" applyFont="1" applyFill="1" applyBorder="1"/>
    <xf numFmtId="0" fontId="0" fillId="6" borderId="0" xfId="0" applyFill="1"/>
    <xf numFmtId="0" fontId="22" fillId="7" borderId="0" xfId="0" applyFont="1" applyFill="1" applyAlignment="1">
      <alignment vertical="center"/>
    </xf>
    <xf numFmtId="0" fontId="12" fillId="7" borderId="3" xfId="0" applyFont="1" applyFill="1" applyBorder="1" applyAlignment="1">
      <alignment horizontal="right" vertical="center"/>
    </xf>
    <xf numFmtId="0" fontId="22" fillId="7" borderId="1" xfId="0" applyFont="1" applyFill="1" applyBorder="1" applyAlignment="1">
      <alignment horizontal="left" vertical="center" wrapText="1"/>
    </xf>
    <xf numFmtId="0" fontId="22" fillId="7" borderId="1" xfId="0" applyFont="1" applyFill="1" applyBorder="1" applyAlignment="1">
      <alignment horizontal="left" vertical="center"/>
    </xf>
    <xf numFmtId="0" fontId="12" fillId="7" borderId="3" xfId="0" applyFont="1" applyFill="1" applyBorder="1" applyAlignment="1">
      <alignment horizontal="right" vertical="center" wrapText="1"/>
    </xf>
    <xf numFmtId="170" fontId="32" fillId="7" borderId="1" xfId="0" applyNumberFormat="1" applyFont="1" applyFill="1" applyBorder="1" applyAlignment="1" applyProtection="1">
      <alignment horizontal="center" vertical="center"/>
      <protection locked="0"/>
    </xf>
    <xf numFmtId="0" fontId="22" fillId="7" borderId="1" xfId="0" applyFont="1" applyFill="1" applyBorder="1" applyAlignment="1">
      <alignment horizontal="left"/>
    </xf>
    <xf numFmtId="0" fontId="22" fillId="7" borderId="1" xfId="0" applyFont="1" applyFill="1" applyBorder="1" applyAlignment="1">
      <alignment horizontal="center"/>
    </xf>
    <xf numFmtId="0" fontId="22" fillId="7" borderId="2" xfId="0" applyFont="1" applyFill="1" applyBorder="1" applyAlignment="1">
      <alignment horizontal="center"/>
    </xf>
    <xf numFmtId="0" fontId="22" fillId="7" borderId="37" xfId="0" applyFont="1" applyFill="1" applyBorder="1" applyAlignment="1">
      <alignment horizontal="left" vertical="center" wrapText="1"/>
    </xf>
    <xf numFmtId="0" fontId="22" fillId="7" borderId="37" xfId="0" applyFont="1" applyFill="1" applyBorder="1" applyAlignment="1">
      <alignment horizontal="left" vertical="center"/>
    </xf>
    <xf numFmtId="0" fontId="22" fillId="7" borderId="37" xfId="0" applyFont="1" applyFill="1" applyBorder="1" applyAlignment="1">
      <alignment horizontal="left" vertical="top" wrapText="1"/>
    </xf>
    <xf numFmtId="0" fontId="22" fillId="7" borderId="37" xfId="0" applyFont="1" applyFill="1" applyBorder="1" applyAlignment="1">
      <alignment horizontal="left" vertical="top"/>
    </xf>
    <xf numFmtId="0" fontId="0" fillId="7" borderId="37" xfId="0" applyFill="1" applyBorder="1" applyAlignment="1">
      <alignment horizontal="center" vertical="center"/>
    </xf>
    <xf numFmtId="0" fontId="0" fillId="0" borderId="0" xfId="0" applyFill="1" applyBorder="1"/>
    <xf numFmtId="0" fontId="1" fillId="0" borderId="0" xfId="0" applyFont="1" applyFill="1" applyBorder="1" applyAlignment="1">
      <alignment horizontal="right" vertical="center"/>
    </xf>
    <xf numFmtId="0" fontId="1" fillId="0" borderId="37" xfId="0" applyFont="1" applyFill="1" applyBorder="1" applyAlignment="1">
      <alignment horizontal="center" vertical="center"/>
    </xf>
    <xf numFmtId="0" fontId="33" fillId="7" borderId="0" xfId="0" applyFont="1" applyFill="1"/>
    <xf numFmtId="0" fontId="33" fillId="5" borderId="0" xfId="0" applyFont="1" applyFill="1" applyAlignment="1">
      <alignment horizontal="right"/>
    </xf>
    <xf numFmtId="0" fontId="33" fillId="5" borderId="0" xfId="0" applyFont="1" applyFill="1" applyAlignment="1">
      <alignment horizontal="center"/>
    </xf>
    <xf numFmtId="0" fontId="33" fillId="5" borderId="16" xfId="0" applyFont="1" applyFill="1" applyBorder="1"/>
    <xf numFmtId="0" fontId="33" fillId="5" borderId="17" xfId="0" applyFont="1" applyFill="1" applyBorder="1"/>
    <xf numFmtId="0" fontId="33" fillId="5" borderId="18" xfId="0" applyFont="1" applyFill="1" applyBorder="1"/>
    <xf numFmtId="0" fontId="34" fillId="0" borderId="0" xfId="0" applyFont="1" applyFill="1"/>
    <xf numFmtId="0" fontId="13" fillId="0" borderId="12" xfId="0" applyFont="1" applyBorder="1" applyAlignment="1" applyProtection="1">
      <alignment horizontal="center"/>
      <protection hidden="1"/>
    </xf>
    <xf numFmtId="0" fontId="14" fillId="0" borderId="12" xfId="0" applyFont="1" applyBorder="1" applyAlignment="1" applyProtection="1">
      <alignment horizontal="center"/>
      <protection hidden="1"/>
    </xf>
    <xf numFmtId="1" fontId="13" fillId="0" borderId="12" xfId="0" applyNumberFormat="1" applyFont="1" applyBorder="1" applyAlignment="1" applyProtection="1">
      <alignment horizontal="center"/>
      <protection hidden="1"/>
    </xf>
    <xf numFmtId="1" fontId="14" fillId="0" borderId="12" xfId="0" applyNumberFormat="1" applyFont="1" applyBorder="1" applyAlignment="1" applyProtection="1">
      <alignment horizontal="center"/>
      <protection hidden="1"/>
    </xf>
    <xf numFmtId="0" fontId="15" fillId="0" borderId="0" xfId="0" applyFont="1" applyAlignment="1">
      <alignment horizontal="left" vertical="center"/>
    </xf>
    <xf numFmtId="0" fontId="13" fillId="0" borderId="0" xfId="0" applyFont="1" applyFill="1" applyAlignment="1">
      <alignment horizontal="right"/>
    </xf>
    <xf numFmtId="2" fontId="13" fillId="0" borderId="0" xfId="0" applyNumberFormat="1" applyFont="1" applyFill="1" applyAlignment="1">
      <alignment horizontal="right"/>
    </xf>
    <xf numFmtId="166" fontId="13" fillId="0" borderId="0" xfId="0" applyNumberFormat="1" applyFont="1" applyFill="1" applyAlignment="1">
      <alignment horizontal="right"/>
    </xf>
    <xf numFmtId="168" fontId="13" fillId="0" borderId="0" xfId="0" applyNumberFormat="1" applyFont="1" applyFill="1" applyAlignment="1">
      <alignment horizontal="right"/>
    </xf>
    <xf numFmtId="167" fontId="13" fillId="0" borderId="0" xfId="0" applyNumberFormat="1" applyFont="1" applyFill="1" applyAlignment="1">
      <alignment horizontal="right"/>
    </xf>
    <xf numFmtId="0" fontId="22" fillId="0" borderId="0" xfId="0" applyFont="1" applyAlignment="1"/>
    <xf numFmtId="0" fontId="12" fillId="0" borderId="1" xfId="0" applyFont="1" applyBorder="1" applyAlignment="1">
      <alignment wrapText="1"/>
    </xf>
    <xf numFmtId="0" fontId="12" fillId="0" borderId="1" xfId="0" applyFont="1" applyBorder="1" applyAlignment="1">
      <alignment horizontal="left" wrapText="1"/>
    </xf>
    <xf numFmtId="0" fontId="22" fillId="0" borderId="1" xfId="0" applyFont="1" applyBorder="1" applyAlignment="1">
      <alignment wrapText="1"/>
    </xf>
    <xf numFmtId="0" fontId="22" fillId="0" borderId="1" xfId="0" applyFont="1" applyBorder="1" applyAlignment="1">
      <alignment horizontal="left" wrapText="1"/>
    </xf>
    <xf numFmtId="0" fontId="22" fillId="0" borderId="6" xfId="0" applyFont="1" applyBorder="1" applyAlignment="1">
      <alignment horizontal="right"/>
    </xf>
    <xf numFmtId="0" fontId="22" fillId="0" borderId="10" xfId="0" applyFont="1" applyBorder="1" applyAlignment="1">
      <alignment horizontal="right"/>
    </xf>
    <xf numFmtId="0" fontId="22" fillId="0" borderId="0" xfId="0" applyFont="1" applyAlignment="1">
      <alignment horizontal="right"/>
    </xf>
    <xf numFmtId="0" fontId="12" fillId="0" borderId="1" xfId="0" applyFont="1" applyBorder="1" applyAlignment="1">
      <alignment horizontal="right" vertical="top" wrapText="1"/>
    </xf>
    <xf numFmtId="164" fontId="12" fillId="0" borderId="1" xfId="0" applyNumberFormat="1" applyFont="1" applyBorder="1" applyAlignment="1">
      <alignment horizontal="right" vertical="top" wrapText="1"/>
    </xf>
    <xf numFmtId="0" fontId="12" fillId="4" borderId="1" xfId="0" applyFont="1" applyFill="1" applyBorder="1" applyAlignment="1">
      <alignment horizontal="left" vertical="top" wrapText="1"/>
    </xf>
    <xf numFmtId="0" fontId="22" fillId="4" borderId="1" xfId="0" applyFont="1" applyFill="1" applyBorder="1" applyAlignment="1">
      <alignment horizontal="left" vertical="top" wrapText="1"/>
    </xf>
    <xf numFmtId="0" fontId="22" fillId="0" borderId="1" xfId="0" applyFont="1" applyBorder="1" applyAlignment="1">
      <alignment vertical="center"/>
    </xf>
    <xf numFmtId="14" fontId="22" fillId="0" borderId="1" xfId="0" applyNumberFormat="1" applyFont="1" applyBorder="1" applyAlignment="1">
      <alignment horizontal="left" vertical="center"/>
    </xf>
    <xf numFmtId="0" fontId="22" fillId="0" borderId="1" xfId="0" applyFont="1" applyBorder="1" applyAlignment="1"/>
    <xf numFmtId="0" fontId="22" fillId="4" borderId="1" xfId="0" applyFont="1" applyFill="1" applyBorder="1" applyAlignment="1">
      <alignment vertical="center" wrapText="1"/>
    </xf>
    <xf numFmtId="0" fontId="22" fillId="0" borderId="1" xfId="0" applyFont="1" applyFill="1" applyBorder="1" applyAlignment="1">
      <alignment horizontal="right" vertical="center"/>
    </xf>
    <xf numFmtId="0" fontId="22" fillId="4" borderId="1" xfId="0" applyFont="1" applyFill="1" applyBorder="1" applyAlignment="1">
      <alignment horizontal="left" vertical="center" wrapText="1"/>
    </xf>
    <xf numFmtId="0" fontId="16" fillId="9" borderId="2" xfId="0" applyFont="1" applyFill="1" applyBorder="1" applyAlignment="1" applyProtection="1">
      <alignment horizontal="right" wrapText="1"/>
    </xf>
    <xf numFmtId="165" fontId="16" fillId="9" borderId="19" xfId="0" applyNumberFormat="1" applyFont="1" applyFill="1" applyBorder="1" applyAlignment="1" applyProtection="1">
      <alignment horizontal="right" wrapText="1"/>
    </xf>
    <xf numFmtId="0" fontId="16" fillId="9" borderId="17" xfId="0" applyNumberFormat="1" applyFont="1" applyFill="1" applyBorder="1" applyAlignment="1" applyProtection="1">
      <alignment horizontal="right" wrapText="1"/>
    </xf>
    <xf numFmtId="0" fontId="16" fillId="9" borderId="20" xfId="0" applyFont="1" applyFill="1" applyBorder="1" applyAlignment="1" applyProtection="1">
      <alignment horizontal="center" wrapText="1"/>
    </xf>
    <xf numFmtId="0" fontId="12" fillId="7" borderId="3" xfId="0" applyFont="1" applyFill="1" applyBorder="1" applyAlignment="1">
      <alignment horizontal="right"/>
    </xf>
    <xf numFmtId="0" fontId="28" fillId="7" borderId="32" xfId="0" applyFont="1" applyFill="1" applyBorder="1" applyAlignment="1">
      <alignment horizontal="right" vertical="center"/>
    </xf>
    <xf numFmtId="0" fontId="27" fillId="0" borderId="0" xfId="0" applyFont="1" applyFill="1" applyBorder="1" applyAlignment="1">
      <alignment vertical="center"/>
    </xf>
    <xf numFmtId="0" fontId="25" fillId="0" borderId="0" xfId="0" applyFont="1" applyFill="1" applyBorder="1"/>
    <xf numFmtId="0" fontId="36" fillId="11" borderId="38" xfId="0" applyFont="1" applyFill="1" applyBorder="1" applyAlignment="1" applyProtection="1">
      <alignment horizontal="center"/>
      <protection hidden="1"/>
    </xf>
    <xf numFmtId="166" fontId="36" fillId="11" borderId="19" xfId="0" applyNumberFormat="1" applyFont="1" applyFill="1" applyBorder="1" applyAlignment="1" applyProtection="1">
      <alignment horizontal="center"/>
      <protection hidden="1"/>
    </xf>
    <xf numFmtId="166" fontId="36" fillId="11" borderId="19" xfId="1" applyNumberFormat="1" applyFont="1" applyFill="1" applyBorder="1" applyAlignment="1" applyProtection="1">
      <alignment horizontal="center"/>
      <protection hidden="1"/>
    </xf>
    <xf numFmtId="0" fontId="36" fillId="11" borderId="37" xfId="1" applyFont="1" applyFill="1" applyBorder="1" applyAlignment="1" applyProtection="1">
      <alignment horizontal="center"/>
      <protection hidden="1"/>
    </xf>
    <xf numFmtId="0" fontId="36" fillId="11" borderId="32" xfId="1" applyFont="1" applyFill="1" applyBorder="1" applyAlignment="1" applyProtection="1">
      <alignment horizontal="center"/>
      <protection hidden="1"/>
    </xf>
    <xf numFmtId="166" fontId="36" fillId="11" borderId="32" xfId="1" applyNumberFormat="1" applyFont="1" applyFill="1" applyBorder="1" applyAlignment="1" applyProtection="1">
      <alignment horizontal="center"/>
      <protection hidden="1"/>
    </xf>
    <xf numFmtId="166" fontId="36" fillId="11" borderId="32" xfId="0" applyNumberFormat="1" applyFont="1" applyFill="1" applyBorder="1" applyAlignment="1" applyProtection="1">
      <alignment horizontal="center"/>
      <protection hidden="1"/>
    </xf>
    <xf numFmtId="166" fontId="36" fillId="11" borderId="38" xfId="0" applyNumberFormat="1" applyFont="1" applyFill="1" applyBorder="1" applyAlignment="1" applyProtection="1">
      <alignment horizontal="center"/>
      <protection hidden="1"/>
    </xf>
    <xf numFmtId="0" fontId="39" fillId="11" borderId="38" xfId="0" applyFont="1" applyFill="1" applyBorder="1" applyAlignment="1" applyProtection="1">
      <alignment horizontal="center"/>
      <protection hidden="1"/>
    </xf>
    <xf numFmtId="166" fontId="39" fillId="11" borderId="38" xfId="0" applyNumberFormat="1" applyFont="1" applyFill="1" applyBorder="1" applyAlignment="1" applyProtection="1">
      <alignment horizontal="center"/>
      <protection hidden="1"/>
    </xf>
    <xf numFmtId="0" fontId="36" fillId="11" borderId="38" xfId="0" applyFont="1" applyFill="1" applyBorder="1" applyAlignment="1" applyProtection="1">
      <alignment horizontal="right"/>
      <protection hidden="1"/>
    </xf>
    <xf numFmtId="166" fontId="36" fillId="11" borderId="38" xfId="0" applyNumberFormat="1" applyFont="1" applyFill="1" applyBorder="1" applyAlignment="1" applyProtection="1">
      <alignment horizontal="right"/>
      <protection hidden="1"/>
    </xf>
    <xf numFmtId="2" fontId="36" fillId="11" borderId="38" xfId="0" applyNumberFormat="1" applyFont="1" applyFill="1" applyBorder="1" applyAlignment="1" applyProtection="1">
      <alignment horizontal="right"/>
      <protection hidden="1"/>
    </xf>
    <xf numFmtId="0" fontId="36" fillId="11" borderId="38" xfId="0" applyFont="1" applyFill="1" applyBorder="1" applyAlignment="1" applyProtection="1">
      <alignment horizontal="center"/>
      <protection locked="0" hidden="1"/>
    </xf>
    <xf numFmtId="0" fontId="36" fillId="11" borderId="5" xfId="0" applyFont="1" applyFill="1" applyBorder="1" applyAlignment="1" applyProtection="1">
      <alignment horizontal="center"/>
      <protection hidden="1"/>
    </xf>
    <xf numFmtId="166" fontId="36" fillId="11" borderId="5" xfId="0" applyNumberFormat="1" applyFont="1" applyFill="1" applyBorder="1" applyAlignment="1" applyProtection="1">
      <alignment horizontal="center" wrapText="1"/>
      <protection hidden="1"/>
    </xf>
    <xf numFmtId="166" fontId="38" fillId="11" borderId="5" xfId="0" applyNumberFormat="1" applyFont="1" applyFill="1" applyBorder="1" applyAlignment="1" applyProtection="1">
      <alignment horizontal="center" wrapText="1"/>
      <protection hidden="1"/>
    </xf>
    <xf numFmtId="0" fontId="40" fillId="11" borderId="5" xfId="0" applyFont="1" applyFill="1" applyBorder="1" applyAlignment="1" applyProtection="1">
      <alignment horizontal="center" wrapText="1"/>
      <protection hidden="1"/>
    </xf>
    <xf numFmtId="2" fontId="35" fillId="11" borderId="0" xfId="0" applyNumberFormat="1" applyFont="1" applyFill="1" applyBorder="1" applyAlignment="1" applyProtection="1">
      <alignment horizontal="center"/>
      <protection hidden="1"/>
    </xf>
    <xf numFmtId="0" fontId="36" fillId="11" borderId="0" xfId="0" applyFont="1" applyFill="1" applyBorder="1" applyAlignment="1" applyProtection="1">
      <alignment horizontal="center"/>
      <protection hidden="1"/>
    </xf>
    <xf numFmtId="166" fontId="36" fillId="11" borderId="0" xfId="0" applyNumberFormat="1" applyFont="1" applyFill="1" applyBorder="1" applyAlignment="1" applyProtection="1">
      <alignment horizontal="center"/>
      <protection hidden="1"/>
    </xf>
    <xf numFmtId="0" fontId="13" fillId="11" borderId="0" xfId="0" applyFont="1" applyFill="1" applyBorder="1" applyAlignment="1" applyProtection="1">
      <alignment horizontal="center"/>
      <protection hidden="1"/>
    </xf>
    <xf numFmtId="1" fontId="13" fillId="11" borderId="0" xfId="0" applyNumberFormat="1" applyFont="1" applyFill="1" applyBorder="1" applyAlignment="1" applyProtection="1">
      <alignment horizontal="center"/>
      <protection hidden="1"/>
    </xf>
    <xf numFmtId="2" fontId="37" fillId="11" borderId="0" xfId="0" applyNumberFormat="1" applyFont="1" applyFill="1" applyBorder="1" applyAlignment="1" applyProtection="1">
      <alignment horizontal="center"/>
      <protection hidden="1"/>
    </xf>
    <xf numFmtId="2" fontId="36" fillId="11" borderId="0" xfId="0" applyNumberFormat="1" applyFont="1" applyFill="1" applyBorder="1" applyAlignment="1" applyProtection="1">
      <alignment horizontal="center"/>
      <protection hidden="1"/>
    </xf>
    <xf numFmtId="0" fontId="36" fillId="11" borderId="17" xfId="0" applyFont="1" applyFill="1" applyBorder="1" applyAlignment="1" applyProtection="1">
      <alignment horizontal="center"/>
      <protection hidden="1"/>
    </xf>
    <xf numFmtId="166" fontId="13" fillId="11" borderId="0" xfId="0" applyNumberFormat="1" applyFont="1" applyFill="1" applyBorder="1" applyAlignment="1" applyProtection="1">
      <alignment horizontal="center"/>
      <protection hidden="1"/>
    </xf>
    <xf numFmtId="0" fontId="13" fillId="11" borderId="13" xfId="0" applyFont="1" applyFill="1" applyBorder="1" applyAlignment="1" applyProtection="1">
      <alignment horizontal="center"/>
      <protection hidden="1"/>
    </xf>
    <xf numFmtId="0" fontId="17" fillId="11" borderId="5" xfId="0" applyFont="1" applyFill="1" applyBorder="1" applyAlignment="1" applyProtection="1">
      <alignment horizontal="center" wrapText="1"/>
      <protection hidden="1"/>
    </xf>
    <xf numFmtId="0" fontId="15" fillId="11" borderId="0" xfId="0" applyFont="1" applyFill="1" applyBorder="1" applyAlignment="1" applyProtection="1">
      <alignment horizontal="center"/>
      <protection hidden="1"/>
    </xf>
    <xf numFmtId="0" fontId="13" fillId="11" borderId="0" xfId="0" applyFont="1" applyFill="1" applyBorder="1" applyAlignment="1">
      <alignment horizontal="center"/>
    </xf>
    <xf numFmtId="0" fontId="17" fillId="11" borderId="5" xfId="0" applyFont="1" applyFill="1" applyBorder="1" applyAlignment="1" applyProtection="1">
      <alignment horizontal="center"/>
      <protection hidden="1"/>
    </xf>
    <xf numFmtId="0" fontId="19" fillId="11" borderId="0" xfId="0" applyFont="1" applyFill="1" applyBorder="1" applyAlignment="1" applyProtection="1">
      <alignment horizontal="center"/>
      <protection hidden="1"/>
    </xf>
    <xf numFmtId="166" fontId="15" fillId="11" borderId="5" xfId="0" applyNumberFormat="1" applyFont="1" applyFill="1" applyBorder="1" applyAlignment="1" applyProtection="1">
      <alignment horizontal="center"/>
      <protection hidden="1"/>
    </xf>
    <xf numFmtId="0" fontId="26" fillId="11" borderId="13" xfId="0" applyFont="1" applyFill="1" applyBorder="1" applyAlignment="1" applyProtection="1">
      <alignment horizontal="center"/>
      <protection hidden="1"/>
    </xf>
    <xf numFmtId="0" fontId="36" fillId="11" borderId="0" xfId="0" applyFont="1" applyFill="1" applyBorder="1" applyProtection="1">
      <protection hidden="1"/>
    </xf>
    <xf numFmtId="0" fontId="36" fillId="11" borderId="0" xfId="0" applyFont="1" applyFill="1" applyBorder="1" applyAlignment="1">
      <alignment horizontal="right"/>
    </xf>
    <xf numFmtId="14" fontId="39" fillId="11" borderId="0" xfId="0" applyNumberFormat="1" applyFont="1" applyFill="1" applyBorder="1" applyAlignment="1" applyProtection="1">
      <alignment horizontal="center"/>
      <protection hidden="1"/>
    </xf>
    <xf numFmtId="2" fontId="36" fillId="11" borderId="38" xfId="0" applyNumberFormat="1" applyFont="1" applyFill="1" applyBorder="1" applyAlignment="1" applyProtection="1">
      <alignment horizontal="center"/>
      <protection hidden="1"/>
    </xf>
    <xf numFmtId="0" fontId="35" fillId="11" borderId="0" xfId="0" applyFont="1" applyFill="1" applyBorder="1" applyAlignment="1" applyProtection="1">
      <protection hidden="1"/>
    </xf>
    <xf numFmtId="0" fontId="36" fillId="11" borderId="32" xfId="1" applyFont="1" applyFill="1" applyBorder="1" applyAlignment="1" applyProtection="1">
      <alignment horizontal="center" vertical="center"/>
      <protection hidden="1"/>
    </xf>
    <xf numFmtId="2" fontId="36" fillId="11" borderId="32" xfId="1" applyNumberFormat="1" applyFont="1" applyFill="1" applyBorder="1" applyAlignment="1" applyProtection="1">
      <alignment horizontal="center" vertical="center"/>
      <protection hidden="1"/>
    </xf>
    <xf numFmtId="0" fontId="36" fillId="11" borderId="32" xfId="0" applyFont="1" applyFill="1" applyBorder="1" applyAlignment="1" applyProtection="1">
      <alignment horizontal="center" vertical="center"/>
      <protection hidden="1"/>
    </xf>
    <xf numFmtId="0" fontId="17" fillId="11" borderId="0" xfId="0" applyFont="1" applyFill="1" applyBorder="1" applyAlignment="1">
      <alignment horizontal="center" wrapText="1"/>
    </xf>
    <xf numFmtId="169" fontId="13" fillId="11" borderId="0" xfId="0" applyNumberFormat="1" applyFont="1" applyFill="1" applyBorder="1" applyAlignment="1">
      <alignment horizontal="center"/>
    </xf>
    <xf numFmtId="0" fontId="13" fillId="11" borderId="23" xfId="0" applyNumberFormat="1" applyFont="1" applyFill="1" applyBorder="1" applyAlignment="1" applyProtection="1">
      <alignment horizontal="center"/>
      <protection hidden="1"/>
    </xf>
    <xf numFmtId="15" fontId="13" fillId="11" borderId="0" xfId="0" applyNumberFormat="1" applyFont="1" applyFill="1" applyBorder="1" applyAlignment="1" applyProtection="1">
      <alignment horizontal="center"/>
      <protection hidden="1"/>
    </xf>
    <xf numFmtId="14" fontId="21" fillId="0" borderId="39" xfId="0" applyNumberFormat="1" applyFont="1" applyFill="1" applyBorder="1" applyAlignment="1" applyProtection="1">
      <alignment horizontal="center" vertical="center"/>
      <protection hidden="1"/>
    </xf>
    <xf numFmtId="0" fontId="13" fillId="0" borderId="39" xfId="0" applyNumberFormat="1" applyFont="1" applyFill="1" applyBorder="1" applyAlignment="1" applyProtection="1">
      <alignment horizontal="center" vertical="center"/>
      <protection locked="0"/>
    </xf>
    <xf numFmtId="0" fontId="13" fillId="0" borderId="39" xfId="0" applyNumberFormat="1" applyFont="1" applyBorder="1" applyAlignment="1" applyProtection="1">
      <alignment horizontal="center" vertical="center"/>
      <protection locked="0"/>
    </xf>
    <xf numFmtId="14" fontId="21" fillId="0" borderId="39" xfId="0" applyNumberFormat="1" applyFont="1" applyBorder="1" applyAlignment="1" applyProtection="1">
      <alignment horizontal="center" vertical="center"/>
      <protection hidden="1"/>
    </xf>
    <xf numFmtId="0" fontId="13" fillId="0" borderId="39" xfId="0" applyFont="1" applyBorder="1" applyAlignment="1">
      <alignment horizontal="center"/>
    </xf>
    <xf numFmtId="0" fontId="13" fillId="0" borderId="39" xfId="0" applyFont="1" applyFill="1" applyBorder="1" applyAlignment="1">
      <alignment horizontal="center"/>
    </xf>
    <xf numFmtId="14" fontId="21" fillId="0" borderId="40" xfId="0" applyNumberFormat="1" applyFont="1" applyBorder="1" applyAlignment="1" applyProtection="1">
      <alignment horizontal="center" vertical="center"/>
      <protection hidden="1"/>
    </xf>
    <xf numFmtId="0" fontId="13" fillId="0" borderId="40" xfId="0" applyFont="1" applyBorder="1" applyAlignment="1">
      <alignment horizontal="center"/>
    </xf>
    <xf numFmtId="14" fontId="29" fillId="0" borderId="0" xfId="0" applyNumberFormat="1" applyFont="1" applyBorder="1" applyAlignment="1" applyProtection="1">
      <alignment horizontal="center"/>
      <protection hidden="1"/>
    </xf>
    <xf numFmtId="0" fontId="29" fillId="0" borderId="0" xfId="0" applyFont="1" applyFill="1" applyBorder="1" applyAlignment="1">
      <alignment horizontal="center"/>
    </xf>
    <xf numFmtId="169" fontId="13" fillId="0" borderId="0" xfId="4" applyNumberFormat="1" applyFont="1" applyBorder="1" applyAlignment="1">
      <alignment horizontal="center"/>
    </xf>
    <xf numFmtId="15" fontId="13" fillId="0" borderId="0" xfId="0" applyNumberFormat="1" applyFont="1" applyBorder="1" applyAlignment="1">
      <alignment horizontal="center"/>
    </xf>
    <xf numFmtId="0" fontId="13" fillId="11" borderId="39" xfId="0" applyFont="1" applyFill="1" applyBorder="1" applyAlignment="1" applyProtection="1">
      <alignment horizontal="center"/>
      <protection hidden="1"/>
    </xf>
    <xf numFmtId="1" fontId="13" fillId="11" borderId="39" xfId="0" applyNumberFormat="1" applyFont="1" applyFill="1" applyBorder="1" applyAlignment="1" applyProtection="1">
      <alignment horizontal="center"/>
      <protection hidden="1"/>
    </xf>
    <xf numFmtId="2" fontId="13" fillId="11" borderId="39" xfId="0" applyNumberFormat="1" applyFont="1" applyFill="1" applyBorder="1" applyAlignment="1" applyProtection="1">
      <alignment horizontal="center"/>
      <protection hidden="1"/>
    </xf>
    <xf numFmtId="166" fontId="13" fillId="11" borderId="39" xfId="0" applyNumberFormat="1" applyFont="1" applyFill="1" applyBorder="1" applyAlignment="1" applyProtection="1">
      <alignment horizontal="center"/>
      <protection hidden="1"/>
    </xf>
    <xf numFmtId="1" fontId="13" fillId="11" borderId="0" xfId="0" applyNumberFormat="1" applyFont="1" applyFill="1" applyBorder="1" applyAlignment="1" applyProtection="1">
      <alignment horizontal="center" wrapText="1"/>
      <protection hidden="1"/>
    </xf>
    <xf numFmtId="169" fontId="13" fillId="11" borderId="0" xfId="4" applyNumberFormat="1" applyFont="1" applyFill="1" applyBorder="1" applyAlignment="1" applyProtection="1">
      <alignment horizontal="center" wrapText="1"/>
      <protection hidden="1"/>
    </xf>
    <xf numFmtId="15" fontId="13" fillId="11" borderId="0" xfId="0" applyNumberFormat="1" applyFont="1" applyFill="1" applyBorder="1" applyAlignment="1" applyProtection="1">
      <alignment horizontal="center" wrapText="1"/>
      <protection hidden="1"/>
    </xf>
    <xf numFmtId="166" fontId="13" fillId="11" borderId="0" xfId="0" applyNumberFormat="1" applyFont="1" applyFill="1" applyBorder="1" applyAlignment="1" applyProtection="1">
      <alignment horizontal="center" wrapText="1"/>
      <protection hidden="1"/>
    </xf>
    <xf numFmtId="0" fontId="14" fillId="11" borderId="0" xfId="0" applyFont="1" applyFill="1" applyBorder="1" applyAlignment="1" applyProtection="1">
      <alignment horizontal="center" wrapText="1"/>
      <protection hidden="1"/>
    </xf>
    <xf numFmtId="0" fontId="0" fillId="7" borderId="5" xfId="0" applyFill="1" applyBorder="1" applyAlignment="1">
      <alignment horizontal="right" vertical="center"/>
    </xf>
    <xf numFmtId="0" fontId="0" fillId="7" borderId="9" xfId="0" applyFill="1" applyBorder="1" applyAlignment="1">
      <alignment horizontal="right" vertical="center"/>
    </xf>
    <xf numFmtId="0" fontId="0" fillId="7" borderId="0" xfId="0" applyFill="1" applyBorder="1" applyAlignment="1">
      <alignment horizontal="right" vertical="center"/>
    </xf>
    <xf numFmtId="0" fontId="0" fillId="7" borderId="11" xfId="0" applyFill="1" applyBorder="1" applyAlignment="1">
      <alignment horizontal="right" vertical="center"/>
    </xf>
    <xf numFmtId="0" fontId="0" fillId="7" borderId="7" xfId="0" applyFill="1" applyBorder="1" applyAlignment="1">
      <alignment horizontal="right" vertical="center"/>
    </xf>
    <xf numFmtId="0" fontId="0" fillId="7" borderId="8" xfId="0" applyFill="1" applyBorder="1" applyAlignment="1">
      <alignment horizontal="right" vertical="center"/>
    </xf>
    <xf numFmtId="164" fontId="13" fillId="11" borderId="39" xfId="0" applyNumberFormat="1" applyFont="1" applyFill="1" applyBorder="1" applyAlignment="1" applyProtection="1">
      <alignment horizontal="center"/>
      <protection hidden="1"/>
    </xf>
    <xf numFmtId="2" fontId="47" fillId="0" borderId="39" xfId="0" applyNumberFormat="1" applyFont="1" applyBorder="1" applyAlignment="1" applyProtection="1">
      <alignment horizontal="center" vertical="center"/>
      <protection hidden="1"/>
    </xf>
    <xf numFmtId="2" fontId="47" fillId="0" borderId="39" xfId="0" applyNumberFormat="1" applyFont="1" applyFill="1" applyBorder="1" applyAlignment="1" applyProtection="1">
      <alignment horizontal="center" vertical="center"/>
      <protection hidden="1"/>
    </xf>
    <xf numFmtId="2" fontId="47" fillId="0" borderId="40" xfId="0" applyNumberFormat="1" applyFont="1" applyFill="1" applyBorder="1" applyAlignment="1" applyProtection="1">
      <alignment horizontal="center" vertical="center"/>
      <protection hidden="1"/>
    </xf>
    <xf numFmtId="0" fontId="47" fillId="0" borderId="0" xfId="0" applyFont="1" applyBorder="1" applyAlignment="1" applyProtection="1">
      <alignment horizontal="center"/>
      <protection hidden="1"/>
    </xf>
    <xf numFmtId="2" fontId="47" fillId="0" borderId="0" xfId="0" applyNumberFormat="1" applyFont="1" applyBorder="1" applyAlignment="1" applyProtection="1">
      <alignment horizontal="center"/>
      <protection hidden="1"/>
    </xf>
    <xf numFmtId="0" fontId="47" fillId="0" borderId="10" xfId="0" applyFont="1" applyBorder="1" applyAlignment="1" applyProtection="1">
      <alignment horizontal="center"/>
      <protection hidden="1"/>
    </xf>
    <xf numFmtId="2" fontId="47" fillId="0" borderId="0" xfId="0" applyNumberFormat="1" applyFont="1" applyAlignment="1" applyProtection="1">
      <alignment horizontal="center"/>
      <protection hidden="1"/>
    </xf>
    <xf numFmtId="0" fontId="47" fillId="0" borderId="29" xfId="0" applyFont="1" applyFill="1" applyBorder="1" applyAlignment="1" applyProtection="1">
      <alignment horizontal="center" vertical="center"/>
      <protection hidden="1"/>
    </xf>
    <xf numFmtId="2" fontId="47" fillId="0" borderId="28" xfId="0" applyNumberFormat="1" applyFont="1" applyBorder="1" applyAlignment="1" applyProtection="1">
      <alignment horizontal="center"/>
      <protection hidden="1"/>
    </xf>
    <xf numFmtId="2" fontId="47" fillId="0" borderId="23" xfId="0" applyNumberFormat="1" applyFont="1" applyBorder="1" applyAlignment="1" applyProtection="1">
      <alignment horizontal="center"/>
      <protection hidden="1"/>
    </xf>
    <xf numFmtId="2" fontId="47" fillId="0" borderId="24" xfId="0" applyNumberFormat="1" applyFont="1" applyBorder="1" applyAlignment="1" applyProtection="1">
      <alignment horizontal="center"/>
      <protection hidden="1"/>
    </xf>
    <xf numFmtId="0" fontId="47" fillId="0" borderId="29" xfId="0" applyFont="1" applyBorder="1" applyAlignment="1" applyProtection="1">
      <alignment horizontal="center" vertical="center"/>
      <protection hidden="1"/>
    </xf>
    <xf numFmtId="0" fontId="47" fillId="0" borderId="29" xfId="0" applyFont="1" applyBorder="1" applyAlignment="1" applyProtection="1">
      <alignment horizontal="center"/>
      <protection hidden="1"/>
    </xf>
    <xf numFmtId="0" fontId="13" fillId="0" borderId="0" xfId="0" applyFont="1" applyBorder="1" applyAlignment="1" applyProtection="1">
      <alignment horizontal="center"/>
      <protection locked="0"/>
    </xf>
    <xf numFmtId="0" fontId="13" fillId="0" borderId="0" xfId="0" applyFont="1" applyAlignment="1" applyProtection="1">
      <alignment horizontal="center"/>
      <protection locked="0"/>
    </xf>
    <xf numFmtId="46" fontId="13" fillId="0" borderId="23" xfId="0" applyNumberFormat="1" applyFont="1" applyBorder="1" applyAlignment="1" applyProtection="1">
      <alignment horizontal="center"/>
      <protection locked="0"/>
    </xf>
    <xf numFmtId="0" fontId="13" fillId="0" borderId="23" xfId="0" applyFont="1" applyBorder="1" applyAlignment="1" applyProtection="1">
      <alignment horizontal="center"/>
      <protection locked="0"/>
    </xf>
    <xf numFmtId="0" fontId="13" fillId="0" borderId="24" xfId="0" applyFont="1" applyBorder="1" applyAlignment="1" applyProtection="1">
      <alignment horizontal="center"/>
      <protection locked="0"/>
    </xf>
    <xf numFmtId="0" fontId="44" fillId="11" borderId="41" xfId="0" applyFont="1" applyFill="1" applyBorder="1" applyAlignment="1" applyProtection="1">
      <alignment horizontal="center" vertical="center" wrapText="1"/>
      <protection locked="0"/>
    </xf>
    <xf numFmtId="1" fontId="13" fillId="10" borderId="1" xfId="0" applyNumberFormat="1" applyFont="1" applyFill="1" applyBorder="1" applyProtection="1">
      <protection locked="0"/>
    </xf>
    <xf numFmtId="14" fontId="13" fillId="10" borderId="1" xfId="0" applyNumberFormat="1" applyFont="1" applyFill="1" applyBorder="1" applyProtection="1">
      <protection locked="0"/>
    </xf>
    <xf numFmtId="0" fontId="13" fillId="10" borderId="1" xfId="0" applyNumberFormat="1" applyFont="1" applyFill="1" applyBorder="1" applyProtection="1">
      <protection locked="0"/>
    </xf>
    <xf numFmtId="0" fontId="0" fillId="7" borderId="36" xfId="0" applyFill="1" applyBorder="1" applyAlignment="1">
      <alignment vertical="center"/>
    </xf>
    <xf numFmtId="0" fontId="0" fillId="7" borderId="38" xfId="0" applyFill="1" applyBorder="1" applyAlignment="1">
      <alignment vertical="center"/>
    </xf>
    <xf numFmtId="0" fontId="15" fillId="7" borderId="25" xfId="0" applyFont="1" applyFill="1" applyBorder="1" applyAlignment="1">
      <alignment horizontal="center" vertical="center"/>
    </xf>
    <xf numFmtId="0" fontId="13" fillId="7" borderId="15" xfId="0" applyFont="1" applyFill="1" applyBorder="1" applyAlignment="1">
      <alignment horizontal="center" vertical="center"/>
    </xf>
    <xf numFmtId="0" fontId="13" fillId="7" borderId="25" xfId="0" applyFont="1" applyFill="1" applyBorder="1" applyAlignment="1">
      <alignment horizontal="center" vertical="center"/>
    </xf>
    <xf numFmtId="166" fontId="13" fillId="4" borderId="8" xfId="0" applyNumberFormat="1" applyFont="1" applyFill="1" applyBorder="1" applyAlignment="1" applyProtection="1">
      <alignment horizontal="center"/>
      <protection hidden="1"/>
    </xf>
    <xf numFmtId="14" fontId="21" fillId="0" borderId="0" xfId="0" applyNumberFormat="1" applyFont="1" applyAlignment="1" applyProtection="1">
      <alignment horizontal="center"/>
      <protection hidden="1"/>
    </xf>
    <xf numFmtId="14" fontId="21" fillId="0" borderId="24" xfId="0" applyNumberFormat="1" applyFont="1" applyBorder="1" applyAlignment="1" applyProtection="1">
      <alignment horizontal="center"/>
      <protection hidden="1"/>
    </xf>
    <xf numFmtId="14" fontId="16" fillId="11" borderId="0" xfId="0" applyNumberFormat="1" applyFont="1" applyFill="1" applyBorder="1" applyAlignment="1" applyProtection="1">
      <alignment horizontal="center"/>
      <protection hidden="1"/>
    </xf>
    <xf numFmtId="14" fontId="13" fillId="11" borderId="0" xfId="0" applyNumberFormat="1" applyFont="1" applyFill="1" applyBorder="1" applyAlignment="1" applyProtection="1">
      <alignment horizontal="center" wrapText="1"/>
      <protection hidden="1"/>
    </xf>
    <xf numFmtId="14" fontId="13" fillId="11" borderId="39" xfId="0" applyNumberFormat="1" applyFont="1" applyFill="1" applyBorder="1" applyAlignment="1" applyProtection="1">
      <alignment horizontal="center"/>
      <protection hidden="1"/>
    </xf>
    <xf numFmtId="14" fontId="13" fillId="0" borderId="0" xfId="0" applyNumberFormat="1" applyFont="1" applyBorder="1" applyAlignment="1">
      <alignment horizontal="center"/>
    </xf>
    <xf numFmtId="14" fontId="13" fillId="0" borderId="0" xfId="0" applyNumberFormat="1" applyFont="1" applyAlignment="1">
      <alignment horizontal="center"/>
    </xf>
    <xf numFmtId="14" fontId="13" fillId="0" borderId="0" xfId="0" applyNumberFormat="1" applyFont="1" applyBorder="1" applyAlignment="1" applyProtection="1">
      <alignment horizontal="center"/>
      <protection hidden="1"/>
    </xf>
    <xf numFmtId="0" fontId="21" fillId="11" borderId="41" xfId="0" applyFont="1" applyFill="1" applyBorder="1" applyAlignment="1" applyProtection="1">
      <alignment horizontal="center" wrapText="1"/>
      <protection hidden="1"/>
    </xf>
    <xf numFmtId="1" fontId="13" fillId="11" borderId="41" xfId="0" applyNumberFormat="1" applyFont="1" applyFill="1" applyBorder="1" applyAlignment="1" applyProtection="1">
      <alignment horizontal="center" wrapText="1"/>
      <protection hidden="1"/>
    </xf>
    <xf numFmtId="2" fontId="13" fillId="11" borderId="41" xfId="0" applyNumberFormat="1" applyFont="1" applyFill="1" applyBorder="1" applyAlignment="1" applyProtection="1">
      <alignment horizontal="center" wrapText="1"/>
      <protection hidden="1"/>
    </xf>
    <xf numFmtId="166" fontId="13" fillId="11" borderId="41" xfId="0" applyNumberFormat="1" applyFont="1" applyFill="1" applyBorder="1" applyAlignment="1" applyProtection="1">
      <alignment horizontal="center" wrapText="1"/>
      <protection hidden="1"/>
    </xf>
    <xf numFmtId="0" fontId="13" fillId="11" borderId="41" xfId="0" applyFont="1" applyFill="1" applyBorder="1" applyAlignment="1" applyProtection="1">
      <alignment horizontal="center" wrapText="1"/>
      <protection hidden="1"/>
    </xf>
    <xf numFmtId="0" fontId="22" fillId="11" borderId="0" xfId="0" applyFont="1" applyFill="1" applyBorder="1" applyAlignment="1" applyProtection="1">
      <alignment horizontal="center" wrapText="1"/>
      <protection locked="0"/>
    </xf>
    <xf numFmtId="14" fontId="46" fillId="11" borderId="0" xfId="0" applyNumberFormat="1" applyFont="1" applyFill="1" applyBorder="1" applyAlignment="1" applyProtection="1">
      <alignment horizontal="center" wrapText="1"/>
      <protection hidden="1"/>
    </xf>
    <xf numFmtId="0" fontId="46" fillId="11" borderId="0" xfId="0" applyNumberFormat="1" applyFont="1" applyFill="1" applyBorder="1" applyAlignment="1" applyProtection="1">
      <alignment horizontal="center" wrapText="1"/>
      <protection hidden="1"/>
    </xf>
    <xf numFmtId="0" fontId="13" fillId="11" borderId="0" xfId="0" applyNumberFormat="1" applyFont="1" applyFill="1" applyBorder="1" applyAlignment="1" applyProtection="1">
      <alignment horizontal="center" wrapText="1"/>
      <protection locked="0"/>
    </xf>
    <xf numFmtId="166" fontId="48" fillId="11" borderId="0" xfId="0" applyNumberFormat="1" applyFont="1" applyFill="1" applyBorder="1" applyAlignment="1" applyProtection="1">
      <alignment horizontal="center" wrapText="1"/>
      <protection hidden="1"/>
    </xf>
    <xf numFmtId="2" fontId="48" fillId="11" borderId="0" xfId="0" applyNumberFormat="1" applyFont="1" applyFill="1" applyBorder="1" applyAlignment="1" applyProtection="1">
      <alignment horizontal="center"/>
      <protection hidden="1"/>
    </xf>
    <xf numFmtId="2" fontId="48" fillId="11" borderId="0" xfId="0" applyNumberFormat="1" applyFont="1" applyFill="1" applyBorder="1" applyAlignment="1" applyProtection="1">
      <alignment horizontal="center" wrapText="1"/>
      <protection hidden="1"/>
    </xf>
    <xf numFmtId="9" fontId="13" fillId="0" borderId="0" xfId="2" applyFont="1" applyFill="1" applyAlignment="1" applyProtection="1">
      <alignment horizontal="right"/>
      <protection hidden="1"/>
    </xf>
    <xf numFmtId="2" fontId="23" fillId="0" borderId="0" xfId="0" applyNumberFormat="1" applyFont="1" applyBorder="1" applyAlignment="1">
      <alignment horizontal="center"/>
    </xf>
    <xf numFmtId="0" fontId="13" fillId="7" borderId="4" xfId="0" applyFont="1" applyFill="1" applyBorder="1" applyAlignment="1">
      <alignment horizontal="left" vertical="center"/>
    </xf>
    <xf numFmtId="0" fontId="13" fillId="7" borderId="6" xfId="0" applyFont="1" applyFill="1" applyBorder="1" applyAlignment="1">
      <alignment horizontal="left" vertical="center"/>
    </xf>
    <xf numFmtId="0" fontId="50" fillId="7" borderId="10" xfId="0" applyFont="1" applyFill="1" applyBorder="1" applyAlignment="1">
      <alignment horizontal="left" vertical="center"/>
    </xf>
    <xf numFmtId="171" fontId="51" fillId="7" borderId="37" xfId="0" applyNumberFormat="1" applyFont="1" applyFill="1" applyBorder="1" applyAlignment="1">
      <alignment horizontal="center" vertical="center"/>
    </xf>
    <xf numFmtId="0" fontId="17" fillId="0" borderId="0" xfId="0" applyFont="1" applyFill="1"/>
    <xf numFmtId="0" fontId="15" fillId="5" borderId="37" xfId="0" applyFont="1" applyFill="1" applyBorder="1" applyAlignment="1">
      <alignment horizontal="center"/>
    </xf>
    <xf numFmtId="0" fontId="15" fillId="12" borderId="37" xfId="0" applyFont="1" applyFill="1" applyBorder="1" applyAlignment="1">
      <alignment horizontal="center"/>
    </xf>
    <xf numFmtId="0" fontId="15" fillId="5" borderId="0" xfId="0" applyFont="1" applyFill="1" applyBorder="1" applyAlignment="1">
      <alignment horizontal="center"/>
    </xf>
    <xf numFmtId="0" fontId="13" fillId="7" borderId="37" xfId="0" applyFont="1" applyFill="1" applyBorder="1" applyAlignment="1">
      <alignment horizontal="center" vertical="center"/>
    </xf>
    <xf numFmtId="0" fontId="15" fillId="5" borderId="37" xfId="0" applyFont="1" applyFill="1" applyBorder="1" applyAlignment="1">
      <alignment horizontal="center" wrapText="1"/>
    </xf>
    <xf numFmtId="3" fontId="13" fillId="10" borderId="37" xfId="4" applyNumberFormat="1" applyFont="1" applyFill="1" applyBorder="1" applyAlignment="1">
      <alignment horizontal="center" vertical="center"/>
    </xf>
    <xf numFmtId="0" fontId="13" fillId="10" borderId="37" xfId="0" applyFont="1" applyFill="1" applyBorder="1" applyAlignment="1">
      <alignment horizontal="center" vertical="center"/>
    </xf>
    <xf numFmtId="3" fontId="13" fillId="7" borderId="37" xfId="0" applyNumberFormat="1" applyFont="1" applyFill="1" applyBorder="1" applyAlignment="1">
      <alignment horizontal="center" vertical="center"/>
    </xf>
    <xf numFmtId="169" fontId="13" fillId="10" borderId="37" xfId="4" applyNumberFormat="1" applyFont="1" applyFill="1" applyBorder="1" applyAlignment="1">
      <alignment horizontal="center" vertical="center"/>
    </xf>
    <xf numFmtId="2" fontId="13" fillId="7" borderId="37" xfId="0" applyNumberFormat="1" applyFont="1" applyFill="1" applyBorder="1" applyAlignment="1">
      <alignment horizontal="center" vertical="center"/>
    </xf>
    <xf numFmtId="0" fontId="13" fillId="0" borderId="0" xfId="0" applyFont="1" applyFill="1" applyBorder="1" applyAlignment="1">
      <alignment horizontal="center" vertical="center"/>
    </xf>
    <xf numFmtId="0" fontId="13" fillId="6" borderId="0" xfId="0" applyFont="1" applyFill="1" applyAlignment="1">
      <alignment horizontal="center"/>
    </xf>
    <xf numFmtId="3" fontId="13" fillId="12" borderId="37" xfId="0" applyNumberFormat="1" applyFont="1" applyFill="1" applyBorder="1" applyAlignment="1">
      <alignment horizontal="center" vertical="center"/>
    </xf>
    <xf numFmtId="0" fontId="13" fillId="12" borderId="37" xfId="0" applyFont="1" applyFill="1" applyBorder="1" applyAlignment="1">
      <alignment horizontal="center" vertical="center"/>
    </xf>
    <xf numFmtId="0" fontId="13" fillId="0" borderId="0" xfId="0" applyFont="1" applyFill="1" applyAlignment="1" applyProtection="1">
      <alignment horizontal="right"/>
      <protection hidden="1"/>
    </xf>
    <xf numFmtId="0" fontId="0" fillId="0" borderId="0" xfId="0" applyFill="1" applyAlignment="1">
      <alignment horizontal="right"/>
    </xf>
    <xf numFmtId="0" fontId="15" fillId="0" borderId="7" xfId="0" applyFont="1" applyFill="1" applyBorder="1" applyAlignment="1" applyProtection="1">
      <alignment horizontal="right"/>
      <protection hidden="1"/>
    </xf>
    <xf numFmtId="0" fontId="1" fillId="0" borderId="7" xfId="0" applyFont="1" applyFill="1" applyBorder="1"/>
    <xf numFmtId="0" fontId="15" fillId="0" borderId="7" xfId="0" applyFont="1" applyFill="1" applyBorder="1" applyAlignment="1" applyProtection="1">
      <alignment horizontal="center"/>
      <protection hidden="1"/>
    </xf>
    <xf numFmtId="0" fontId="36" fillId="11" borderId="0" xfId="0" applyFont="1" applyFill="1" applyBorder="1" applyAlignment="1" applyProtection="1">
      <alignment horizontal="center"/>
      <protection hidden="1"/>
    </xf>
    <xf numFmtId="0" fontId="0" fillId="0" borderId="0" xfId="0" applyAlignment="1">
      <alignment horizontal="center"/>
    </xf>
    <xf numFmtId="0" fontId="36" fillId="12" borderId="32" xfId="1" applyFont="1" applyFill="1" applyBorder="1" applyAlignment="1" applyProtection="1">
      <alignment horizontal="center"/>
      <protection hidden="1"/>
    </xf>
    <xf numFmtId="0" fontId="13" fillId="11" borderId="42" xfId="0" applyFont="1" applyFill="1" applyBorder="1" applyAlignment="1" applyProtection="1">
      <alignment horizontal="center"/>
      <protection hidden="1"/>
    </xf>
    <xf numFmtId="0" fontId="30" fillId="0" borderId="0" xfId="0" applyFont="1" applyFill="1" applyAlignment="1" applyProtection="1">
      <alignment horizontal="right"/>
      <protection hidden="1"/>
    </xf>
    <xf numFmtId="1" fontId="0" fillId="0" borderId="1" xfId="0" applyNumberFormat="1" applyFont="1" applyBorder="1" applyProtection="1">
      <protection locked="0"/>
    </xf>
    <xf numFmtId="1" fontId="0" fillId="0" borderId="2" xfId="0" applyNumberFormat="1" applyFont="1" applyBorder="1" applyProtection="1">
      <protection locked="0"/>
    </xf>
    <xf numFmtId="1" fontId="36" fillId="11" borderId="0" xfId="0" applyNumberFormat="1" applyFont="1" applyFill="1" applyBorder="1" applyAlignment="1" applyProtection="1">
      <alignment horizontal="center"/>
      <protection hidden="1"/>
    </xf>
    <xf numFmtId="172" fontId="39" fillId="11" borderId="0" xfId="0" applyNumberFormat="1" applyFont="1" applyFill="1" applyBorder="1" applyAlignment="1" applyProtection="1">
      <alignment horizontal="center"/>
      <protection hidden="1"/>
    </xf>
    <xf numFmtId="0" fontId="36" fillId="11" borderId="32" xfId="0" applyFont="1" applyFill="1" applyBorder="1" applyAlignment="1">
      <alignment horizontal="center"/>
    </xf>
    <xf numFmtId="1" fontId="36" fillId="11" borderId="32" xfId="0" applyNumberFormat="1" applyFont="1" applyFill="1" applyBorder="1" applyAlignment="1" applyProtection="1">
      <alignment horizontal="center"/>
      <protection hidden="1"/>
    </xf>
    <xf numFmtId="2" fontId="36" fillId="11" borderId="32" xfId="0" applyNumberFormat="1" applyFont="1" applyFill="1" applyBorder="1" applyAlignment="1" applyProtection="1">
      <alignment horizontal="center"/>
      <protection hidden="1"/>
    </xf>
    <xf numFmtId="172" fontId="39" fillId="11" borderId="32" xfId="0" applyNumberFormat="1" applyFont="1" applyFill="1" applyBorder="1" applyAlignment="1" applyProtection="1">
      <alignment horizontal="center"/>
      <protection hidden="1"/>
    </xf>
    <xf numFmtId="0" fontId="36" fillId="11" borderId="43" xfId="0" applyFont="1" applyFill="1" applyBorder="1" applyAlignment="1" applyProtection="1">
      <alignment horizontal="center"/>
      <protection hidden="1"/>
    </xf>
    <xf numFmtId="1" fontId="36" fillId="11" borderId="43" xfId="0" applyNumberFormat="1" applyFont="1" applyFill="1" applyBorder="1" applyAlignment="1" applyProtection="1">
      <alignment horizontal="center"/>
      <protection hidden="1"/>
    </xf>
    <xf numFmtId="2" fontId="36" fillId="11" borderId="43" xfId="0" applyNumberFormat="1" applyFont="1" applyFill="1" applyBorder="1" applyAlignment="1" applyProtection="1">
      <alignment horizontal="center"/>
      <protection hidden="1"/>
    </xf>
    <xf numFmtId="166" fontId="36" fillId="11" borderId="43" xfId="0" applyNumberFormat="1" applyFont="1" applyFill="1" applyBorder="1" applyAlignment="1" applyProtection="1">
      <alignment horizontal="center"/>
      <protection hidden="1"/>
    </xf>
    <xf numFmtId="172" fontId="39" fillId="11" borderId="43" xfId="0" applyNumberFormat="1" applyFont="1" applyFill="1" applyBorder="1" applyAlignment="1" applyProtection="1">
      <alignment horizontal="center"/>
      <protection hidden="1"/>
    </xf>
    <xf numFmtId="0" fontId="36" fillId="11" borderId="32" xfId="0" applyFont="1" applyFill="1" applyBorder="1" applyAlignment="1" applyProtection="1">
      <alignment horizontal="center"/>
      <protection hidden="1"/>
    </xf>
    <xf numFmtId="0" fontId="0" fillId="11" borderId="0" xfId="0" applyFill="1"/>
    <xf numFmtId="0" fontId="0" fillId="11" borderId="0" xfId="0" applyFill="1" applyBorder="1"/>
    <xf numFmtId="0" fontId="22" fillId="11" borderId="0" xfId="0" applyFont="1" applyFill="1"/>
    <xf numFmtId="0" fontId="22" fillId="11" borderId="0" xfId="0" applyFont="1" applyFill="1" applyBorder="1"/>
    <xf numFmtId="0" fontId="13" fillId="11" borderId="0" xfId="0" applyFont="1" applyFill="1" applyBorder="1" applyAlignment="1">
      <alignment horizontal="center" vertical="center"/>
    </xf>
    <xf numFmtId="0" fontId="22" fillId="11" borderId="0" xfId="0" applyFont="1" applyFill="1" applyBorder="1" applyAlignment="1">
      <alignment horizontal="center" vertical="center"/>
    </xf>
    <xf numFmtId="0" fontId="13" fillId="11" borderId="0" xfId="0" applyNumberFormat="1" applyFont="1" applyFill="1" applyBorder="1" applyAlignment="1" applyProtection="1">
      <alignment horizontal="center" vertical="center"/>
      <protection locked="0"/>
    </xf>
    <xf numFmtId="0" fontId="21" fillId="11" borderId="7" xfId="0" applyFont="1" applyFill="1" applyBorder="1" applyAlignment="1" applyProtection="1">
      <alignment vertical="center"/>
      <protection hidden="1"/>
    </xf>
    <xf numFmtId="0" fontId="12" fillId="11" borderId="0" xfId="0" applyFont="1" applyFill="1"/>
    <xf numFmtId="1" fontId="44" fillId="0" borderId="0" xfId="0" applyNumberFormat="1" applyFont="1" applyFill="1" applyBorder="1" applyAlignment="1" applyProtection="1">
      <alignment horizontal="center"/>
      <protection hidden="1"/>
    </xf>
    <xf numFmtId="0" fontId="44" fillId="0" borderId="0" xfId="0" applyFont="1" applyFill="1" applyBorder="1" applyAlignment="1" applyProtection="1">
      <alignment horizontal="center"/>
      <protection hidden="1"/>
    </xf>
    <xf numFmtId="0" fontId="44" fillId="0" borderId="5" xfId="0" applyFont="1" applyFill="1" applyBorder="1" applyAlignment="1" applyProtection="1">
      <alignment horizontal="center"/>
      <protection hidden="1"/>
    </xf>
    <xf numFmtId="0" fontId="44" fillId="0" borderId="7" xfId="0" applyFont="1" applyFill="1" applyBorder="1" applyAlignment="1" applyProtection="1">
      <alignment horizontal="center"/>
      <protection hidden="1"/>
    </xf>
    <xf numFmtId="173" fontId="44" fillId="0" borderId="0" xfId="0" applyNumberFormat="1" applyFont="1" applyFill="1" applyBorder="1" applyAlignment="1" applyProtection="1">
      <alignment horizontal="center"/>
      <protection hidden="1"/>
    </xf>
    <xf numFmtId="2" fontId="44" fillId="0" borderId="0" xfId="0" applyNumberFormat="1" applyFont="1" applyFill="1" applyBorder="1" applyAlignment="1" applyProtection="1">
      <alignment horizontal="center"/>
      <protection hidden="1"/>
    </xf>
    <xf numFmtId="2" fontId="44" fillId="0" borderId="27" xfId="0" applyNumberFormat="1" applyFont="1" applyFill="1" applyBorder="1" applyAlignment="1" applyProtection="1">
      <alignment horizontal="center"/>
      <protection hidden="1"/>
    </xf>
    <xf numFmtId="2" fontId="44" fillId="0" borderId="5" xfId="0" applyNumberFormat="1" applyFont="1" applyFill="1" applyBorder="1" applyAlignment="1" applyProtection="1">
      <alignment horizontal="center"/>
      <protection hidden="1"/>
    </xf>
    <xf numFmtId="1" fontId="44" fillId="0" borderId="5" xfId="0" applyNumberFormat="1" applyFont="1" applyFill="1" applyBorder="1" applyAlignment="1" applyProtection="1">
      <alignment horizontal="center"/>
      <protection hidden="1"/>
    </xf>
    <xf numFmtId="2" fontId="44" fillId="0" borderId="31" xfId="0" applyNumberFormat="1" applyFont="1" applyFill="1" applyBorder="1" applyAlignment="1">
      <alignment horizontal="center" wrapText="1"/>
    </xf>
    <xf numFmtId="1" fontId="44" fillId="0" borderId="7" xfId="0" applyNumberFormat="1" applyFont="1" applyFill="1" applyBorder="1" applyAlignment="1" applyProtection="1">
      <alignment horizontal="center"/>
      <protection hidden="1"/>
    </xf>
    <xf numFmtId="2" fontId="44" fillId="0" borderId="7" xfId="0" applyNumberFormat="1" applyFont="1" applyFill="1" applyBorder="1" applyAlignment="1" applyProtection="1">
      <alignment horizontal="center"/>
      <protection hidden="1"/>
    </xf>
    <xf numFmtId="2" fontId="44" fillId="0" borderId="35" xfId="0" applyNumberFormat="1" applyFont="1" applyFill="1" applyBorder="1" applyAlignment="1">
      <alignment horizontal="center"/>
    </xf>
    <xf numFmtId="1" fontId="44" fillId="0" borderId="0" xfId="0" applyNumberFormat="1" applyFont="1" applyBorder="1" applyAlignment="1" applyProtection="1">
      <alignment horizontal="center"/>
      <protection hidden="1"/>
    </xf>
    <xf numFmtId="2" fontId="44" fillId="0" borderId="0" xfId="0" applyNumberFormat="1" applyFont="1" applyBorder="1" applyAlignment="1" applyProtection="1">
      <alignment horizontal="center"/>
      <protection hidden="1"/>
    </xf>
    <xf numFmtId="2" fontId="44" fillId="0" borderId="31" xfId="0" applyNumberFormat="1" applyFont="1" applyFill="1" applyBorder="1" applyAlignment="1" applyProtection="1">
      <alignment horizontal="center"/>
      <protection hidden="1"/>
    </xf>
    <xf numFmtId="2" fontId="44" fillId="0" borderId="35" xfId="0" applyNumberFormat="1" applyFont="1" applyFill="1" applyBorder="1" applyAlignment="1" applyProtection="1">
      <alignment horizontal="center"/>
      <protection hidden="1"/>
    </xf>
    <xf numFmtId="166" fontId="44" fillId="0" borderId="0" xfId="0" applyNumberFormat="1" applyFont="1" applyFill="1" applyBorder="1" applyAlignment="1" applyProtection="1">
      <alignment horizontal="center"/>
      <protection hidden="1"/>
    </xf>
    <xf numFmtId="173" fontId="44" fillId="0" borderId="7" xfId="0" applyNumberFormat="1" applyFont="1" applyFill="1" applyBorder="1" applyAlignment="1" applyProtection="1">
      <alignment horizontal="center"/>
      <protection hidden="1"/>
    </xf>
    <xf numFmtId="0" fontId="0" fillId="0" borderId="7" xfId="0" applyBorder="1" applyAlignment="1">
      <alignment horizontal="center"/>
    </xf>
    <xf numFmtId="0" fontId="0" fillId="0" borderId="0" xfId="0" applyBorder="1" applyAlignment="1">
      <alignment horizontal="center"/>
    </xf>
    <xf numFmtId="2" fontId="44" fillId="0" borderId="27" xfId="0" applyNumberFormat="1" applyFont="1" applyBorder="1" applyAlignment="1">
      <alignment horizontal="center"/>
    </xf>
    <xf numFmtId="0" fontId="0" fillId="0" borderId="7" xfId="0" applyFill="1" applyBorder="1" applyAlignment="1">
      <alignment horizontal="center"/>
    </xf>
    <xf numFmtId="173" fontId="44" fillId="0" borderId="13" xfId="0" applyNumberFormat="1" applyFont="1" applyFill="1" applyBorder="1" applyAlignment="1" applyProtection="1">
      <alignment horizontal="center" vertical="center"/>
      <protection hidden="1"/>
    </xf>
    <xf numFmtId="1" fontId="44" fillId="0" borderId="13" xfId="0" applyNumberFormat="1" applyFont="1" applyFill="1" applyBorder="1" applyAlignment="1" applyProtection="1">
      <alignment horizontal="center" vertical="center"/>
      <protection hidden="1"/>
    </xf>
    <xf numFmtId="166" fontId="44" fillId="0" borderId="13" xfId="0" applyNumberFormat="1" applyFont="1" applyFill="1" applyBorder="1" applyAlignment="1" applyProtection="1">
      <alignment horizontal="center" vertical="center" wrapText="1"/>
      <protection hidden="1"/>
    </xf>
    <xf numFmtId="2" fontId="44" fillId="0" borderId="13" xfId="0" applyNumberFormat="1" applyFont="1" applyFill="1" applyBorder="1" applyAlignment="1" applyProtection="1">
      <alignment horizontal="center" vertical="center" wrapText="1"/>
      <protection hidden="1"/>
    </xf>
    <xf numFmtId="2" fontId="44" fillId="0" borderId="34" xfId="0" applyNumberFormat="1" applyFont="1" applyFill="1" applyBorder="1" applyAlignment="1" applyProtection="1">
      <alignment horizontal="center" vertical="center" wrapText="1"/>
      <protection hidden="1"/>
    </xf>
    <xf numFmtId="0" fontId="44" fillId="0" borderId="13" xfId="0" applyFont="1" applyFill="1" applyBorder="1" applyAlignment="1" applyProtection="1">
      <alignment horizontal="center" vertical="center" wrapText="1"/>
      <protection hidden="1"/>
    </xf>
    <xf numFmtId="0" fontId="0" fillId="0" borderId="0" xfId="0" applyBorder="1"/>
    <xf numFmtId="173" fontId="44" fillId="0" borderId="26" xfId="0" applyNumberFormat="1" applyFont="1" applyFill="1" applyBorder="1" applyAlignment="1" applyProtection="1">
      <alignment horizontal="center"/>
      <protection hidden="1"/>
    </xf>
    <xf numFmtId="49" fontId="41" fillId="11" borderId="7" xfId="0" applyNumberFormat="1" applyFont="1" applyFill="1" applyBorder="1" applyAlignment="1" applyProtection="1">
      <alignment horizontal="center" vertical="center"/>
      <protection hidden="1"/>
    </xf>
    <xf numFmtId="0" fontId="12" fillId="13" borderId="47" xfId="0" applyFont="1" applyFill="1" applyBorder="1" applyAlignment="1">
      <alignment horizontal="center" vertical="center"/>
    </xf>
    <xf numFmtId="0" fontId="12" fillId="13" borderId="48" xfId="0" applyFont="1" applyFill="1" applyBorder="1" applyAlignment="1">
      <alignment horizontal="center" vertical="center"/>
    </xf>
    <xf numFmtId="0" fontId="12" fillId="13" borderId="49" xfId="0" applyFont="1" applyFill="1" applyBorder="1" applyAlignment="1">
      <alignment horizontal="center" vertical="center"/>
    </xf>
    <xf numFmtId="0" fontId="21" fillId="0" borderId="39" xfId="0" applyNumberFormat="1" applyFont="1" applyFill="1" applyBorder="1" applyAlignment="1" applyProtection="1">
      <alignment horizontal="center" vertical="center"/>
      <protection hidden="1"/>
    </xf>
    <xf numFmtId="0" fontId="21" fillId="0" borderId="39" xfId="0" applyNumberFormat="1" applyFont="1" applyBorder="1" applyAlignment="1" applyProtection="1">
      <alignment horizontal="center" vertical="center"/>
      <protection hidden="1"/>
    </xf>
    <xf numFmtId="0" fontId="21" fillId="0" borderId="40" xfId="0" applyNumberFormat="1" applyFont="1" applyBorder="1" applyAlignment="1" applyProtection="1">
      <alignment horizontal="center" vertical="center"/>
      <protection hidden="1"/>
    </xf>
    <xf numFmtId="0" fontId="21" fillId="11" borderId="39" xfId="0" applyNumberFormat="1" applyFont="1" applyFill="1" applyBorder="1" applyAlignment="1" applyProtection="1">
      <alignment horizontal="center" vertical="center"/>
      <protection hidden="1"/>
    </xf>
    <xf numFmtId="1" fontId="21" fillId="11" borderId="39" xfId="0" applyNumberFormat="1" applyFont="1" applyFill="1" applyBorder="1" applyAlignment="1" applyProtection="1">
      <alignment horizontal="center"/>
      <protection hidden="1"/>
    </xf>
    <xf numFmtId="173" fontId="44" fillId="0" borderId="5" xfId="0" applyNumberFormat="1" applyFont="1" applyFill="1" applyBorder="1" applyAlignment="1" applyProtection="1">
      <alignment horizontal="center"/>
      <protection hidden="1"/>
    </xf>
    <xf numFmtId="0" fontId="0" fillId="14" borderId="0" xfId="0" applyFill="1"/>
    <xf numFmtId="0" fontId="36" fillId="14" borderId="0" xfId="0" applyFont="1" applyFill="1" applyBorder="1" applyAlignment="1" applyProtection="1">
      <alignment horizontal="center"/>
      <protection hidden="1"/>
    </xf>
    <xf numFmtId="166" fontId="36" fillId="14" borderId="0" xfId="0" applyNumberFormat="1" applyFont="1" applyFill="1" applyBorder="1" applyAlignment="1" applyProtection="1">
      <alignment horizontal="center"/>
      <protection hidden="1"/>
    </xf>
    <xf numFmtId="0" fontId="52" fillId="14" borderId="0" xfId="0" applyFont="1" applyFill="1" applyBorder="1" applyAlignment="1" applyProtection="1">
      <alignment horizontal="center"/>
      <protection hidden="1"/>
    </xf>
    <xf numFmtId="166" fontId="22" fillId="0" borderId="0" xfId="0" applyNumberFormat="1" applyFont="1" applyFill="1" applyBorder="1" applyAlignment="1" applyProtection="1">
      <alignment horizontal="center"/>
      <protection hidden="1"/>
    </xf>
    <xf numFmtId="166" fontId="22" fillId="0" borderId="0" xfId="0" applyNumberFormat="1" applyFont="1" applyAlignment="1">
      <alignment horizontal="right"/>
    </xf>
    <xf numFmtId="166" fontId="22" fillId="0" borderId="0" xfId="0" applyNumberFormat="1" applyFont="1" applyFill="1" applyAlignment="1" applyProtection="1">
      <alignment horizontal="right"/>
      <protection hidden="1"/>
    </xf>
    <xf numFmtId="166" fontId="13" fillId="0" borderId="0" xfId="0" applyNumberFormat="1" applyFont="1" applyFill="1" applyAlignment="1" applyProtection="1">
      <alignment horizontal="right"/>
      <protection hidden="1"/>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164" fontId="0" fillId="11" borderId="0" xfId="0" applyNumberFormat="1" applyFill="1"/>
    <xf numFmtId="164" fontId="13" fillId="11" borderId="41" xfId="0" applyNumberFormat="1" applyFont="1" applyFill="1" applyBorder="1" applyAlignment="1" applyProtection="1">
      <alignment horizontal="center" wrapText="1"/>
      <protection hidden="1"/>
    </xf>
    <xf numFmtId="164" fontId="14" fillId="0" borderId="0" xfId="0" applyNumberFormat="1" applyFont="1" applyFill="1" applyBorder="1" applyAlignment="1" applyProtection="1">
      <alignment horizontal="center"/>
      <protection hidden="1"/>
    </xf>
    <xf numFmtId="1" fontId="0" fillId="11" borderId="0" xfId="0" applyNumberFormat="1" applyFill="1" applyAlignment="1">
      <alignment horizontal="center"/>
    </xf>
    <xf numFmtId="0" fontId="0" fillId="0" borderId="0" xfId="0" applyAlignment="1">
      <alignment vertical="center"/>
    </xf>
    <xf numFmtId="1" fontId="28" fillId="0" borderId="7" xfId="0" applyNumberFormat="1" applyFont="1" applyFill="1" applyBorder="1" applyAlignment="1" applyProtection="1">
      <alignment horizontal="center" vertical="center"/>
      <protection hidden="1"/>
    </xf>
    <xf numFmtId="0" fontId="0" fillId="0" borderId="7" xfId="0" applyBorder="1" applyAlignment="1">
      <alignment vertical="center"/>
    </xf>
    <xf numFmtId="0" fontId="23" fillId="0" borderId="0" xfId="0" applyFont="1" applyFill="1" applyAlignment="1" applyProtection="1">
      <alignment horizontal="center" vertical="center"/>
      <protection hidden="1"/>
    </xf>
    <xf numFmtId="0" fontId="23" fillId="0" borderId="0" xfId="0" applyFont="1" applyFill="1" applyAlignment="1">
      <alignment horizontal="center" vertical="center"/>
    </xf>
    <xf numFmtId="1" fontId="28" fillId="0" borderId="13" xfId="0" applyNumberFormat="1" applyFont="1" applyFill="1" applyBorder="1" applyAlignment="1" applyProtection="1">
      <alignment horizontal="center" vertical="center"/>
      <protection hidden="1"/>
    </xf>
    <xf numFmtId="2" fontId="44" fillId="0" borderId="0" xfId="0" applyNumberFormat="1" applyFont="1" applyBorder="1" applyAlignment="1" applyProtection="1">
      <alignment horizontal="center" vertical="center"/>
      <protection hidden="1"/>
    </xf>
    <xf numFmtId="1" fontId="44" fillId="0" borderId="0" xfId="0" applyNumberFormat="1" applyFont="1" applyBorder="1" applyAlignment="1" applyProtection="1">
      <alignment horizontal="center" vertical="center"/>
      <protection hidden="1"/>
    </xf>
    <xf numFmtId="2" fontId="44" fillId="0" borderId="27" xfId="0" applyNumberFormat="1" applyFont="1" applyBorder="1" applyAlignment="1">
      <alignment horizontal="center" vertical="center"/>
    </xf>
    <xf numFmtId="0" fontId="44" fillId="0" borderId="0" xfId="0" applyFont="1" applyFill="1" applyBorder="1" applyAlignment="1" applyProtection="1">
      <alignment horizontal="center" vertical="center"/>
      <protection hidden="1"/>
    </xf>
    <xf numFmtId="0" fontId="23" fillId="0" borderId="0" xfId="0" applyFont="1" applyAlignment="1">
      <alignment horizontal="center" vertical="center"/>
    </xf>
    <xf numFmtId="0" fontId="23" fillId="0" borderId="0" xfId="0" applyFont="1" applyFill="1" applyAlignment="1" applyProtection="1">
      <alignment horizontal="right" vertical="center"/>
      <protection hidden="1"/>
    </xf>
    <xf numFmtId="0" fontId="28" fillId="0" borderId="0" xfId="0" applyFont="1" applyFill="1" applyBorder="1" applyAlignment="1" applyProtection="1">
      <alignment horizontal="center" vertical="center"/>
      <protection hidden="1"/>
    </xf>
    <xf numFmtId="1" fontId="44" fillId="0" borderId="0" xfId="0" applyNumberFormat="1" applyFont="1" applyFill="1" applyBorder="1" applyAlignment="1" applyProtection="1">
      <alignment horizontal="center" vertical="center"/>
      <protection hidden="1"/>
    </xf>
    <xf numFmtId="2" fontId="44" fillId="0" borderId="0" xfId="0" applyNumberFormat="1" applyFont="1" applyFill="1" applyBorder="1" applyAlignment="1" applyProtection="1">
      <alignment horizontal="center" vertical="center"/>
      <protection hidden="1"/>
    </xf>
    <xf numFmtId="2" fontId="44" fillId="0" borderId="27" xfId="0" applyNumberFormat="1" applyFont="1" applyFill="1" applyBorder="1" applyAlignment="1" applyProtection="1">
      <alignment horizontal="center" vertical="center"/>
      <protection hidden="1"/>
    </xf>
    <xf numFmtId="0" fontId="0" fillId="12" borderId="0" xfId="0" applyFill="1" applyAlignment="1">
      <alignment horizontal="center"/>
    </xf>
    <xf numFmtId="174" fontId="36" fillId="11" borderId="38" xfId="0" applyNumberFormat="1" applyFont="1" applyFill="1" applyBorder="1" applyAlignment="1" applyProtection="1">
      <alignment horizontal="center"/>
      <protection hidden="1"/>
    </xf>
    <xf numFmtId="0" fontId="32" fillId="7" borderId="2" xfId="0" applyFont="1" applyFill="1" applyBorder="1" applyAlignment="1" applyProtection="1">
      <alignment horizontal="left" vertical="center"/>
    </xf>
    <xf numFmtId="0" fontId="55" fillId="11" borderId="0" xfId="0" applyFont="1" applyFill="1" applyAlignment="1">
      <alignment horizontal="center"/>
    </xf>
    <xf numFmtId="169" fontId="56" fillId="11" borderId="0" xfId="4" applyNumberFormat="1" applyFont="1" applyFill="1" applyBorder="1" applyAlignment="1" applyProtection="1">
      <alignment horizontal="left"/>
      <protection hidden="1"/>
    </xf>
    <xf numFmtId="0" fontId="1" fillId="11" borderId="0" xfId="0" applyFont="1" applyFill="1"/>
    <xf numFmtId="0" fontId="13" fillId="0" borderId="39" xfId="0" applyFont="1" applyBorder="1" applyAlignment="1" applyProtection="1">
      <alignment horizontal="center" vertical="center"/>
      <protection locked="0"/>
    </xf>
    <xf numFmtId="1" fontId="13" fillId="0" borderId="39" xfId="0" applyNumberFormat="1" applyFont="1" applyBorder="1" applyAlignment="1" applyProtection="1">
      <alignment horizontal="center" vertical="center"/>
      <protection locked="0"/>
    </xf>
    <xf numFmtId="14" fontId="16" fillId="11" borderId="7" xfId="0" applyNumberFormat="1" applyFont="1" applyFill="1" applyBorder="1" applyAlignment="1" applyProtection="1">
      <alignment horizontal="center"/>
      <protection hidden="1"/>
    </xf>
    <xf numFmtId="171" fontId="51" fillId="7" borderId="43" xfId="0" applyNumberFormat="1" applyFont="1" applyFill="1" applyBorder="1" applyAlignment="1">
      <alignment horizontal="center" vertical="center"/>
    </xf>
    <xf numFmtId="169" fontId="13" fillId="10" borderId="43" xfId="4" applyNumberFormat="1" applyFont="1" applyFill="1" applyBorder="1" applyAlignment="1">
      <alignment horizontal="center" vertical="center"/>
    </xf>
    <xf numFmtId="0" fontId="13" fillId="10" borderId="43" xfId="0" applyFont="1" applyFill="1" applyBorder="1" applyAlignment="1">
      <alignment horizontal="center" vertical="center"/>
    </xf>
    <xf numFmtId="0" fontId="39" fillId="11" borderId="32" xfId="0" applyFont="1" applyFill="1" applyBorder="1" applyAlignment="1" applyProtection="1">
      <alignment horizontal="center"/>
      <protection hidden="1"/>
    </xf>
    <xf numFmtId="166" fontId="36" fillId="15" borderId="50" xfId="0" applyNumberFormat="1" applyFont="1" applyFill="1" applyBorder="1" applyAlignment="1" applyProtection="1">
      <alignment horizontal="center"/>
      <protection hidden="1"/>
    </xf>
    <xf numFmtId="0" fontId="57" fillId="11" borderId="0" xfId="0" applyFont="1" applyFill="1" applyBorder="1" applyAlignment="1" applyProtection="1">
      <alignment horizontal="center"/>
      <protection hidden="1"/>
    </xf>
    <xf numFmtId="0" fontId="22" fillId="0" borderId="0" xfId="0" applyFont="1" applyAlignment="1">
      <alignment wrapText="1"/>
    </xf>
    <xf numFmtId="0" fontId="58" fillId="12" borderId="32" xfId="1" applyFont="1" applyFill="1" applyBorder="1" applyAlignment="1" applyProtection="1">
      <alignment horizontal="center"/>
      <protection hidden="1"/>
    </xf>
    <xf numFmtId="175" fontId="41" fillId="0" borderId="0" xfId="0" applyNumberFormat="1" applyFont="1"/>
    <xf numFmtId="0" fontId="27" fillId="5" borderId="13" xfId="0" applyFont="1" applyFill="1" applyBorder="1" applyAlignment="1">
      <alignment horizontal="center" vertical="center"/>
    </xf>
    <xf numFmtId="0" fontId="22" fillId="7" borderId="1" xfId="0" applyFont="1" applyFill="1" applyBorder="1" applyAlignment="1">
      <alignment horizontal="left" vertical="center" wrapText="1"/>
    </xf>
    <xf numFmtId="0" fontId="22" fillId="7" borderId="2" xfId="0" applyFont="1" applyFill="1" applyBorder="1" applyAlignment="1">
      <alignment horizontal="left" vertical="center" wrapText="1"/>
    </xf>
    <xf numFmtId="0" fontId="22" fillId="7" borderId="2" xfId="0" applyFont="1" applyFill="1" applyBorder="1" applyAlignment="1">
      <alignment horizontal="left" vertical="center"/>
    </xf>
    <xf numFmtId="0" fontId="0" fillId="0" borderId="7" xfId="0" applyFill="1" applyBorder="1" applyAlignment="1">
      <alignment horizontal="left" vertical="center" wrapText="1"/>
    </xf>
    <xf numFmtId="0" fontId="35" fillId="11" borderId="0" xfId="0" applyFont="1" applyFill="1" applyBorder="1" applyAlignment="1" applyProtection="1">
      <alignment horizontal="center"/>
      <protection hidden="1"/>
    </xf>
    <xf numFmtId="0" fontId="45" fillId="11" borderId="13" xfId="0" applyFont="1" applyFill="1" applyBorder="1" applyAlignment="1">
      <alignment horizontal="center" vertical="center"/>
    </xf>
    <xf numFmtId="0" fontId="36" fillId="11" borderId="38" xfId="0" applyFont="1" applyFill="1" applyBorder="1" applyAlignment="1" applyProtection="1">
      <alignment horizontal="center" vertical="center"/>
      <protection hidden="1"/>
    </xf>
    <xf numFmtId="0" fontId="36" fillId="11" borderId="32" xfId="0" applyFont="1" applyFill="1" applyBorder="1" applyAlignment="1" applyProtection="1">
      <alignment horizontal="center"/>
      <protection hidden="1"/>
    </xf>
    <xf numFmtId="0" fontId="17" fillId="4" borderId="15" xfId="0" applyFont="1" applyFill="1" applyBorder="1" applyAlignment="1">
      <alignment horizontal="center"/>
    </xf>
    <xf numFmtId="0" fontId="17" fillId="4" borderId="13" xfId="0" applyFont="1" applyFill="1" applyBorder="1" applyAlignment="1">
      <alignment horizontal="center"/>
    </xf>
    <xf numFmtId="0" fontId="17" fillId="4" borderId="14" xfId="0" applyFont="1" applyFill="1" applyBorder="1" applyAlignment="1">
      <alignment horizontal="center"/>
    </xf>
    <xf numFmtId="0" fontId="26" fillId="11" borderId="13" xfId="0" applyFont="1" applyFill="1" applyBorder="1" applyAlignment="1" applyProtection="1">
      <alignment horizontal="center"/>
      <protection hidden="1"/>
    </xf>
    <xf numFmtId="49" fontId="49" fillId="11" borderId="7" xfId="0" applyNumberFormat="1" applyFont="1" applyFill="1" applyBorder="1" applyAlignment="1" applyProtection="1">
      <alignment horizontal="center" vertical="center"/>
      <protection hidden="1"/>
    </xf>
    <xf numFmtId="166" fontId="45" fillId="11" borderId="13" xfId="0" applyNumberFormat="1" applyFont="1" applyFill="1" applyBorder="1" applyAlignment="1" applyProtection="1">
      <alignment horizontal="center"/>
      <protection hidden="1"/>
    </xf>
    <xf numFmtId="0" fontId="42" fillId="11" borderId="5" xfId="0" applyFont="1" applyFill="1" applyBorder="1" applyAlignment="1" applyProtection="1">
      <alignment horizontal="center"/>
      <protection hidden="1"/>
    </xf>
    <xf numFmtId="0" fontId="7" fillId="0" borderId="32" xfId="0" applyFont="1" applyBorder="1" applyAlignment="1" applyProtection="1">
      <alignment wrapText="1"/>
    </xf>
    <xf numFmtId="0" fontId="7" fillId="0" borderId="32" xfId="0" applyFont="1" applyBorder="1" applyAlignment="1">
      <alignment wrapText="1"/>
    </xf>
    <xf numFmtId="1" fontId="0" fillId="0" borderId="0" xfId="0" applyNumberFormat="1"/>
    <xf numFmtId="1" fontId="13" fillId="0" borderId="0" xfId="0" applyNumberFormat="1" applyFont="1" applyBorder="1" applyAlignment="1" applyProtection="1">
      <alignment horizontal="center"/>
      <protection locked="0"/>
    </xf>
    <xf numFmtId="1" fontId="13" fillId="0" borderId="10" xfId="0" applyNumberFormat="1" applyFont="1" applyBorder="1" applyAlignment="1" applyProtection="1">
      <alignment horizontal="center"/>
      <protection locked="0"/>
    </xf>
    <xf numFmtId="1" fontId="13" fillId="0" borderId="28" xfId="0" applyNumberFormat="1" applyFont="1" applyBorder="1" applyAlignment="1" applyProtection="1">
      <alignment horizontal="center"/>
      <protection locked="0"/>
    </xf>
  </cellXfs>
  <cellStyles count="5">
    <cellStyle name="Comma" xfId="4" builtinId="3"/>
    <cellStyle name="Hyperlink" xfId="3" builtinId="8"/>
    <cellStyle name="Normal" xfId="0" builtinId="0"/>
    <cellStyle name="Normal_median slope trials.xls" xfId="1" xr:uid="{00000000-0005-0000-0000-000003000000}"/>
    <cellStyle name="Percent" xfId="2" builtinId="5"/>
  </cellStyles>
  <dxfs count="56">
    <dxf>
      <fill>
        <patternFill patternType="solid">
          <bgColor indexed="13"/>
        </patternFill>
      </fill>
      <border>
        <left style="thin">
          <color indexed="64"/>
        </left>
        <right style="thin">
          <color indexed="64"/>
        </right>
        <top style="thin">
          <color indexed="64"/>
        </top>
        <bottom style="thin">
          <color indexed="64"/>
        </bottom>
      </border>
    </dxf>
    <dxf>
      <fill>
        <patternFill patternType="solid">
          <bgColor indexed="13"/>
        </patternFill>
      </fill>
      <border>
        <left style="thin">
          <color indexed="64"/>
        </left>
        <right style="thin">
          <color indexed="64"/>
        </right>
        <top style="thin">
          <color indexed="64"/>
        </top>
        <bottom style="thin">
          <color indexed="64"/>
        </bottom>
      </border>
    </dxf>
    <dxf>
      <fill>
        <patternFill>
          <bgColor indexed="43"/>
        </patternFill>
      </fill>
    </dxf>
    <dxf>
      <fill>
        <patternFill>
          <bgColor indexed="22"/>
        </patternFill>
      </fill>
    </dxf>
    <dxf>
      <fill>
        <patternFill>
          <bgColor indexed="43"/>
        </patternFill>
      </fill>
    </dxf>
    <dxf>
      <fill>
        <patternFill>
          <bgColor indexed="22"/>
        </patternFill>
      </fill>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
      <fill>
        <patternFill>
          <bgColor indexed="41"/>
        </patternFill>
      </fill>
      <border>
        <top style="thin">
          <color indexed="10"/>
        </top>
      </border>
    </dxf>
    <dxf>
      <fill>
        <patternFill>
          <bgColor indexed="43"/>
        </patternFill>
      </fill>
    </dxf>
    <dxf>
      <fill>
        <patternFill>
          <bgColor indexed="22"/>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5AAEC6"/>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33CC"/>
      <color rgb="FF008000"/>
      <color rgb="FFB8FBFE"/>
      <color rgb="FFF8082A"/>
      <color rgb="FFFF0066"/>
      <color rgb="FFFFFF99"/>
      <color rgb="FF900000"/>
      <color rgb="FF67C638"/>
      <color rgb="FFFFFF66"/>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calcChain" Target="calcChain.xml"/><Relationship Id="rId3" Type="http://schemas.openxmlformats.org/officeDocument/2006/relationships/chartsheet" Target="chartsheets/sheet1.xml"/><Relationship Id="rId7" Type="http://schemas.openxmlformats.org/officeDocument/2006/relationships/worksheet" Target="worksheets/sheet5.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sharedStrings" Target="sharedStrings.xml"/><Relationship Id="rId5" Type="http://schemas.openxmlformats.org/officeDocument/2006/relationships/worksheet" Target="worksheets/sheet3.xml"/><Relationship Id="rId10" Type="http://schemas.openxmlformats.org/officeDocument/2006/relationships/styles" Target="styles.xml"/><Relationship Id="rId4" Type="http://schemas.openxmlformats.org/officeDocument/2006/relationships/chartsheet" Target="chartsheets/sheet2.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79680272278532"/>
          <c:y val="0.1324477014630597"/>
          <c:w val="0.80425531914893622"/>
          <c:h val="0.72159090909090906"/>
        </c:manualLayout>
      </c:layout>
      <c:scatterChart>
        <c:scatterStyle val="lineMarker"/>
        <c:varyColors val="0"/>
        <c:ser>
          <c:idx val="118"/>
          <c:order val="0"/>
          <c:tx>
            <c:v>Ac_Series</c:v>
          </c:tx>
          <c:spPr>
            <a:ln w="12700">
              <a:noFill/>
              <a:prstDash val="solid"/>
            </a:ln>
          </c:spPr>
          <c:marker>
            <c:symbol val="circle"/>
            <c:size val="5"/>
            <c:spPr>
              <a:solidFill>
                <a:srgbClr val="0033CC"/>
              </a:solidFill>
              <a:ln w="9525">
                <a:noFill/>
              </a:ln>
            </c:spPr>
          </c:marker>
          <c:dPt>
            <c:idx val="0"/>
            <c:bubble3D val="0"/>
            <c:spPr>
              <a:ln w="3175">
                <a:noFill/>
                <a:prstDash val="solid"/>
              </a:ln>
            </c:spPr>
            <c:extLst>
              <c:ext xmlns:c16="http://schemas.microsoft.com/office/drawing/2014/chart" uri="{C3380CC4-5D6E-409C-BE32-E72D297353CC}">
                <c16:uniqueId val="{00000001-6533-4801-91F4-C60974D7FA9E}"/>
              </c:ext>
            </c:extLst>
          </c:dPt>
          <c:dPt>
            <c:idx val="1"/>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03-6533-4801-91F4-C60974D7FA9E}"/>
              </c:ext>
            </c:extLst>
          </c:dPt>
          <c:dPt>
            <c:idx val="2"/>
            <c:bubble3D val="0"/>
            <c:spPr>
              <a:ln w="3175">
                <a:noFill/>
                <a:prstDash val="solid"/>
              </a:ln>
            </c:spPr>
            <c:extLst>
              <c:ext xmlns:c16="http://schemas.microsoft.com/office/drawing/2014/chart" uri="{C3380CC4-5D6E-409C-BE32-E72D297353CC}">
                <c16:uniqueId val="{00000005-6533-4801-91F4-C60974D7FA9E}"/>
              </c:ext>
            </c:extLst>
          </c:dPt>
          <c:dPt>
            <c:idx val="3"/>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07-6533-4801-91F4-C60974D7FA9E}"/>
              </c:ext>
            </c:extLst>
          </c:dPt>
          <c:dPt>
            <c:idx val="4"/>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09-6533-4801-91F4-C60974D7FA9E}"/>
              </c:ext>
            </c:extLst>
          </c:dPt>
          <c:dPt>
            <c:idx val="5"/>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0B-6533-4801-91F4-C60974D7FA9E}"/>
              </c:ext>
            </c:extLst>
          </c:dPt>
          <c:dPt>
            <c:idx val="6"/>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0D-6533-4801-91F4-C60974D7FA9E}"/>
              </c:ext>
            </c:extLst>
          </c:dPt>
          <c:dPt>
            <c:idx val="7"/>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0F-6533-4801-91F4-C60974D7FA9E}"/>
              </c:ext>
            </c:extLst>
          </c:dPt>
          <c:dPt>
            <c:idx val="8"/>
            <c:marker>
              <c:spPr>
                <a:solidFill>
                  <a:srgbClr val="0033CC"/>
                </a:solidFill>
                <a:ln>
                  <a:noFill/>
                  <a:prstDash val="solid"/>
                </a:ln>
              </c:spPr>
            </c:marker>
            <c:bubble3D val="0"/>
            <c:spPr>
              <a:ln w="25400">
                <a:noFill/>
              </a:ln>
            </c:spPr>
            <c:extLst>
              <c:ext xmlns:c16="http://schemas.microsoft.com/office/drawing/2014/chart" uri="{C3380CC4-5D6E-409C-BE32-E72D297353CC}">
                <c16:uniqueId val="{00000011-6533-4801-91F4-C60974D7FA9E}"/>
              </c:ext>
            </c:extLst>
          </c:dPt>
          <c:dPt>
            <c:idx val="9"/>
            <c:marker>
              <c:spPr>
                <a:solidFill>
                  <a:srgbClr val="0033CC"/>
                </a:solidFill>
                <a:ln w="9525">
                  <a:solidFill>
                    <a:srgbClr val="000000"/>
                  </a:solidFill>
                </a:ln>
              </c:spPr>
            </c:marker>
            <c:bubble3D val="0"/>
            <c:spPr>
              <a:ln w="25400">
                <a:noFill/>
              </a:ln>
            </c:spPr>
            <c:extLst>
              <c:ext xmlns:c16="http://schemas.microsoft.com/office/drawing/2014/chart" uri="{C3380CC4-5D6E-409C-BE32-E72D297353CC}">
                <c16:uniqueId val="{00000013-6533-4801-91F4-C60974D7FA9E}"/>
              </c:ext>
            </c:extLst>
          </c:dPt>
          <c:dPt>
            <c:idx val="10"/>
            <c:bubble3D val="0"/>
            <c:spPr>
              <a:ln w="3175">
                <a:noFill/>
                <a:prstDash val="solid"/>
              </a:ln>
            </c:spPr>
            <c:extLst>
              <c:ext xmlns:c16="http://schemas.microsoft.com/office/drawing/2014/chart" uri="{C3380CC4-5D6E-409C-BE32-E72D297353CC}">
                <c16:uniqueId val="{00000015-6533-4801-91F4-C60974D7FA9E}"/>
              </c:ext>
            </c:extLst>
          </c:dPt>
          <c:dPt>
            <c:idx val="11"/>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17-6533-4801-91F4-C60974D7FA9E}"/>
              </c:ext>
            </c:extLst>
          </c:dPt>
          <c:dPt>
            <c:idx val="12"/>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19-6533-4801-91F4-C60974D7FA9E}"/>
              </c:ext>
            </c:extLst>
          </c:dPt>
          <c:dPt>
            <c:idx val="13"/>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1B-6533-4801-91F4-C60974D7FA9E}"/>
              </c:ext>
            </c:extLst>
          </c:dPt>
          <c:dPt>
            <c:idx val="14"/>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1D-6533-4801-91F4-C60974D7FA9E}"/>
              </c:ext>
            </c:extLst>
          </c:dPt>
          <c:dPt>
            <c:idx val="15"/>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1F-6533-4801-91F4-C60974D7FA9E}"/>
              </c:ext>
            </c:extLst>
          </c:dPt>
          <c:dPt>
            <c:idx val="16"/>
            <c:bubble3D val="0"/>
            <c:spPr>
              <a:ln w="3175">
                <a:noFill/>
                <a:prstDash val="solid"/>
              </a:ln>
            </c:spPr>
            <c:extLst>
              <c:ext xmlns:c16="http://schemas.microsoft.com/office/drawing/2014/chart" uri="{C3380CC4-5D6E-409C-BE32-E72D297353CC}">
                <c16:uniqueId val="{00000021-6533-4801-91F4-C60974D7FA9E}"/>
              </c:ext>
            </c:extLst>
          </c:dPt>
          <c:dPt>
            <c:idx val="17"/>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23-6533-4801-91F4-C60974D7FA9E}"/>
              </c:ext>
            </c:extLst>
          </c:dPt>
          <c:dPt>
            <c:idx val="18"/>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25-6533-4801-91F4-C60974D7FA9E}"/>
              </c:ext>
            </c:extLst>
          </c:dPt>
          <c:dPt>
            <c:idx val="19"/>
            <c:marker>
              <c:spPr>
                <a:solidFill>
                  <a:srgbClr val="0033CC"/>
                </a:solidFill>
                <a:ln>
                  <a:noFill/>
                  <a:prstDash val="solid"/>
                </a:ln>
              </c:spPr>
            </c:marker>
            <c:bubble3D val="0"/>
            <c:spPr>
              <a:ln w="25400">
                <a:noFill/>
              </a:ln>
            </c:spPr>
            <c:extLst>
              <c:ext xmlns:c16="http://schemas.microsoft.com/office/drawing/2014/chart" uri="{C3380CC4-5D6E-409C-BE32-E72D297353CC}">
                <c16:uniqueId val="{00000027-6533-4801-91F4-C60974D7FA9E}"/>
              </c:ext>
            </c:extLst>
          </c:dPt>
          <c:dPt>
            <c:idx val="20"/>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29-6533-4801-91F4-C60974D7FA9E}"/>
              </c:ext>
            </c:extLst>
          </c:dPt>
          <c:dPt>
            <c:idx val="21"/>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2B-6533-4801-91F4-C60974D7FA9E}"/>
              </c:ext>
            </c:extLst>
          </c:dPt>
          <c:dPt>
            <c:idx val="22"/>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2D-6533-4801-91F4-C60974D7FA9E}"/>
              </c:ext>
            </c:extLst>
          </c:dPt>
          <c:dPt>
            <c:idx val="23"/>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2F-6533-4801-91F4-C60974D7FA9E}"/>
              </c:ext>
            </c:extLst>
          </c:dPt>
          <c:dPt>
            <c:idx val="24"/>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31-6533-4801-91F4-C60974D7FA9E}"/>
              </c:ext>
            </c:extLst>
          </c:dPt>
          <c:dPt>
            <c:idx val="25"/>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33-6533-4801-91F4-C60974D7FA9E}"/>
              </c:ext>
            </c:extLst>
          </c:dPt>
          <c:dPt>
            <c:idx val="26"/>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35-6533-4801-91F4-C60974D7FA9E}"/>
              </c:ext>
            </c:extLst>
          </c:dPt>
          <c:dPt>
            <c:idx val="27"/>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37-6533-4801-91F4-C60974D7FA9E}"/>
              </c:ext>
            </c:extLst>
          </c:dPt>
          <c:dPt>
            <c:idx val="28"/>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39-6533-4801-91F4-C60974D7FA9E}"/>
              </c:ext>
            </c:extLst>
          </c:dPt>
          <c:dPt>
            <c:idx val="29"/>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3B-6533-4801-91F4-C60974D7FA9E}"/>
              </c:ext>
            </c:extLst>
          </c:dPt>
          <c:dPt>
            <c:idx val="30"/>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3D-6533-4801-91F4-C60974D7FA9E}"/>
              </c:ext>
            </c:extLst>
          </c:dPt>
          <c:dPt>
            <c:idx val="31"/>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3F-6533-4801-91F4-C60974D7FA9E}"/>
              </c:ext>
            </c:extLst>
          </c:dPt>
          <c:dPt>
            <c:idx val="32"/>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41-6533-4801-91F4-C60974D7FA9E}"/>
              </c:ext>
            </c:extLst>
          </c:dPt>
          <c:dPt>
            <c:idx val="33"/>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43-6533-4801-91F4-C60974D7FA9E}"/>
              </c:ext>
            </c:extLst>
          </c:dPt>
          <c:dPt>
            <c:idx val="34"/>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45-6533-4801-91F4-C60974D7FA9E}"/>
              </c:ext>
            </c:extLst>
          </c:dPt>
          <c:dPt>
            <c:idx val="35"/>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47-6533-4801-91F4-C60974D7FA9E}"/>
              </c:ext>
            </c:extLst>
          </c:dPt>
          <c:dPt>
            <c:idx val="36"/>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49-6533-4801-91F4-C60974D7FA9E}"/>
              </c:ext>
            </c:extLst>
          </c:dPt>
          <c:dPt>
            <c:idx val="37"/>
            <c:marker>
              <c:spPr>
                <a:solidFill>
                  <a:srgbClr val="0033CC"/>
                </a:solidFill>
                <a:ln>
                  <a:noFill/>
                  <a:prstDash val="solid"/>
                </a:ln>
              </c:spPr>
            </c:marker>
            <c:bubble3D val="0"/>
            <c:spPr>
              <a:ln w="3175">
                <a:noFill/>
                <a:prstDash val="solid"/>
              </a:ln>
            </c:spPr>
            <c:extLst>
              <c:ext xmlns:c16="http://schemas.microsoft.com/office/drawing/2014/chart" uri="{C3380CC4-5D6E-409C-BE32-E72D297353CC}">
                <c16:uniqueId val="{0000004B-6533-4801-91F4-C60974D7FA9E}"/>
              </c:ext>
            </c:extLst>
          </c:dPt>
          <c:dPt>
            <c:idx val="38"/>
            <c:marker>
              <c:spPr>
                <a:solidFill>
                  <a:srgbClr val="0033CC"/>
                </a:solidFill>
                <a:ln w="9525">
                  <a:solidFill>
                    <a:srgbClr val="000000"/>
                  </a:solidFill>
                </a:ln>
              </c:spPr>
            </c:marker>
            <c:bubble3D val="0"/>
            <c:spPr>
              <a:ln w="3175">
                <a:noFill/>
                <a:prstDash val="solid"/>
              </a:ln>
            </c:spPr>
            <c:extLst>
              <c:ext xmlns:c16="http://schemas.microsoft.com/office/drawing/2014/chart" uri="{C3380CC4-5D6E-409C-BE32-E72D297353CC}">
                <c16:uniqueId val="{0000004D-6533-4801-91F4-C60974D7FA9E}"/>
              </c:ext>
            </c:extLst>
          </c:dPt>
          <c:dPt>
            <c:idx val="39"/>
            <c:bubble3D val="0"/>
            <c:spPr>
              <a:ln w="3175">
                <a:noFill/>
                <a:prstDash val="solid"/>
              </a:ln>
            </c:spPr>
            <c:extLst>
              <c:ext xmlns:c16="http://schemas.microsoft.com/office/drawing/2014/chart" uri="{C3380CC4-5D6E-409C-BE32-E72D297353CC}">
                <c16:uniqueId val="{0000004F-6533-4801-91F4-C60974D7FA9E}"/>
              </c:ext>
            </c:extLst>
          </c:dPt>
          <c:dPt>
            <c:idx val="40"/>
            <c:bubble3D val="0"/>
            <c:spPr>
              <a:ln w="3175">
                <a:noFill/>
                <a:prstDash val="solid"/>
              </a:ln>
            </c:spPr>
            <c:extLst>
              <c:ext xmlns:c16="http://schemas.microsoft.com/office/drawing/2014/chart" uri="{C3380CC4-5D6E-409C-BE32-E72D297353CC}">
                <c16:uniqueId val="{00000051-6533-4801-91F4-C60974D7FA9E}"/>
              </c:ext>
            </c:extLst>
          </c:dPt>
          <c:dPt>
            <c:idx val="41"/>
            <c:marker>
              <c:spPr>
                <a:solidFill>
                  <a:srgbClr val="0033CC"/>
                </a:solidFill>
                <a:ln w="9525">
                  <a:solidFill>
                    <a:srgbClr val="000000"/>
                  </a:solidFill>
                </a:ln>
              </c:spPr>
            </c:marker>
            <c:bubble3D val="0"/>
            <c:spPr>
              <a:ln w="3175">
                <a:noFill/>
                <a:prstDash val="solid"/>
              </a:ln>
            </c:spPr>
            <c:extLst>
              <c:ext xmlns:c16="http://schemas.microsoft.com/office/drawing/2014/chart" uri="{C3380CC4-5D6E-409C-BE32-E72D297353CC}">
                <c16:uniqueId val="{00000053-6533-4801-91F4-C60974D7FA9E}"/>
              </c:ext>
            </c:extLst>
          </c:dPt>
          <c:dPt>
            <c:idx val="42"/>
            <c:bubble3D val="0"/>
            <c:spPr>
              <a:ln w="3175">
                <a:noFill/>
                <a:prstDash val="solid"/>
              </a:ln>
            </c:spPr>
            <c:extLst>
              <c:ext xmlns:c16="http://schemas.microsoft.com/office/drawing/2014/chart" uri="{C3380CC4-5D6E-409C-BE32-E72D297353CC}">
                <c16:uniqueId val="{00000055-6533-4801-91F4-C60974D7FA9E}"/>
              </c:ext>
            </c:extLst>
          </c:dPt>
          <c:dPt>
            <c:idx val="43"/>
            <c:bubble3D val="0"/>
            <c:spPr>
              <a:ln w="3175">
                <a:noFill/>
                <a:prstDash val="solid"/>
              </a:ln>
            </c:spPr>
            <c:extLst>
              <c:ext xmlns:c16="http://schemas.microsoft.com/office/drawing/2014/chart" uri="{C3380CC4-5D6E-409C-BE32-E72D297353CC}">
                <c16:uniqueId val="{00000057-6533-4801-91F4-C60974D7FA9E}"/>
              </c:ext>
            </c:extLst>
          </c:dPt>
          <c:dPt>
            <c:idx val="44"/>
            <c:bubble3D val="0"/>
            <c:spPr>
              <a:ln w="3175">
                <a:noFill/>
                <a:prstDash val="solid"/>
              </a:ln>
            </c:spPr>
            <c:extLst>
              <c:ext xmlns:c16="http://schemas.microsoft.com/office/drawing/2014/chart" uri="{C3380CC4-5D6E-409C-BE32-E72D297353CC}">
                <c16:uniqueId val="{00000059-6533-4801-91F4-C60974D7FA9E}"/>
              </c:ext>
            </c:extLst>
          </c:dPt>
          <c:dPt>
            <c:idx val="45"/>
            <c:bubble3D val="0"/>
            <c:spPr>
              <a:ln w="3175">
                <a:noFill/>
                <a:prstDash val="solid"/>
              </a:ln>
            </c:spPr>
            <c:extLst>
              <c:ext xmlns:c16="http://schemas.microsoft.com/office/drawing/2014/chart" uri="{C3380CC4-5D6E-409C-BE32-E72D297353CC}">
                <c16:uniqueId val="{0000005B-6533-4801-91F4-C60974D7FA9E}"/>
              </c:ext>
            </c:extLst>
          </c:dPt>
          <c:dPt>
            <c:idx val="46"/>
            <c:bubble3D val="0"/>
            <c:spPr>
              <a:ln w="3175">
                <a:noFill/>
                <a:prstDash val="solid"/>
              </a:ln>
            </c:spPr>
            <c:extLst>
              <c:ext xmlns:c16="http://schemas.microsoft.com/office/drawing/2014/chart" uri="{C3380CC4-5D6E-409C-BE32-E72D297353CC}">
                <c16:uniqueId val="{0000005D-6533-4801-91F4-C60974D7FA9E}"/>
              </c:ext>
            </c:extLst>
          </c:dPt>
          <c:dPt>
            <c:idx val="47"/>
            <c:bubble3D val="0"/>
            <c:spPr>
              <a:ln w="3175">
                <a:noFill/>
                <a:prstDash val="solid"/>
              </a:ln>
            </c:spPr>
            <c:extLst>
              <c:ext xmlns:c16="http://schemas.microsoft.com/office/drawing/2014/chart" uri="{C3380CC4-5D6E-409C-BE32-E72D297353CC}">
                <c16:uniqueId val="{0000005F-6533-4801-91F4-C60974D7FA9E}"/>
              </c:ext>
            </c:extLst>
          </c:dPt>
          <c:dPt>
            <c:idx val="48"/>
            <c:bubble3D val="0"/>
            <c:spPr>
              <a:ln w="3175">
                <a:noFill/>
                <a:prstDash val="solid"/>
              </a:ln>
            </c:spPr>
            <c:extLst>
              <c:ext xmlns:c16="http://schemas.microsoft.com/office/drawing/2014/chart" uri="{C3380CC4-5D6E-409C-BE32-E72D297353CC}">
                <c16:uniqueId val="{00000061-6533-4801-91F4-C60974D7FA9E}"/>
              </c:ext>
            </c:extLst>
          </c:dPt>
          <c:dPt>
            <c:idx val="49"/>
            <c:bubble3D val="0"/>
            <c:spPr>
              <a:ln w="3175">
                <a:noFill/>
                <a:prstDash val="solid"/>
              </a:ln>
            </c:spPr>
            <c:extLst>
              <c:ext xmlns:c16="http://schemas.microsoft.com/office/drawing/2014/chart" uri="{C3380CC4-5D6E-409C-BE32-E72D297353CC}">
                <c16:uniqueId val="{00000063-6533-4801-91F4-C60974D7FA9E}"/>
              </c:ext>
            </c:extLst>
          </c:dPt>
          <c:dPt>
            <c:idx val="50"/>
            <c:bubble3D val="0"/>
            <c:spPr>
              <a:ln w="3175">
                <a:noFill/>
                <a:prstDash val="solid"/>
              </a:ln>
            </c:spPr>
            <c:extLst>
              <c:ext xmlns:c16="http://schemas.microsoft.com/office/drawing/2014/chart" uri="{C3380CC4-5D6E-409C-BE32-E72D297353CC}">
                <c16:uniqueId val="{00000065-6533-4801-91F4-C60974D7FA9E}"/>
              </c:ext>
            </c:extLst>
          </c:dPt>
          <c:dPt>
            <c:idx val="51"/>
            <c:bubble3D val="0"/>
            <c:spPr>
              <a:ln w="3175">
                <a:noFill/>
                <a:prstDash val="solid"/>
              </a:ln>
            </c:spPr>
            <c:extLst>
              <c:ext xmlns:c16="http://schemas.microsoft.com/office/drawing/2014/chart" uri="{C3380CC4-5D6E-409C-BE32-E72D297353CC}">
                <c16:uniqueId val="{00000067-6533-4801-91F4-C60974D7FA9E}"/>
              </c:ext>
            </c:extLst>
          </c:dPt>
          <c:dPt>
            <c:idx val="52"/>
            <c:bubble3D val="0"/>
            <c:spPr>
              <a:ln w="3175">
                <a:noFill/>
                <a:prstDash val="solid"/>
              </a:ln>
            </c:spPr>
            <c:extLst>
              <c:ext xmlns:c16="http://schemas.microsoft.com/office/drawing/2014/chart" uri="{C3380CC4-5D6E-409C-BE32-E72D297353CC}">
                <c16:uniqueId val="{00000069-6533-4801-91F4-C60974D7FA9E}"/>
              </c:ext>
            </c:extLst>
          </c:dPt>
          <c:dPt>
            <c:idx val="53"/>
            <c:bubble3D val="0"/>
            <c:spPr>
              <a:ln w="3175">
                <a:noFill/>
                <a:prstDash val="solid"/>
              </a:ln>
            </c:spPr>
            <c:extLst>
              <c:ext xmlns:c16="http://schemas.microsoft.com/office/drawing/2014/chart" uri="{C3380CC4-5D6E-409C-BE32-E72D297353CC}">
                <c16:uniqueId val="{0000006B-6533-4801-91F4-C60974D7FA9E}"/>
              </c:ext>
            </c:extLst>
          </c:dPt>
          <c:dPt>
            <c:idx val="54"/>
            <c:bubble3D val="0"/>
            <c:spPr>
              <a:ln w="3175">
                <a:noFill/>
                <a:prstDash val="solid"/>
              </a:ln>
            </c:spPr>
            <c:extLst>
              <c:ext xmlns:c16="http://schemas.microsoft.com/office/drawing/2014/chart" uri="{C3380CC4-5D6E-409C-BE32-E72D297353CC}">
                <c16:uniqueId val="{0000006D-6533-4801-91F4-C60974D7FA9E}"/>
              </c:ext>
            </c:extLst>
          </c:dPt>
          <c:dPt>
            <c:idx val="55"/>
            <c:bubble3D val="0"/>
            <c:spPr>
              <a:ln w="3175">
                <a:noFill/>
                <a:prstDash val="solid"/>
              </a:ln>
            </c:spPr>
            <c:extLst>
              <c:ext xmlns:c16="http://schemas.microsoft.com/office/drawing/2014/chart" uri="{C3380CC4-5D6E-409C-BE32-E72D297353CC}">
                <c16:uniqueId val="{0000006F-6533-4801-91F4-C60974D7FA9E}"/>
              </c:ext>
            </c:extLst>
          </c:dPt>
          <c:dPt>
            <c:idx val="56"/>
            <c:bubble3D val="0"/>
            <c:spPr>
              <a:ln w="3175">
                <a:noFill/>
                <a:prstDash val="solid"/>
              </a:ln>
            </c:spPr>
            <c:extLst>
              <c:ext xmlns:c16="http://schemas.microsoft.com/office/drawing/2014/chart" uri="{C3380CC4-5D6E-409C-BE32-E72D297353CC}">
                <c16:uniqueId val="{00000071-6533-4801-91F4-C60974D7FA9E}"/>
              </c:ext>
            </c:extLst>
          </c:dPt>
          <c:dPt>
            <c:idx val="57"/>
            <c:bubble3D val="0"/>
            <c:spPr>
              <a:ln w="3175">
                <a:noFill/>
                <a:prstDash val="solid"/>
              </a:ln>
            </c:spPr>
            <c:extLst>
              <c:ext xmlns:c16="http://schemas.microsoft.com/office/drawing/2014/chart" uri="{C3380CC4-5D6E-409C-BE32-E72D297353CC}">
                <c16:uniqueId val="{00000073-6533-4801-91F4-C60974D7FA9E}"/>
              </c:ext>
            </c:extLst>
          </c:dPt>
          <c:dPt>
            <c:idx val="58"/>
            <c:bubble3D val="0"/>
            <c:spPr>
              <a:ln w="3175">
                <a:noFill/>
                <a:prstDash val="solid"/>
              </a:ln>
            </c:spPr>
            <c:extLst>
              <c:ext xmlns:c16="http://schemas.microsoft.com/office/drawing/2014/chart" uri="{C3380CC4-5D6E-409C-BE32-E72D297353CC}">
                <c16:uniqueId val="{00000075-6533-4801-91F4-C60974D7FA9E}"/>
              </c:ext>
            </c:extLst>
          </c:dPt>
          <c:dPt>
            <c:idx val="59"/>
            <c:bubble3D val="0"/>
            <c:spPr>
              <a:ln w="3175">
                <a:noFill/>
                <a:prstDash val="solid"/>
              </a:ln>
            </c:spPr>
            <c:extLst>
              <c:ext xmlns:c16="http://schemas.microsoft.com/office/drawing/2014/chart" uri="{C3380CC4-5D6E-409C-BE32-E72D297353CC}">
                <c16:uniqueId val="{00000077-6533-4801-91F4-C60974D7FA9E}"/>
              </c:ext>
            </c:extLst>
          </c:dPt>
          <c:dPt>
            <c:idx val="60"/>
            <c:bubble3D val="0"/>
            <c:spPr>
              <a:ln w="3175">
                <a:noFill/>
                <a:prstDash val="solid"/>
              </a:ln>
            </c:spPr>
            <c:extLst>
              <c:ext xmlns:c16="http://schemas.microsoft.com/office/drawing/2014/chart" uri="{C3380CC4-5D6E-409C-BE32-E72D297353CC}">
                <c16:uniqueId val="{00000079-6533-4801-91F4-C60974D7FA9E}"/>
              </c:ext>
            </c:extLst>
          </c:dPt>
          <c:dPt>
            <c:idx val="61"/>
            <c:bubble3D val="0"/>
            <c:spPr>
              <a:ln w="3175">
                <a:noFill/>
                <a:prstDash val="solid"/>
              </a:ln>
            </c:spPr>
            <c:extLst>
              <c:ext xmlns:c16="http://schemas.microsoft.com/office/drawing/2014/chart" uri="{C3380CC4-5D6E-409C-BE32-E72D297353CC}">
                <c16:uniqueId val="{0000007B-6533-4801-91F4-C60974D7FA9E}"/>
              </c:ext>
            </c:extLst>
          </c:dPt>
          <c:dPt>
            <c:idx val="62"/>
            <c:bubble3D val="0"/>
            <c:spPr>
              <a:ln w="3175">
                <a:noFill/>
                <a:prstDash val="solid"/>
              </a:ln>
            </c:spPr>
            <c:extLst>
              <c:ext xmlns:c16="http://schemas.microsoft.com/office/drawing/2014/chart" uri="{C3380CC4-5D6E-409C-BE32-E72D297353CC}">
                <c16:uniqueId val="{0000007D-6533-4801-91F4-C60974D7FA9E}"/>
              </c:ext>
            </c:extLst>
          </c:dPt>
          <c:dPt>
            <c:idx val="63"/>
            <c:bubble3D val="0"/>
            <c:spPr>
              <a:ln w="3175">
                <a:noFill/>
                <a:prstDash val="solid"/>
              </a:ln>
            </c:spPr>
            <c:extLst>
              <c:ext xmlns:c16="http://schemas.microsoft.com/office/drawing/2014/chart" uri="{C3380CC4-5D6E-409C-BE32-E72D297353CC}">
                <c16:uniqueId val="{0000007F-6533-4801-91F4-C60974D7FA9E}"/>
              </c:ext>
            </c:extLst>
          </c:dPt>
          <c:dPt>
            <c:idx val="64"/>
            <c:bubble3D val="0"/>
            <c:spPr>
              <a:ln w="3175">
                <a:noFill/>
                <a:prstDash val="solid"/>
              </a:ln>
            </c:spPr>
            <c:extLst>
              <c:ext xmlns:c16="http://schemas.microsoft.com/office/drawing/2014/chart" uri="{C3380CC4-5D6E-409C-BE32-E72D297353CC}">
                <c16:uniqueId val="{00000081-6533-4801-91F4-C60974D7FA9E}"/>
              </c:ext>
            </c:extLst>
          </c:dPt>
          <c:dPt>
            <c:idx val="65"/>
            <c:bubble3D val="0"/>
            <c:spPr>
              <a:ln w="3175">
                <a:noFill/>
                <a:prstDash val="solid"/>
              </a:ln>
            </c:spPr>
            <c:extLst>
              <c:ext xmlns:c16="http://schemas.microsoft.com/office/drawing/2014/chart" uri="{C3380CC4-5D6E-409C-BE32-E72D297353CC}">
                <c16:uniqueId val="{00000083-6533-4801-91F4-C60974D7FA9E}"/>
              </c:ext>
            </c:extLst>
          </c:dPt>
          <c:dPt>
            <c:idx val="66"/>
            <c:bubble3D val="0"/>
            <c:spPr>
              <a:ln w="3175">
                <a:noFill/>
                <a:prstDash val="solid"/>
              </a:ln>
            </c:spPr>
            <c:extLst>
              <c:ext xmlns:c16="http://schemas.microsoft.com/office/drawing/2014/chart" uri="{C3380CC4-5D6E-409C-BE32-E72D297353CC}">
                <c16:uniqueId val="{00000085-6533-4801-91F4-C60974D7FA9E}"/>
              </c:ext>
            </c:extLst>
          </c:dPt>
          <c:dPt>
            <c:idx val="67"/>
            <c:bubble3D val="0"/>
            <c:spPr>
              <a:ln w="3175">
                <a:noFill/>
                <a:prstDash val="solid"/>
              </a:ln>
            </c:spPr>
            <c:extLst>
              <c:ext xmlns:c16="http://schemas.microsoft.com/office/drawing/2014/chart" uri="{C3380CC4-5D6E-409C-BE32-E72D297353CC}">
                <c16:uniqueId val="{00000087-6533-4801-91F4-C60974D7FA9E}"/>
              </c:ext>
            </c:extLst>
          </c:dPt>
          <c:dPt>
            <c:idx val="68"/>
            <c:bubble3D val="0"/>
            <c:spPr>
              <a:ln w="3175">
                <a:noFill/>
                <a:prstDash val="solid"/>
              </a:ln>
            </c:spPr>
            <c:extLst>
              <c:ext xmlns:c16="http://schemas.microsoft.com/office/drawing/2014/chart" uri="{C3380CC4-5D6E-409C-BE32-E72D297353CC}">
                <c16:uniqueId val="{00000089-6533-4801-91F4-C60974D7FA9E}"/>
              </c:ext>
            </c:extLst>
          </c:dPt>
          <c:dPt>
            <c:idx val="69"/>
            <c:bubble3D val="0"/>
            <c:spPr>
              <a:ln w="3175">
                <a:noFill/>
                <a:prstDash val="solid"/>
              </a:ln>
            </c:spPr>
            <c:extLst>
              <c:ext xmlns:c16="http://schemas.microsoft.com/office/drawing/2014/chart" uri="{C3380CC4-5D6E-409C-BE32-E72D297353CC}">
                <c16:uniqueId val="{0000008B-6533-4801-91F4-C60974D7FA9E}"/>
              </c:ext>
            </c:extLst>
          </c:dPt>
          <c:dPt>
            <c:idx val="70"/>
            <c:bubble3D val="0"/>
            <c:spPr>
              <a:ln w="3175">
                <a:noFill/>
                <a:prstDash val="solid"/>
              </a:ln>
            </c:spPr>
            <c:extLst>
              <c:ext xmlns:c16="http://schemas.microsoft.com/office/drawing/2014/chart" uri="{C3380CC4-5D6E-409C-BE32-E72D297353CC}">
                <c16:uniqueId val="{0000008D-6533-4801-91F4-C60974D7FA9E}"/>
              </c:ext>
            </c:extLst>
          </c:dPt>
          <c:dPt>
            <c:idx val="71"/>
            <c:bubble3D val="0"/>
            <c:spPr>
              <a:ln w="3175">
                <a:noFill/>
                <a:prstDash val="solid"/>
              </a:ln>
            </c:spPr>
            <c:extLst>
              <c:ext xmlns:c16="http://schemas.microsoft.com/office/drawing/2014/chart" uri="{C3380CC4-5D6E-409C-BE32-E72D297353CC}">
                <c16:uniqueId val="{0000008F-6533-4801-91F4-C60974D7FA9E}"/>
              </c:ext>
            </c:extLst>
          </c:dPt>
          <c:dPt>
            <c:idx val="72"/>
            <c:bubble3D val="0"/>
            <c:spPr>
              <a:ln w="3175">
                <a:noFill/>
                <a:prstDash val="solid"/>
              </a:ln>
            </c:spPr>
            <c:extLst>
              <c:ext xmlns:c16="http://schemas.microsoft.com/office/drawing/2014/chart" uri="{C3380CC4-5D6E-409C-BE32-E72D297353CC}">
                <c16:uniqueId val="{00000091-6533-4801-91F4-C60974D7FA9E}"/>
              </c:ext>
            </c:extLst>
          </c:dPt>
          <c:dPt>
            <c:idx val="73"/>
            <c:bubble3D val="0"/>
            <c:spPr>
              <a:ln w="3175">
                <a:noFill/>
                <a:prstDash val="solid"/>
              </a:ln>
            </c:spPr>
            <c:extLst>
              <c:ext xmlns:c16="http://schemas.microsoft.com/office/drawing/2014/chart" uri="{C3380CC4-5D6E-409C-BE32-E72D297353CC}">
                <c16:uniqueId val="{00000093-6533-4801-91F4-C60974D7FA9E}"/>
              </c:ext>
            </c:extLst>
          </c:dPt>
          <c:dPt>
            <c:idx val="74"/>
            <c:bubble3D val="0"/>
            <c:spPr>
              <a:ln w="3175">
                <a:noFill/>
                <a:prstDash val="solid"/>
              </a:ln>
            </c:spPr>
            <c:extLst>
              <c:ext xmlns:c16="http://schemas.microsoft.com/office/drawing/2014/chart" uri="{C3380CC4-5D6E-409C-BE32-E72D297353CC}">
                <c16:uniqueId val="{00000095-6533-4801-91F4-C60974D7FA9E}"/>
              </c:ext>
            </c:extLst>
          </c:dPt>
          <c:dPt>
            <c:idx val="75"/>
            <c:bubble3D val="0"/>
            <c:spPr>
              <a:ln w="3175">
                <a:noFill/>
                <a:prstDash val="solid"/>
              </a:ln>
            </c:spPr>
            <c:extLst>
              <c:ext xmlns:c16="http://schemas.microsoft.com/office/drawing/2014/chart" uri="{C3380CC4-5D6E-409C-BE32-E72D297353CC}">
                <c16:uniqueId val="{00000097-6533-4801-91F4-C60974D7FA9E}"/>
              </c:ext>
            </c:extLst>
          </c:dPt>
          <c:dPt>
            <c:idx val="76"/>
            <c:bubble3D val="0"/>
            <c:spPr>
              <a:ln w="3175">
                <a:noFill/>
                <a:prstDash val="solid"/>
              </a:ln>
            </c:spPr>
            <c:extLst>
              <c:ext xmlns:c16="http://schemas.microsoft.com/office/drawing/2014/chart" uri="{C3380CC4-5D6E-409C-BE32-E72D297353CC}">
                <c16:uniqueId val="{00000099-6533-4801-91F4-C60974D7FA9E}"/>
              </c:ext>
            </c:extLst>
          </c:dPt>
          <c:dPt>
            <c:idx val="77"/>
            <c:bubble3D val="0"/>
            <c:spPr>
              <a:ln w="3175">
                <a:noFill/>
                <a:prstDash val="solid"/>
              </a:ln>
            </c:spPr>
            <c:extLst>
              <c:ext xmlns:c16="http://schemas.microsoft.com/office/drawing/2014/chart" uri="{C3380CC4-5D6E-409C-BE32-E72D297353CC}">
                <c16:uniqueId val="{0000009B-6533-4801-91F4-C60974D7FA9E}"/>
              </c:ext>
            </c:extLst>
          </c:dPt>
          <c:dPt>
            <c:idx val="78"/>
            <c:bubble3D val="0"/>
            <c:spPr>
              <a:ln w="3175">
                <a:noFill/>
                <a:prstDash val="solid"/>
              </a:ln>
            </c:spPr>
            <c:extLst>
              <c:ext xmlns:c16="http://schemas.microsoft.com/office/drawing/2014/chart" uri="{C3380CC4-5D6E-409C-BE32-E72D297353CC}">
                <c16:uniqueId val="{0000009D-6533-4801-91F4-C60974D7FA9E}"/>
              </c:ext>
            </c:extLst>
          </c:dPt>
          <c:dPt>
            <c:idx val="79"/>
            <c:bubble3D val="0"/>
            <c:spPr>
              <a:ln w="3175">
                <a:noFill/>
                <a:prstDash val="solid"/>
              </a:ln>
            </c:spPr>
            <c:extLst>
              <c:ext xmlns:c16="http://schemas.microsoft.com/office/drawing/2014/chart" uri="{C3380CC4-5D6E-409C-BE32-E72D297353CC}">
                <c16:uniqueId val="{0000009F-6533-4801-91F4-C60974D7FA9E}"/>
              </c:ext>
            </c:extLst>
          </c:dPt>
          <c:dPt>
            <c:idx val="80"/>
            <c:bubble3D val="0"/>
            <c:spPr>
              <a:ln w="3175">
                <a:noFill/>
                <a:prstDash val="solid"/>
              </a:ln>
            </c:spPr>
            <c:extLst>
              <c:ext xmlns:c16="http://schemas.microsoft.com/office/drawing/2014/chart" uri="{C3380CC4-5D6E-409C-BE32-E72D297353CC}">
                <c16:uniqueId val="{000000A1-6533-4801-91F4-C60974D7FA9E}"/>
              </c:ext>
            </c:extLst>
          </c:dPt>
          <c:dPt>
            <c:idx val="81"/>
            <c:bubble3D val="0"/>
            <c:spPr>
              <a:ln w="3175">
                <a:noFill/>
                <a:prstDash val="solid"/>
              </a:ln>
            </c:spPr>
            <c:extLst>
              <c:ext xmlns:c16="http://schemas.microsoft.com/office/drawing/2014/chart" uri="{C3380CC4-5D6E-409C-BE32-E72D297353CC}">
                <c16:uniqueId val="{000000A3-6533-4801-91F4-C60974D7FA9E}"/>
              </c:ext>
            </c:extLst>
          </c:dPt>
          <c:dPt>
            <c:idx val="82"/>
            <c:bubble3D val="0"/>
            <c:spPr>
              <a:ln w="3175">
                <a:noFill/>
                <a:prstDash val="solid"/>
              </a:ln>
            </c:spPr>
            <c:extLst>
              <c:ext xmlns:c16="http://schemas.microsoft.com/office/drawing/2014/chart" uri="{C3380CC4-5D6E-409C-BE32-E72D297353CC}">
                <c16:uniqueId val="{000000A5-6533-4801-91F4-C60974D7FA9E}"/>
              </c:ext>
            </c:extLst>
          </c:dPt>
          <c:dPt>
            <c:idx val="83"/>
            <c:bubble3D val="0"/>
            <c:spPr>
              <a:ln w="3175">
                <a:noFill/>
                <a:prstDash val="solid"/>
              </a:ln>
            </c:spPr>
            <c:extLst>
              <c:ext xmlns:c16="http://schemas.microsoft.com/office/drawing/2014/chart" uri="{C3380CC4-5D6E-409C-BE32-E72D297353CC}">
                <c16:uniqueId val="{000000A7-6533-4801-91F4-C60974D7FA9E}"/>
              </c:ext>
            </c:extLst>
          </c:dPt>
          <c:dPt>
            <c:idx val="84"/>
            <c:bubble3D val="0"/>
            <c:spPr>
              <a:ln w="3175">
                <a:noFill/>
                <a:prstDash val="solid"/>
              </a:ln>
            </c:spPr>
            <c:extLst>
              <c:ext xmlns:c16="http://schemas.microsoft.com/office/drawing/2014/chart" uri="{C3380CC4-5D6E-409C-BE32-E72D297353CC}">
                <c16:uniqueId val="{000000A9-6533-4801-91F4-C60974D7FA9E}"/>
              </c:ext>
            </c:extLst>
          </c:dPt>
          <c:dPt>
            <c:idx val="85"/>
            <c:bubble3D val="0"/>
            <c:spPr>
              <a:ln w="3175">
                <a:noFill/>
                <a:prstDash val="solid"/>
              </a:ln>
            </c:spPr>
            <c:extLst>
              <c:ext xmlns:c16="http://schemas.microsoft.com/office/drawing/2014/chart" uri="{C3380CC4-5D6E-409C-BE32-E72D297353CC}">
                <c16:uniqueId val="{000000AB-6533-4801-91F4-C60974D7FA9E}"/>
              </c:ext>
            </c:extLst>
          </c:dPt>
          <c:dPt>
            <c:idx val="86"/>
            <c:bubble3D val="0"/>
            <c:spPr>
              <a:ln w="3175">
                <a:noFill/>
                <a:prstDash val="solid"/>
              </a:ln>
            </c:spPr>
            <c:extLst>
              <c:ext xmlns:c16="http://schemas.microsoft.com/office/drawing/2014/chart" uri="{C3380CC4-5D6E-409C-BE32-E72D297353CC}">
                <c16:uniqueId val="{000000AD-6533-4801-91F4-C60974D7FA9E}"/>
              </c:ext>
            </c:extLst>
          </c:dPt>
          <c:dPt>
            <c:idx val="87"/>
            <c:bubble3D val="0"/>
            <c:spPr>
              <a:ln w="3175">
                <a:noFill/>
                <a:prstDash val="solid"/>
              </a:ln>
            </c:spPr>
            <c:extLst>
              <c:ext xmlns:c16="http://schemas.microsoft.com/office/drawing/2014/chart" uri="{C3380CC4-5D6E-409C-BE32-E72D297353CC}">
                <c16:uniqueId val="{000000AF-6533-4801-91F4-C60974D7FA9E}"/>
              </c:ext>
            </c:extLst>
          </c:dPt>
          <c:dPt>
            <c:idx val="88"/>
            <c:bubble3D val="0"/>
            <c:spPr>
              <a:ln w="3175">
                <a:noFill/>
                <a:prstDash val="solid"/>
              </a:ln>
            </c:spPr>
            <c:extLst>
              <c:ext xmlns:c16="http://schemas.microsoft.com/office/drawing/2014/chart" uri="{C3380CC4-5D6E-409C-BE32-E72D297353CC}">
                <c16:uniqueId val="{000000B1-6533-4801-91F4-C60974D7FA9E}"/>
              </c:ext>
            </c:extLst>
          </c:dPt>
          <c:dPt>
            <c:idx val="89"/>
            <c:bubble3D val="0"/>
            <c:spPr>
              <a:ln w="3175">
                <a:noFill/>
                <a:prstDash val="solid"/>
              </a:ln>
            </c:spPr>
            <c:extLst>
              <c:ext xmlns:c16="http://schemas.microsoft.com/office/drawing/2014/chart" uri="{C3380CC4-5D6E-409C-BE32-E72D297353CC}">
                <c16:uniqueId val="{000000B3-6533-4801-91F4-C60974D7FA9E}"/>
              </c:ext>
            </c:extLst>
          </c:dPt>
          <c:dPt>
            <c:idx val="90"/>
            <c:bubble3D val="0"/>
            <c:spPr>
              <a:ln w="3175">
                <a:noFill/>
                <a:prstDash val="solid"/>
              </a:ln>
            </c:spPr>
            <c:extLst>
              <c:ext xmlns:c16="http://schemas.microsoft.com/office/drawing/2014/chart" uri="{C3380CC4-5D6E-409C-BE32-E72D297353CC}">
                <c16:uniqueId val="{000000B5-6533-4801-91F4-C60974D7FA9E}"/>
              </c:ext>
            </c:extLst>
          </c:dPt>
          <c:dPt>
            <c:idx val="91"/>
            <c:bubble3D val="0"/>
            <c:spPr>
              <a:ln w="3175">
                <a:noFill/>
                <a:prstDash val="solid"/>
              </a:ln>
            </c:spPr>
            <c:extLst>
              <c:ext xmlns:c16="http://schemas.microsoft.com/office/drawing/2014/chart" uri="{C3380CC4-5D6E-409C-BE32-E72D297353CC}">
                <c16:uniqueId val="{000000B7-6533-4801-91F4-C60974D7FA9E}"/>
              </c:ext>
            </c:extLst>
          </c:dPt>
          <c:dPt>
            <c:idx val="92"/>
            <c:bubble3D val="0"/>
            <c:spPr>
              <a:ln w="3175">
                <a:noFill/>
                <a:prstDash val="solid"/>
              </a:ln>
            </c:spPr>
            <c:extLst>
              <c:ext xmlns:c16="http://schemas.microsoft.com/office/drawing/2014/chart" uri="{C3380CC4-5D6E-409C-BE32-E72D297353CC}">
                <c16:uniqueId val="{000000B9-6533-4801-91F4-C60974D7FA9E}"/>
              </c:ext>
            </c:extLst>
          </c:dPt>
          <c:dPt>
            <c:idx val="93"/>
            <c:bubble3D val="0"/>
            <c:spPr>
              <a:ln w="3175">
                <a:noFill/>
                <a:prstDash val="solid"/>
              </a:ln>
            </c:spPr>
            <c:extLst>
              <c:ext xmlns:c16="http://schemas.microsoft.com/office/drawing/2014/chart" uri="{C3380CC4-5D6E-409C-BE32-E72D297353CC}">
                <c16:uniqueId val="{000000BB-6533-4801-91F4-C60974D7FA9E}"/>
              </c:ext>
            </c:extLst>
          </c:dPt>
          <c:dPt>
            <c:idx val="94"/>
            <c:bubble3D val="0"/>
            <c:spPr>
              <a:ln w="3175">
                <a:noFill/>
                <a:prstDash val="solid"/>
              </a:ln>
            </c:spPr>
            <c:extLst>
              <c:ext xmlns:c16="http://schemas.microsoft.com/office/drawing/2014/chart" uri="{C3380CC4-5D6E-409C-BE32-E72D297353CC}">
                <c16:uniqueId val="{000000BD-6533-4801-91F4-C60974D7FA9E}"/>
              </c:ext>
            </c:extLst>
          </c:dPt>
          <c:dPt>
            <c:idx val="95"/>
            <c:bubble3D val="0"/>
            <c:spPr>
              <a:ln w="3175">
                <a:noFill/>
                <a:prstDash val="solid"/>
              </a:ln>
            </c:spPr>
            <c:extLst>
              <c:ext xmlns:c16="http://schemas.microsoft.com/office/drawing/2014/chart" uri="{C3380CC4-5D6E-409C-BE32-E72D297353CC}">
                <c16:uniqueId val="{000000BF-6533-4801-91F4-C60974D7FA9E}"/>
              </c:ext>
            </c:extLst>
          </c:dPt>
          <c:dPt>
            <c:idx val="96"/>
            <c:bubble3D val="0"/>
            <c:spPr>
              <a:ln w="3175">
                <a:noFill/>
                <a:prstDash val="solid"/>
              </a:ln>
            </c:spPr>
            <c:extLst>
              <c:ext xmlns:c16="http://schemas.microsoft.com/office/drawing/2014/chart" uri="{C3380CC4-5D6E-409C-BE32-E72D297353CC}">
                <c16:uniqueId val="{000000C1-6533-4801-91F4-C60974D7FA9E}"/>
              </c:ext>
            </c:extLst>
          </c:dPt>
          <c:dPt>
            <c:idx val="97"/>
            <c:bubble3D val="0"/>
            <c:spPr>
              <a:ln w="3175">
                <a:noFill/>
                <a:prstDash val="solid"/>
              </a:ln>
            </c:spPr>
            <c:extLst>
              <c:ext xmlns:c16="http://schemas.microsoft.com/office/drawing/2014/chart" uri="{C3380CC4-5D6E-409C-BE32-E72D297353CC}">
                <c16:uniqueId val="{000000C3-6533-4801-91F4-C60974D7FA9E}"/>
              </c:ext>
            </c:extLst>
          </c:dPt>
          <c:dPt>
            <c:idx val="98"/>
            <c:bubble3D val="0"/>
            <c:spPr>
              <a:ln w="3175">
                <a:noFill/>
                <a:prstDash val="solid"/>
              </a:ln>
            </c:spPr>
            <c:extLst>
              <c:ext xmlns:c16="http://schemas.microsoft.com/office/drawing/2014/chart" uri="{C3380CC4-5D6E-409C-BE32-E72D297353CC}">
                <c16:uniqueId val="{000000C5-6533-4801-91F4-C60974D7FA9E}"/>
              </c:ext>
            </c:extLst>
          </c:dPt>
          <c:dPt>
            <c:idx val="99"/>
            <c:bubble3D val="0"/>
            <c:spPr>
              <a:ln w="3175">
                <a:noFill/>
                <a:prstDash val="solid"/>
              </a:ln>
            </c:spPr>
            <c:extLst>
              <c:ext xmlns:c16="http://schemas.microsoft.com/office/drawing/2014/chart" uri="{C3380CC4-5D6E-409C-BE32-E72D297353CC}">
                <c16:uniqueId val="{000000C7-6533-4801-91F4-C60974D7FA9E}"/>
              </c:ext>
            </c:extLst>
          </c:dPt>
          <c:dPt>
            <c:idx val="100"/>
            <c:bubble3D val="0"/>
            <c:spPr>
              <a:ln w="3175">
                <a:noFill/>
                <a:prstDash val="solid"/>
              </a:ln>
            </c:spPr>
            <c:extLst>
              <c:ext xmlns:c16="http://schemas.microsoft.com/office/drawing/2014/chart" uri="{C3380CC4-5D6E-409C-BE32-E72D297353CC}">
                <c16:uniqueId val="{000000C9-6533-4801-91F4-C60974D7FA9E}"/>
              </c:ext>
            </c:extLst>
          </c:dPt>
          <c:dPt>
            <c:idx val="101"/>
            <c:bubble3D val="0"/>
            <c:spPr>
              <a:ln w="3175">
                <a:noFill/>
                <a:prstDash val="solid"/>
              </a:ln>
            </c:spPr>
            <c:extLst>
              <c:ext xmlns:c16="http://schemas.microsoft.com/office/drawing/2014/chart" uri="{C3380CC4-5D6E-409C-BE32-E72D297353CC}">
                <c16:uniqueId val="{000000CB-6533-4801-91F4-C60974D7FA9E}"/>
              </c:ext>
            </c:extLst>
          </c:dPt>
          <c:dPt>
            <c:idx val="102"/>
            <c:bubble3D val="0"/>
            <c:spPr>
              <a:ln w="3175">
                <a:noFill/>
                <a:prstDash val="solid"/>
              </a:ln>
            </c:spPr>
            <c:extLst>
              <c:ext xmlns:c16="http://schemas.microsoft.com/office/drawing/2014/chart" uri="{C3380CC4-5D6E-409C-BE32-E72D297353CC}">
                <c16:uniqueId val="{000000CD-6533-4801-91F4-C60974D7FA9E}"/>
              </c:ext>
            </c:extLst>
          </c:dPt>
          <c:dPt>
            <c:idx val="103"/>
            <c:bubble3D val="0"/>
            <c:spPr>
              <a:ln w="3175">
                <a:noFill/>
                <a:prstDash val="solid"/>
              </a:ln>
            </c:spPr>
            <c:extLst>
              <c:ext xmlns:c16="http://schemas.microsoft.com/office/drawing/2014/chart" uri="{C3380CC4-5D6E-409C-BE32-E72D297353CC}">
                <c16:uniqueId val="{000000CF-6533-4801-91F4-C60974D7FA9E}"/>
              </c:ext>
            </c:extLst>
          </c:dPt>
          <c:dPt>
            <c:idx val="104"/>
            <c:bubble3D val="0"/>
            <c:spPr>
              <a:ln w="3175">
                <a:noFill/>
                <a:prstDash val="solid"/>
              </a:ln>
            </c:spPr>
            <c:extLst>
              <c:ext xmlns:c16="http://schemas.microsoft.com/office/drawing/2014/chart" uri="{C3380CC4-5D6E-409C-BE32-E72D297353CC}">
                <c16:uniqueId val="{000000D1-6533-4801-91F4-C60974D7FA9E}"/>
              </c:ext>
            </c:extLst>
          </c:dPt>
          <c:dPt>
            <c:idx val="105"/>
            <c:bubble3D val="0"/>
            <c:spPr>
              <a:ln w="3175">
                <a:noFill/>
                <a:prstDash val="solid"/>
              </a:ln>
            </c:spPr>
            <c:extLst>
              <c:ext xmlns:c16="http://schemas.microsoft.com/office/drawing/2014/chart" uri="{C3380CC4-5D6E-409C-BE32-E72D297353CC}">
                <c16:uniqueId val="{000000D3-6533-4801-91F4-C60974D7FA9E}"/>
              </c:ext>
            </c:extLst>
          </c:dPt>
          <c:dPt>
            <c:idx val="106"/>
            <c:bubble3D val="0"/>
            <c:spPr>
              <a:ln w="3175">
                <a:noFill/>
                <a:prstDash val="solid"/>
              </a:ln>
            </c:spPr>
            <c:extLst>
              <c:ext xmlns:c16="http://schemas.microsoft.com/office/drawing/2014/chart" uri="{C3380CC4-5D6E-409C-BE32-E72D297353CC}">
                <c16:uniqueId val="{000000D5-6533-4801-91F4-C60974D7FA9E}"/>
              </c:ext>
            </c:extLst>
          </c:dPt>
          <c:dPt>
            <c:idx val="107"/>
            <c:bubble3D val="0"/>
            <c:spPr>
              <a:ln w="3175">
                <a:noFill/>
                <a:prstDash val="solid"/>
              </a:ln>
            </c:spPr>
            <c:extLst>
              <c:ext xmlns:c16="http://schemas.microsoft.com/office/drawing/2014/chart" uri="{C3380CC4-5D6E-409C-BE32-E72D297353CC}">
                <c16:uniqueId val="{000000D7-6533-4801-91F4-C60974D7FA9E}"/>
              </c:ext>
            </c:extLst>
          </c:dPt>
          <c:dPt>
            <c:idx val="108"/>
            <c:bubble3D val="0"/>
            <c:spPr>
              <a:ln w="3175">
                <a:noFill/>
                <a:prstDash val="solid"/>
              </a:ln>
            </c:spPr>
            <c:extLst>
              <c:ext xmlns:c16="http://schemas.microsoft.com/office/drawing/2014/chart" uri="{C3380CC4-5D6E-409C-BE32-E72D297353CC}">
                <c16:uniqueId val="{000000D9-6533-4801-91F4-C60974D7FA9E}"/>
              </c:ext>
            </c:extLst>
          </c:dPt>
          <c:dPt>
            <c:idx val="109"/>
            <c:bubble3D val="0"/>
            <c:spPr>
              <a:ln w="3175">
                <a:noFill/>
                <a:prstDash val="solid"/>
              </a:ln>
            </c:spPr>
            <c:extLst>
              <c:ext xmlns:c16="http://schemas.microsoft.com/office/drawing/2014/chart" uri="{C3380CC4-5D6E-409C-BE32-E72D297353CC}">
                <c16:uniqueId val="{000000DB-6533-4801-91F4-C60974D7FA9E}"/>
              </c:ext>
            </c:extLst>
          </c:dPt>
          <c:dPt>
            <c:idx val="110"/>
            <c:bubble3D val="0"/>
            <c:spPr>
              <a:ln w="3175">
                <a:noFill/>
                <a:prstDash val="solid"/>
              </a:ln>
            </c:spPr>
            <c:extLst>
              <c:ext xmlns:c16="http://schemas.microsoft.com/office/drawing/2014/chart" uri="{C3380CC4-5D6E-409C-BE32-E72D297353CC}">
                <c16:uniqueId val="{000000DD-6533-4801-91F4-C60974D7FA9E}"/>
              </c:ext>
            </c:extLst>
          </c:dPt>
          <c:dPt>
            <c:idx val="111"/>
            <c:bubble3D val="0"/>
            <c:spPr>
              <a:ln w="3175">
                <a:noFill/>
                <a:prstDash val="solid"/>
              </a:ln>
            </c:spPr>
            <c:extLst>
              <c:ext xmlns:c16="http://schemas.microsoft.com/office/drawing/2014/chart" uri="{C3380CC4-5D6E-409C-BE32-E72D297353CC}">
                <c16:uniqueId val="{000000DF-6533-4801-91F4-C60974D7FA9E}"/>
              </c:ext>
            </c:extLst>
          </c:dPt>
          <c:dPt>
            <c:idx val="112"/>
            <c:bubble3D val="0"/>
            <c:spPr>
              <a:ln w="3175">
                <a:noFill/>
                <a:prstDash val="solid"/>
              </a:ln>
            </c:spPr>
            <c:extLst>
              <c:ext xmlns:c16="http://schemas.microsoft.com/office/drawing/2014/chart" uri="{C3380CC4-5D6E-409C-BE32-E72D297353CC}">
                <c16:uniqueId val="{000000E1-6533-4801-91F4-C60974D7FA9E}"/>
              </c:ext>
            </c:extLst>
          </c:dPt>
          <c:dPt>
            <c:idx val="113"/>
            <c:bubble3D val="0"/>
            <c:spPr>
              <a:ln w="3175">
                <a:noFill/>
                <a:prstDash val="solid"/>
              </a:ln>
            </c:spPr>
            <c:extLst>
              <c:ext xmlns:c16="http://schemas.microsoft.com/office/drawing/2014/chart" uri="{C3380CC4-5D6E-409C-BE32-E72D297353CC}">
                <c16:uniqueId val="{000000E3-6533-4801-91F4-C60974D7FA9E}"/>
              </c:ext>
            </c:extLst>
          </c:dPt>
          <c:dPt>
            <c:idx val="114"/>
            <c:bubble3D val="0"/>
            <c:spPr>
              <a:ln w="3175">
                <a:noFill/>
                <a:prstDash val="solid"/>
              </a:ln>
            </c:spPr>
            <c:extLst>
              <c:ext xmlns:c16="http://schemas.microsoft.com/office/drawing/2014/chart" uri="{C3380CC4-5D6E-409C-BE32-E72D297353CC}">
                <c16:uniqueId val="{000000E5-6533-4801-91F4-C60974D7FA9E}"/>
              </c:ext>
            </c:extLst>
          </c:dPt>
          <c:dPt>
            <c:idx val="115"/>
            <c:bubble3D val="0"/>
            <c:spPr>
              <a:ln w="3175">
                <a:noFill/>
                <a:prstDash val="solid"/>
              </a:ln>
            </c:spPr>
            <c:extLst>
              <c:ext xmlns:c16="http://schemas.microsoft.com/office/drawing/2014/chart" uri="{C3380CC4-5D6E-409C-BE32-E72D297353CC}">
                <c16:uniqueId val="{000000E7-6533-4801-91F4-C60974D7FA9E}"/>
              </c:ext>
            </c:extLst>
          </c:dPt>
          <c:dPt>
            <c:idx val="116"/>
            <c:bubble3D val="0"/>
            <c:spPr>
              <a:ln w="3175">
                <a:noFill/>
                <a:prstDash val="solid"/>
              </a:ln>
            </c:spPr>
            <c:extLst>
              <c:ext xmlns:c16="http://schemas.microsoft.com/office/drawing/2014/chart" uri="{C3380CC4-5D6E-409C-BE32-E72D297353CC}">
                <c16:uniqueId val="{000000E9-6533-4801-91F4-C60974D7FA9E}"/>
              </c:ext>
            </c:extLst>
          </c:dPt>
          <c:dPt>
            <c:idx val="117"/>
            <c:bubble3D val="0"/>
            <c:spPr>
              <a:ln w="3175">
                <a:noFill/>
                <a:prstDash val="solid"/>
              </a:ln>
            </c:spPr>
            <c:extLst>
              <c:ext xmlns:c16="http://schemas.microsoft.com/office/drawing/2014/chart" uri="{C3380CC4-5D6E-409C-BE32-E72D297353CC}">
                <c16:uniqueId val="{000000EB-6533-4801-91F4-C60974D7FA9E}"/>
              </c:ext>
            </c:extLst>
          </c:dPt>
          <c:dPt>
            <c:idx val="118"/>
            <c:bubble3D val="0"/>
            <c:spPr>
              <a:ln w="3175">
                <a:noFill/>
                <a:prstDash val="solid"/>
              </a:ln>
            </c:spPr>
            <c:extLst>
              <c:ext xmlns:c16="http://schemas.microsoft.com/office/drawing/2014/chart" uri="{C3380CC4-5D6E-409C-BE32-E72D297353CC}">
                <c16:uniqueId val="{000000ED-6533-4801-91F4-C60974D7FA9E}"/>
              </c:ext>
            </c:extLst>
          </c:dPt>
          <c:dPt>
            <c:idx val="119"/>
            <c:bubble3D val="0"/>
            <c:spPr>
              <a:ln w="3175">
                <a:noFill/>
                <a:prstDash val="solid"/>
              </a:ln>
            </c:spPr>
            <c:extLst>
              <c:ext xmlns:c16="http://schemas.microsoft.com/office/drawing/2014/chart" uri="{C3380CC4-5D6E-409C-BE32-E72D297353CC}">
                <c16:uniqueId val="{000000EF-6533-4801-91F4-C60974D7FA9E}"/>
              </c:ext>
            </c:extLst>
          </c:dPt>
          <c:dPt>
            <c:idx val="120"/>
            <c:bubble3D val="0"/>
            <c:spPr>
              <a:ln w="3175">
                <a:noFill/>
                <a:prstDash val="solid"/>
              </a:ln>
            </c:spPr>
            <c:extLst>
              <c:ext xmlns:c16="http://schemas.microsoft.com/office/drawing/2014/chart" uri="{C3380CC4-5D6E-409C-BE32-E72D297353CC}">
                <c16:uniqueId val="{000000F1-6533-4801-91F4-C60974D7FA9E}"/>
              </c:ext>
            </c:extLst>
          </c:dPt>
          <c:dPt>
            <c:idx val="121"/>
            <c:bubble3D val="0"/>
            <c:spPr>
              <a:ln w="3175">
                <a:noFill/>
                <a:prstDash val="solid"/>
              </a:ln>
            </c:spPr>
            <c:extLst>
              <c:ext xmlns:c16="http://schemas.microsoft.com/office/drawing/2014/chart" uri="{C3380CC4-5D6E-409C-BE32-E72D297353CC}">
                <c16:uniqueId val="{000000F3-6533-4801-91F4-C60974D7FA9E}"/>
              </c:ext>
            </c:extLst>
          </c:dPt>
          <c:dPt>
            <c:idx val="122"/>
            <c:bubble3D val="0"/>
            <c:spPr>
              <a:ln w="3175">
                <a:noFill/>
                <a:prstDash val="solid"/>
              </a:ln>
            </c:spPr>
            <c:extLst>
              <c:ext xmlns:c16="http://schemas.microsoft.com/office/drawing/2014/chart" uri="{C3380CC4-5D6E-409C-BE32-E72D297353CC}">
                <c16:uniqueId val="{000000F5-6533-4801-91F4-C60974D7FA9E}"/>
              </c:ext>
            </c:extLst>
          </c:dPt>
          <c:dPt>
            <c:idx val="123"/>
            <c:bubble3D val="0"/>
            <c:spPr>
              <a:ln w="3175">
                <a:noFill/>
                <a:prstDash val="solid"/>
              </a:ln>
            </c:spPr>
            <c:extLst>
              <c:ext xmlns:c16="http://schemas.microsoft.com/office/drawing/2014/chart" uri="{C3380CC4-5D6E-409C-BE32-E72D297353CC}">
                <c16:uniqueId val="{000000F7-6533-4801-91F4-C60974D7FA9E}"/>
              </c:ext>
            </c:extLst>
          </c:dPt>
          <c:dPt>
            <c:idx val="124"/>
            <c:bubble3D val="0"/>
            <c:spPr>
              <a:ln w="3175">
                <a:noFill/>
                <a:prstDash val="solid"/>
              </a:ln>
            </c:spPr>
            <c:extLst>
              <c:ext xmlns:c16="http://schemas.microsoft.com/office/drawing/2014/chart" uri="{C3380CC4-5D6E-409C-BE32-E72D297353CC}">
                <c16:uniqueId val="{000000F9-6533-4801-91F4-C60974D7FA9E}"/>
              </c:ext>
            </c:extLst>
          </c:dPt>
          <c:dPt>
            <c:idx val="125"/>
            <c:bubble3D val="0"/>
            <c:spPr>
              <a:ln w="3175">
                <a:noFill/>
                <a:prstDash val="solid"/>
              </a:ln>
            </c:spPr>
            <c:extLst>
              <c:ext xmlns:c16="http://schemas.microsoft.com/office/drawing/2014/chart" uri="{C3380CC4-5D6E-409C-BE32-E72D297353CC}">
                <c16:uniqueId val="{000000FB-6533-4801-91F4-C60974D7FA9E}"/>
              </c:ext>
            </c:extLst>
          </c:dPt>
          <c:dPt>
            <c:idx val="126"/>
            <c:bubble3D val="0"/>
            <c:spPr>
              <a:ln w="3175">
                <a:noFill/>
                <a:prstDash val="solid"/>
              </a:ln>
            </c:spPr>
            <c:extLst>
              <c:ext xmlns:c16="http://schemas.microsoft.com/office/drawing/2014/chart" uri="{C3380CC4-5D6E-409C-BE32-E72D297353CC}">
                <c16:uniqueId val="{000000FD-6533-4801-91F4-C60974D7FA9E}"/>
              </c:ext>
            </c:extLst>
          </c:dPt>
          <c:dPt>
            <c:idx val="127"/>
            <c:bubble3D val="0"/>
            <c:spPr>
              <a:ln w="3175">
                <a:noFill/>
                <a:prstDash val="solid"/>
              </a:ln>
            </c:spPr>
            <c:extLst>
              <c:ext xmlns:c16="http://schemas.microsoft.com/office/drawing/2014/chart" uri="{C3380CC4-5D6E-409C-BE32-E72D297353CC}">
                <c16:uniqueId val="{000000FF-6533-4801-91F4-C60974D7FA9E}"/>
              </c:ext>
            </c:extLst>
          </c:dPt>
          <c:dPt>
            <c:idx val="128"/>
            <c:bubble3D val="0"/>
            <c:spPr>
              <a:ln w="3175">
                <a:noFill/>
                <a:prstDash val="solid"/>
              </a:ln>
            </c:spPr>
            <c:extLst>
              <c:ext xmlns:c16="http://schemas.microsoft.com/office/drawing/2014/chart" uri="{C3380CC4-5D6E-409C-BE32-E72D297353CC}">
                <c16:uniqueId val="{00000101-6533-4801-91F4-C60974D7FA9E}"/>
              </c:ext>
            </c:extLst>
          </c:dPt>
          <c:dPt>
            <c:idx val="129"/>
            <c:bubble3D val="0"/>
            <c:spPr>
              <a:ln w="3175">
                <a:noFill/>
                <a:prstDash val="solid"/>
              </a:ln>
            </c:spPr>
            <c:extLst>
              <c:ext xmlns:c16="http://schemas.microsoft.com/office/drawing/2014/chart" uri="{C3380CC4-5D6E-409C-BE32-E72D297353CC}">
                <c16:uniqueId val="{00000103-6533-4801-91F4-C60974D7FA9E}"/>
              </c:ext>
            </c:extLst>
          </c:dPt>
          <c:dPt>
            <c:idx val="130"/>
            <c:bubble3D val="0"/>
            <c:spPr>
              <a:ln w="3175">
                <a:noFill/>
                <a:prstDash val="solid"/>
              </a:ln>
            </c:spPr>
            <c:extLst>
              <c:ext xmlns:c16="http://schemas.microsoft.com/office/drawing/2014/chart" uri="{C3380CC4-5D6E-409C-BE32-E72D297353CC}">
                <c16:uniqueId val="{00000105-6533-4801-91F4-C60974D7FA9E}"/>
              </c:ext>
            </c:extLst>
          </c:dPt>
          <c:dPt>
            <c:idx val="131"/>
            <c:bubble3D val="0"/>
            <c:spPr>
              <a:ln w="3175">
                <a:noFill/>
                <a:prstDash val="solid"/>
              </a:ln>
            </c:spPr>
            <c:extLst>
              <c:ext xmlns:c16="http://schemas.microsoft.com/office/drawing/2014/chart" uri="{C3380CC4-5D6E-409C-BE32-E72D297353CC}">
                <c16:uniqueId val="{00000107-6533-4801-91F4-C60974D7FA9E}"/>
              </c:ext>
            </c:extLst>
          </c:dPt>
          <c:dPt>
            <c:idx val="132"/>
            <c:bubble3D val="0"/>
            <c:spPr>
              <a:ln w="3175">
                <a:noFill/>
                <a:prstDash val="solid"/>
              </a:ln>
            </c:spPr>
            <c:extLst>
              <c:ext xmlns:c16="http://schemas.microsoft.com/office/drawing/2014/chart" uri="{C3380CC4-5D6E-409C-BE32-E72D297353CC}">
                <c16:uniqueId val="{00000109-6533-4801-91F4-C60974D7FA9E}"/>
              </c:ext>
            </c:extLst>
          </c:dPt>
          <c:dPt>
            <c:idx val="133"/>
            <c:bubble3D val="0"/>
            <c:spPr>
              <a:ln w="3175">
                <a:noFill/>
                <a:prstDash val="solid"/>
              </a:ln>
            </c:spPr>
            <c:extLst>
              <c:ext xmlns:c16="http://schemas.microsoft.com/office/drawing/2014/chart" uri="{C3380CC4-5D6E-409C-BE32-E72D297353CC}">
                <c16:uniqueId val="{0000010B-6533-4801-91F4-C60974D7FA9E}"/>
              </c:ext>
            </c:extLst>
          </c:dPt>
          <c:dPt>
            <c:idx val="134"/>
            <c:bubble3D val="0"/>
            <c:spPr>
              <a:ln w="3175">
                <a:noFill/>
                <a:prstDash val="solid"/>
              </a:ln>
            </c:spPr>
            <c:extLst>
              <c:ext xmlns:c16="http://schemas.microsoft.com/office/drawing/2014/chart" uri="{C3380CC4-5D6E-409C-BE32-E72D297353CC}">
                <c16:uniqueId val="{0000010D-6533-4801-91F4-C60974D7FA9E}"/>
              </c:ext>
            </c:extLst>
          </c:dPt>
          <c:dPt>
            <c:idx val="135"/>
            <c:bubble3D val="0"/>
            <c:spPr>
              <a:ln w="3175">
                <a:noFill/>
                <a:prstDash val="solid"/>
              </a:ln>
            </c:spPr>
            <c:extLst>
              <c:ext xmlns:c16="http://schemas.microsoft.com/office/drawing/2014/chart" uri="{C3380CC4-5D6E-409C-BE32-E72D297353CC}">
                <c16:uniqueId val="{0000010F-6533-4801-91F4-C60974D7FA9E}"/>
              </c:ext>
            </c:extLst>
          </c:dPt>
          <c:dPt>
            <c:idx val="136"/>
            <c:bubble3D val="0"/>
            <c:spPr>
              <a:ln w="3175">
                <a:noFill/>
                <a:prstDash val="solid"/>
              </a:ln>
            </c:spPr>
            <c:extLst>
              <c:ext xmlns:c16="http://schemas.microsoft.com/office/drawing/2014/chart" uri="{C3380CC4-5D6E-409C-BE32-E72D297353CC}">
                <c16:uniqueId val="{00000111-6533-4801-91F4-C60974D7FA9E}"/>
              </c:ext>
            </c:extLst>
          </c:dPt>
          <c:dPt>
            <c:idx val="137"/>
            <c:bubble3D val="0"/>
            <c:spPr>
              <a:ln w="3175">
                <a:noFill/>
                <a:prstDash val="solid"/>
              </a:ln>
            </c:spPr>
            <c:extLst>
              <c:ext xmlns:c16="http://schemas.microsoft.com/office/drawing/2014/chart" uri="{C3380CC4-5D6E-409C-BE32-E72D297353CC}">
                <c16:uniqueId val="{00000113-6533-4801-91F4-C60974D7FA9E}"/>
              </c:ext>
            </c:extLst>
          </c:dPt>
          <c:dPt>
            <c:idx val="138"/>
            <c:bubble3D val="0"/>
            <c:spPr>
              <a:ln w="3175">
                <a:noFill/>
                <a:prstDash val="solid"/>
              </a:ln>
            </c:spPr>
            <c:extLst>
              <c:ext xmlns:c16="http://schemas.microsoft.com/office/drawing/2014/chart" uri="{C3380CC4-5D6E-409C-BE32-E72D297353CC}">
                <c16:uniqueId val="{00000115-6533-4801-91F4-C60974D7FA9E}"/>
              </c:ext>
            </c:extLst>
          </c:dPt>
          <c:dPt>
            <c:idx val="139"/>
            <c:bubble3D val="0"/>
            <c:spPr>
              <a:ln w="3175">
                <a:noFill/>
                <a:prstDash val="solid"/>
              </a:ln>
            </c:spPr>
            <c:extLst>
              <c:ext xmlns:c16="http://schemas.microsoft.com/office/drawing/2014/chart" uri="{C3380CC4-5D6E-409C-BE32-E72D297353CC}">
                <c16:uniqueId val="{00000117-6533-4801-91F4-C60974D7FA9E}"/>
              </c:ext>
            </c:extLst>
          </c:dPt>
          <c:dPt>
            <c:idx val="140"/>
            <c:bubble3D val="0"/>
            <c:spPr>
              <a:ln w="3175">
                <a:noFill/>
                <a:prstDash val="solid"/>
              </a:ln>
            </c:spPr>
            <c:extLst>
              <c:ext xmlns:c16="http://schemas.microsoft.com/office/drawing/2014/chart" uri="{C3380CC4-5D6E-409C-BE32-E72D297353CC}">
                <c16:uniqueId val="{00000119-6533-4801-91F4-C60974D7FA9E}"/>
              </c:ext>
            </c:extLst>
          </c:dPt>
          <c:trendline>
            <c:trendlineType val="log"/>
            <c:dispRSqr val="0"/>
            <c:dispEq val="0"/>
          </c:trendline>
          <c:xVal>
            <c:numRef>
              <c:f>[0]!Day_No</c:f>
              <c:numCache>
                <c:formatCode>General</c:formatCode>
                <c:ptCount val="14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numCache>
            </c:numRef>
          </c:xVal>
          <c:yVal>
            <c:numRef>
              <c:f>[0]!AcRate</c:f>
              <c:numCache>
                <c:formatCode>0.00</c:formatCode>
                <c:ptCount val="1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numCache>
            </c:numRef>
          </c:yVal>
          <c:smooth val="0"/>
          <c:extLst>
            <c:ext xmlns:c16="http://schemas.microsoft.com/office/drawing/2014/chart" uri="{C3380CC4-5D6E-409C-BE32-E72D297353CC}">
              <c16:uniqueId val="{0000011A-6533-4801-91F4-C60974D7FA9E}"/>
            </c:ext>
          </c:extLst>
        </c:ser>
        <c:ser>
          <c:idx val="5"/>
          <c:order val="1"/>
          <c:tx>
            <c:v>Dc_Series</c:v>
          </c:tx>
          <c:spPr>
            <a:ln w="12700">
              <a:noFill/>
              <a:prstDash val="solid"/>
            </a:ln>
          </c:spPr>
          <c:marker>
            <c:symbol val="circle"/>
            <c:size val="5"/>
            <c:spPr>
              <a:solidFill>
                <a:srgbClr val="C00000"/>
              </a:solidFill>
              <a:ln w="12700">
                <a:noFill/>
                <a:prstDash val="solid"/>
              </a:ln>
            </c:spPr>
          </c:marker>
          <c:dPt>
            <c:idx val="0"/>
            <c:marker>
              <c:spPr>
                <a:solidFill>
                  <a:srgbClr val="C00000"/>
                </a:solidFill>
                <a:ln w="12700">
                  <a:noFill/>
                </a:ln>
              </c:spPr>
            </c:marker>
            <c:bubble3D val="0"/>
            <c:spPr>
              <a:ln w="3175">
                <a:noFill/>
                <a:prstDash val="solid"/>
              </a:ln>
            </c:spPr>
            <c:extLst>
              <c:ext xmlns:c16="http://schemas.microsoft.com/office/drawing/2014/chart" uri="{C3380CC4-5D6E-409C-BE32-E72D297353CC}">
                <c16:uniqueId val="{0000011C-6533-4801-91F4-C60974D7FA9E}"/>
              </c:ext>
            </c:extLst>
          </c:dPt>
          <c:dPt>
            <c:idx val="1"/>
            <c:bubble3D val="0"/>
            <c:spPr>
              <a:ln w="3175">
                <a:noFill/>
                <a:prstDash val="solid"/>
              </a:ln>
            </c:spPr>
            <c:extLst>
              <c:ext xmlns:c16="http://schemas.microsoft.com/office/drawing/2014/chart" uri="{C3380CC4-5D6E-409C-BE32-E72D297353CC}">
                <c16:uniqueId val="{0000011E-6533-4801-91F4-C60974D7FA9E}"/>
              </c:ext>
            </c:extLst>
          </c:dPt>
          <c:dPt>
            <c:idx val="2"/>
            <c:bubble3D val="0"/>
            <c:spPr>
              <a:ln w="3175">
                <a:noFill/>
                <a:prstDash val="solid"/>
              </a:ln>
            </c:spPr>
            <c:extLst>
              <c:ext xmlns:c16="http://schemas.microsoft.com/office/drawing/2014/chart" uri="{C3380CC4-5D6E-409C-BE32-E72D297353CC}">
                <c16:uniqueId val="{00000120-6533-4801-91F4-C60974D7FA9E}"/>
              </c:ext>
            </c:extLst>
          </c:dPt>
          <c:dPt>
            <c:idx val="3"/>
            <c:bubble3D val="0"/>
            <c:spPr>
              <a:ln w="3175">
                <a:noFill/>
                <a:prstDash val="solid"/>
              </a:ln>
            </c:spPr>
            <c:extLst>
              <c:ext xmlns:c16="http://schemas.microsoft.com/office/drawing/2014/chart" uri="{C3380CC4-5D6E-409C-BE32-E72D297353CC}">
                <c16:uniqueId val="{00000122-6533-4801-91F4-C60974D7FA9E}"/>
              </c:ext>
            </c:extLst>
          </c:dPt>
          <c:dPt>
            <c:idx val="4"/>
            <c:bubble3D val="0"/>
            <c:spPr>
              <a:ln w="3175">
                <a:noFill/>
                <a:prstDash val="solid"/>
              </a:ln>
            </c:spPr>
            <c:extLst>
              <c:ext xmlns:c16="http://schemas.microsoft.com/office/drawing/2014/chart" uri="{C3380CC4-5D6E-409C-BE32-E72D297353CC}">
                <c16:uniqueId val="{00000124-6533-4801-91F4-C60974D7FA9E}"/>
              </c:ext>
            </c:extLst>
          </c:dPt>
          <c:dPt>
            <c:idx val="5"/>
            <c:bubble3D val="0"/>
            <c:spPr>
              <a:ln w="3175">
                <a:noFill/>
                <a:prstDash val="solid"/>
              </a:ln>
            </c:spPr>
            <c:extLst>
              <c:ext xmlns:c16="http://schemas.microsoft.com/office/drawing/2014/chart" uri="{C3380CC4-5D6E-409C-BE32-E72D297353CC}">
                <c16:uniqueId val="{00000126-6533-4801-91F4-C60974D7FA9E}"/>
              </c:ext>
            </c:extLst>
          </c:dPt>
          <c:dPt>
            <c:idx val="6"/>
            <c:bubble3D val="0"/>
            <c:spPr>
              <a:ln w="3175">
                <a:noFill/>
                <a:prstDash val="solid"/>
              </a:ln>
            </c:spPr>
            <c:extLst>
              <c:ext xmlns:c16="http://schemas.microsoft.com/office/drawing/2014/chart" uri="{C3380CC4-5D6E-409C-BE32-E72D297353CC}">
                <c16:uniqueId val="{00000128-6533-4801-91F4-C60974D7FA9E}"/>
              </c:ext>
            </c:extLst>
          </c:dPt>
          <c:dPt>
            <c:idx val="7"/>
            <c:bubble3D val="0"/>
            <c:spPr>
              <a:ln w="3175">
                <a:noFill/>
                <a:prstDash val="solid"/>
              </a:ln>
            </c:spPr>
            <c:extLst>
              <c:ext xmlns:c16="http://schemas.microsoft.com/office/drawing/2014/chart" uri="{C3380CC4-5D6E-409C-BE32-E72D297353CC}">
                <c16:uniqueId val="{0000012A-6533-4801-91F4-C60974D7FA9E}"/>
              </c:ext>
            </c:extLst>
          </c:dPt>
          <c:dPt>
            <c:idx val="8"/>
            <c:bubble3D val="0"/>
            <c:spPr>
              <a:ln w="3175">
                <a:noFill/>
                <a:prstDash val="solid"/>
              </a:ln>
            </c:spPr>
            <c:extLst>
              <c:ext xmlns:c16="http://schemas.microsoft.com/office/drawing/2014/chart" uri="{C3380CC4-5D6E-409C-BE32-E72D297353CC}">
                <c16:uniqueId val="{0000012C-6533-4801-91F4-C60974D7FA9E}"/>
              </c:ext>
            </c:extLst>
          </c:dPt>
          <c:dPt>
            <c:idx val="9"/>
            <c:bubble3D val="0"/>
            <c:spPr>
              <a:ln w="3175">
                <a:noFill/>
                <a:prstDash val="solid"/>
              </a:ln>
            </c:spPr>
            <c:extLst>
              <c:ext xmlns:c16="http://schemas.microsoft.com/office/drawing/2014/chart" uri="{C3380CC4-5D6E-409C-BE32-E72D297353CC}">
                <c16:uniqueId val="{0000012E-6533-4801-91F4-C60974D7FA9E}"/>
              </c:ext>
            </c:extLst>
          </c:dPt>
          <c:dPt>
            <c:idx val="10"/>
            <c:bubble3D val="0"/>
            <c:spPr>
              <a:ln w="3175">
                <a:noFill/>
                <a:prstDash val="solid"/>
              </a:ln>
            </c:spPr>
            <c:extLst>
              <c:ext xmlns:c16="http://schemas.microsoft.com/office/drawing/2014/chart" uri="{C3380CC4-5D6E-409C-BE32-E72D297353CC}">
                <c16:uniqueId val="{00000130-6533-4801-91F4-C60974D7FA9E}"/>
              </c:ext>
            </c:extLst>
          </c:dPt>
          <c:dPt>
            <c:idx val="11"/>
            <c:bubble3D val="0"/>
            <c:spPr>
              <a:ln w="3175">
                <a:noFill/>
                <a:prstDash val="solid"/>
              </a:ln>
            </c:spPr>
            <c:extLst>
              <c:ext xmlns:c16="http://schemas.microsoft.com/office/drawing/2014/chart" uri="{C3380CC4-5D6E-409C-BE32-E72D297353CC}">
                <c16:uniqueId val="{00000132-6533-4801-91F4-C60974D7FA9E}"/>
              </c:ext>
            </c:extLst>
          </c:dPt>
          <c:dPt>
            <c:idx val="12"/>
            <c:bubble3D val="0"/>
            <c:spPr>
              <a:ln w="3175">
                <a:noFill/>
                <a:prstDash val="solid"/>
              </a:ln>
            </c:spPr>
            <c:extLst>
              <c:ext xmlns:c16="http://schemas.microsoft.com/office/drawing/2014/chart" uri="{C3380CC4-5D6E-409C-BE32-E72D297353CC}">
                <c16:uniqueId val="{00000134-6533-4801-91F4-C60974D7FA9E}"/>
              </c:ext>
            </c:extLst>
          </c:dPt>
          <c:dPt>
            <c:idx val="13"/>
            <c:bubble3D val="0"/>
            <c:spPr>
              <a:ln w="3175">
                <a:noFill/>
                <a:prstDash val="solid"/>
              </a:ln>
            </c:spPr>
            <c:extLst>
              <c:ext xmlns:c16="http://schemas.microsoft.com/office/drawing/2014/chart" uri="{C3380CC4-5D6E-409C-BE32-E72D297353CC}">
                <c16:uniqueId val="{00000136-6533-4801-91F4-C60974D7FA9E}"/>
              </c:ext>
            </c:extLst>
          </c:dPt>
          <c:dPt>
            <c:idx val="14"/>
            <c:bubble3D val="0"/>
            <c:spPr>
              <a:ln w="3175">
                <a:noFill/>
                <a:prstDash val="solid"/>
              </a:ln>
            </c:spPr>
            <c:extLst>
              <c:ext xmlns:c16="http://schemas.microsoft.com/office/drawing/2014/chart" uri="{C3380CC4-5D6E-409C-BE32-E72D297353CC}">
                <c16:uniqueId val="{00000138-6533-4801-91F4-C60974D7FA9E}"/>
              </c:ext>
            </c:extLst>
          </c:dPt>
          <c:dPt>
            <c:idx val="15"/>
            <c:bubble3D val="0"/>
            <c:spPr>
              <a:ln w="25400">
                <a:noFill/>
              </a:ln>
            </c:spPr>
            <c:extLst>
              <c:ext xmlns:c16="http://schemas.microsoft.com/office/drawing/2014/chart" uri="{C3380CC4-5D6E-409C-BE32-E72D297353CC}">
                <c16:uniqueId val="{0000013A-6533-4801-91F4-C60974D7FA9E}"/>
              </c:ext>
            </c:extLst>
          </c:dPt>
          <c:dPt>
            <c:idx val="16"/>
            <c:marker>
              <c:spPr>
                <a:solidFill>
                  <a:srgbClr val="C00000"/>
                </a:solidFill>
                <a:ln w="12700">
                  <a:noFill/>
                </a:ln>
              </c:spPr>
            </c:marker>
            <c:bubble3D val="0"/>
            <c:spPr>
              <a:ln w="25400">
                <a:noFill/>
              </a:ln>
            </c:spPr>
            <c:extLst>
              <c:ext xmlns:c16="http://schemas.microsoft.com/office/drawing/2014/chart" uri="{C3380CC4-5D6E-409C-BE32-E72D297353CC}">
                <c16:uniqueId val="{0000013C-6533-4801-91F4-C60974D7FA9E}"/>
              </c:ext>
            </c:extLst>
          </c:dPt>
          <c:dPt>
            <c:idx val="17"/>
            <c:bubble3D val="0"/>
            <c:spPr>
              <a:ln w="25400">
                <a:noFill/>
              </a:ln>
            </c:spPr>
            <c:extLst>
              <c:ext xmlns:c16="http://schemas.microsoft.com/office/drawing/2014/chart" uri="{C3380CC4-5D6E-409C-BE32-E72D297353CC}">
                <c16:uniqueId val="{0000013E-6533-4801-91F4-C60974D7FA9E}"/>
              </c:ext>
            </c:extLst>
          </c:dPt>
          <c:dPt>
            <c:idx val="18"/>
            <c:bubble3D val="0"/>
            <c:spPr>
              <a:ln w="25400">
                <a:noFill/>
              </a:ln>
            </c:spPr>
            <c:extLst>
              <c:ext xmlns:c16="http://schemas.microsoft.com/office/drawing/2014/chart" uri="{C3380CC4-5D6E-409C-BE32-E72D297353CC}">
                <c16:uniqueId val="{00000140-6533-4801-91F4-C60974D7FA9E}"/>
              </c:ext>
            </c:extLst>
          </c:dPt>
          <c:dPt>
            <c:idx val="19"/>
            <c:bubble3D val="0"/>
            <c:spPr>
              <a:ln w="25400">
                <a:noFill/>
              </a:ln>
            </c:spPr>
            <c:extLst>
              <c:ext xmlns:c16="http://schemas.microsoft.com/office/drawing/2014/chart" uri="{C3380CC4-5D6E-409C-BE32-E72D297353CC}">
                <c16:uniqueId val="{00000142-6533-4801-91F4-C60974D7FA9E}"/>
              </c:ext>
            </c:extLst>
          </c:dPt>
          <c:dPt>
            <c:idx val="20"/>
            <c:bubble3D val="0"/>
            <c:spPr>
              <a:ln w="3175">
                <a:noFill/>
                <a:prstDash val="solid"/>
              </a:ln>
            </c:spPr>
            <c:extLst>
              <c:ext xmlns:c16="http://schemas.microsoft.com/office/drawing/2014/chart" uri="{C3380CC4-5D6E-409C-BE32-E72D297353CC}">
                <c16:uniqueId val="{00000144-6533-4801-91F4-C60974D7FA9E}"/>
              </c:ext>
            </c:extLst>
          </c:dPt>
          <c:dPt>
            <c:idx val="21"/>
            <c:bubble3D val="0"/>
            <c:spPr>
              <a:ln w="3175">
                <a:noFill/>
                <a:prstDash val="solid"/>
              </a:ln>
            </c:spPr>
            <c:extLst>
              <c:ext xmlns:c16="http://schemas.microsoft.com/office/drawing/2014/chart" uri="{C3380CC4-5D6E-409C-BE32-E72D297353CC}">
                <c16:uniqueId val="{00000146-6533-4801-91F4-C60974D7FA9E}"/>
              </c:ext>
            </c:extLst>
          </c:dPt>
          <c:dPt>
            <c:idx val="22"/>
            <c:bubble3D val="0"/>
            <c:spPr>
              <a:ln w="25400">
                <a:noFill/>
              </a:ln>
            </c:spPr>
            <c:extLst>
              <c:ext xmlns:c16="http://schemas.microsoft.com/office/drawing/2014/chart" uri="{C3380CC4-5D6E-409C-BE32-E72D297353CC}">
                <c16:uniqueId val="{00000148-6533-4801-91F4-C60974D7FA9E}"/>
              </c:ext>
            </c:extLst>
          </c:dPt>
          <c:dPt>
            <c:idx val="23"/>
            <c:marker>
              <c:spPr>
                <a:solidFill>
                  <a:srgbClr val="C00000"/>
                </a:solidFill>
                <a:ln w="12700">
                  <a:noFill/>
                </a:ln>
              </c:spPr>
            </c:marker>
            <c:bubble3D val="0"/>
            <c:spPr>
              <a:ln w="25400">
                <a:noFill/>
              </a:ln>
            </c:spPr>
            <c:extLst>
              <c:ext xmlns:c16="http://schemas.microsoft.com/office/drawing/2014/chart" uri="{C3380CC4-5D6E-409C-BE32-E72D297353CC}">
                <c16:uniqueId val="{0000014A-6533-4801-91F4-C60974D7FA9E}"/>
              </c:ext>
            </c:extLst>
          </c:dPt>
          <c:dPt>
            <c:idx val="24"/>
            <c:bubble3D val="0"/>
            <c:spPr>
              <a:ln w="25400">
                <a:noFill/>
              </a:ln>
            </c:spPr>
            <c:extLst>
              <c:ext xmlns:c16="http://schemas.microsoft.com/office/drawing/2014/chart" uri="{C3380CC4-5D6E-409C-BE32-E72D297353CC}">
                <c16:uniqueId val="{0000014C-6533-4801-91F4-C60974D7FA9E}"/>
              </c:ext>
            </c:extLst>
          </c:dPt>
          <c:dPt>
            <c:idx val="25"/>
            <c:bubble3D val="0"/>
            <c:spPr>
              <a:ln w="25400">
                <a:noFill/>
              </a:ln>
            </c:spPr>
            <c:extLst>
              <c:ext xmlns:c16="http://schemas.microsoft.com/office/drawing/2014/chart" uri="{C3380CC4-5D6E-409C-BE32-E72D297353CC}">
                <c16:uniqueId val="{0000014E-6533-4801-91F4-C60974D7FA9E}"/>
              </c:ext>
            </c:extLst>
          </c:dPt>
          <c:dPt>
            <c:idx val="26"/>
            <c:bubble3D val="0"/>
            <c:spPr>
              <a:ln w="25400">
                <a:noFill/>
              </a:ln>
            </c:spPr>
            <c:extLst>
              <c:ext xmlns:c16="http://schemas.microsoft.com/office/drawing/2014/chart" uri="{C3380CC4-5D6E-409C-BE32-E72D297353CC}">
                <c16:uniqueId val="{00000150-6533-4801-91F4-C60974D7FA9E}"/>
              </c:ext>
            </c:extLst>
          </c:dPt>
          <c:dPt>
            <c:idx val="27"/>
            <c:bubble3D val="0"/>
            <c:spPr>
              <a:ln w="25400">
                <a:noFill/>
              </a:ln>
            </c:spPr>
            <c:extLst>
              <c:ext xmlns:c16="http://schemas.microsoft.com/office/drawing/2014/chart" uri="{C3380CC4-5D6E-409C-BE32-E72D297353CC}">
                <c16:uniqueId val="{00000152-6533-4801-91F4-C60974D7FA9E}"/>
              </c:ext>
            </c:extLst>
          </c:dPt>
          <c:dPt>
            <c:idx val="28"/>
            <c:bubble3D val="0"/>
            <c:spPr>
              <a:ln w="3175">
                <a:noFill/>
                <a:prstDash val="solid"/>
              </a:ln>
            </c:spPr>
            <c:extLst>
              <c:ext xmlns:c16="http://schemas.microsoft.com/office/drawing/2014/chart" uri="{C3380CC4-5D6E-409C-BE32-E72D297353CC}">
                <c16:uniqueId val="{00000154-6533-4801-91F4-C60974D7FA9E}"/>
              </c:ext>
            </c:extLst>
          </c:dPt>
          <c:dPt>
            <c:idx val="29"/>
            <c:bubble3D val="0"/>
            <c:spPr>
              <a:ln w="25400">
                <a:noFill/>
              </a:ln>
            </c:spPr>
            <c:extLst>
              <c:ext xmlns:c16="http://schemas.microsoft.com/office/drawing/2014/chart" uri="{C3380CC4-5D6E-409C-BE32-E72D297353CC}">
                <c16:uniqueId val="{00000156-6533-4801-91F4-C60974D7FA9E}"/>
              </c:ext>
            </c:extLst>
          </c:dPt>
          <c:dPt>
            <c:idx val="30"/>
            <c:bubble3D val="0"/>
            <c:spPr>
              <a:ln w="25400">
                <a:noFill/>
              </a:ln>
            </c:spPr>
            <c:extLst>
              <c:ext xmlns:c16="http://schemas.microsoft.com/office/drawing/2014/chart" uri="{C3380CC4-5D6E-409C-BE32-E72D297353CC}">
                <c16:uniqueId val="{00000158-6533-4801-91F4-C60974D7FA9E}"/>
              </c:ext>
            </c:extLst>
          </c:dPt>
          <c:dPt>
            <c:idx val="31"/>
            <c:bubble3D val="0"/>
            <c:spPr>
              <a:ln w="25400">
                <a:noFill/>
              </a:ln>
            </c:spPr>
            <c:extLst>
              <c:ext xmlns:c16="http://schemas.microsoft.com/office/drawing/2014/chart" uri="{C3380CC4-5D6E-409C-BE32-E72D297353CC}">
                <c16:uniqueId val="{0000015A-6533-4801-91F4-C60974D7FA9E}"/>
              </c:ext>
            </c:extLst>
          </c:dPt>
          <c:dPt>
            <c:idx val="32"/>
            <c:bubble3D val="0"/>
            <c:spPr>
              <a:ln w="3175">
                <a:noFill/>
                <a:prstDash val="solid"/>
              </a:ln>
            </c:spPr>
            <c:extLst>
              <c:ext xmlns:c16="http://schemas.microsoft.com/office/drawing/2014/chart" uri="{C3380CC4-5D6E-409C-BE32-E72D297353CC}">
                <c16:uniqueId val="{0000015C-6533-4801-91F4-C60974D7FA9E}"/>
              </c:ext>
            </c:extLst>
          </c:dPt>
          <c:dPt>
            <c:idx val="33"/>
            <c:bubble3D val="0"/>
            <c:spPr>
              <a:ln w="25400">
                <a:noFill/>
              </a:ln>
            </c:spPr>
            <c:extLst>
              <c:ext xmlns:c16="http://schemas.microsoft.com/office/drawing/2014/chart" uri="{C3380CC4-5D6E-409C-BE32-E72D297353CC}">
                <c16:uniqueId val="{0000015E-6533-4801-91F4-C60974D7FA9E}"/>
              </c:ext>
            </c:extLst>
          </c:dPt>
          <c:dPt>
            <c:idx val="34"/>
            <c:bubble3D val="0"/>
            <c:spPr>
              <a:ln w="25400">
                <a:noFill/>
              </a:ln>
            </c:spPr>
            <c:extLst>
              <c:ext xmlns:c16="http://schemas.microsoft.com/office/drawing/2014/chart" uri="{C3380CC4-5D6E-409C-BE32-E72D297353CC}">
                <c16:uniqueId val="{00000160-6533-4801-91F4-C60974D7FA9E}"/>
              </c:ext>
            </c:extLst>
          </c:dPt>
          <c:dPt>
            <c:idx val="35"/>
            <c:bubble3D val="0"/>
            <c:spPr>
              <a:ln w="3175">
                <a:noFill/>
                <a:prstDash val="solid"/>
              </a:ln>
            </c:spPr>
            <c:extLst>
              <c:ext xmlns:c16="http://schemas.microsoft.com/office/drawing/2014/chart" uri="{C3380CC4-5D6E-409C-BE32-E72D297353CC}">
                <c16:uniqueId val="{00000162-6533-4801-91F4-C60974D7FA9E}"/>
              </c:ext>
            </c:extLst>
          </c:dPt>
          <c:dPt>
            <c:idx val="36"/>
            <c:bubble3D val="0"/>
            <c:spPr>
              <a:ln w="3175">
                <a:noFill/>
                <a:prstDash val="solid"/>
              </a:ln>
            </c:spPr>
            <c:extLst>
              <c:ext xmlns:c16="http://schemas.microsoft.com/office/drawing/2014/chart" uri="{C3380CC4-5D6E-409C-BE32-E72D297353CC}">
                <c16:uniqueId val="{00000164-6533-4801-91F4-C60974D7FA9E}"/>
              </c:ext>
            </c:extLst>
          </c:dPt>
          <c:dPt>
            <c:idx val="37"/>
            <c:bubble3D val="0"/>
            <c:spPr>
              <a:ln w="3175">
                <a:noFill/>
                <a:prstDash val="solid"/>
              </a:ln>
            </c:spPr>
            <c:extLst>
              <c:ext xmlns:c16="http://schemas.microsoft.com/office/drawing/2014/chart" uri="{C3380CC4-5D6E-409C-BE32-E72D297353CC}">
                <c16:uniqueId val="{00000166-6533-4801-91F4-C60974D7FA9E}"/>
              </c:ext>
            </c:extLst>
          </c:dPt>
          <c:dPt>
            <c:idx val="38"/>
            <c:bubble3D val="0"/>
            <c:spPr>
              <a:ln w="3175">
                <a:noFill/>
                <a:prstDash val="solid"/>
              </a:ln>
            </c:spPr>
            <c:extLst>
              <c:ext xmlns:c16="http://schemas.microsoft.com/office/drawing/2014/chart" uri="{C3380CC4-5D6E-409C-BE32-E72D297353CC}">
                <c16:uniqueId val="{00000168-6533-4801-91F4-C60974D7FA9E}"/>
              </c:ext>
            </c:extLst>
          </c:dPt>
          <c:dPt>
            <c:idx val="39"/>
            <c:bubble3D val="0"/>
            <c:spPr>
              <a:ln w="3175">
                <a:noFill/>
                <a:prstDash val="solid"/>
              </a:ln>
            </c:spPr>
            <c:extLst>
              <c:ext xmlns:c16="http://schemas.microsoft.com/office/drawing/2014/chart" uri="{C3380CC4-5D6E-409C-BE32-E72D297353CC}">
                <c16:uniqueId val="{0000016A-6533-4801-91F4-C60974D7FA9E}"/>
              </c:ext>
            </c:extLst>
          </c:dPt>
          <c:dPt>
            <c:idx val="40"/>
            <c:bubble3D val="0"/>
            <c:spPr>
              <a:ln w="3175">
                <a:noFill/>
                <a:prstDash val="solid"/>
              </a:ln>
            </c:spPr>
            <c:extLst>
              <c:ext xmlns:c16="http://schemas.microsoft.com/office/drawing/2014/chart" uri="{C3380CC4-5D6E-409C-BE32-E72D297353CC}">
                <c16:uniqueId val="{0000016C-6533-4801-91F4-C60974D7FA9E}"/>
              </c:ext>
            </c:extLst>
          </c:dPt>
          <c:dPt>
            <c:idx val="41"/>
            <c:bubble3D val="0"/>
            <c:spPr>
              <a:ln w="3175">
                <a:noFill/>
                <a:prstDash val="solid"/>
              </a:ln>
            </c:spPr>
            <c:extLst>
              <c:ext xmlns:c16="http://schemas.microsoft.com/office/drawing/2014/chart" uri="{C3380CC4-5D6E-409C-BE32-E72D297353CC}">
                <c16:uniqueId val="{0000016E-6533-4801-91F4-C60974D7FA9E}"/>
              </c:ext>
            </c:extLst>
          </c:dPt>
          <c:dPt>
            <c:idx val="42"/>
            <c:bubble3D val="0"/>
            <c:spPr>
              <a:ln w="3175">
                <a:noFill/>
                <a:prstDash val="solid"/>
              </a:ln>
            </c:spPr>
            <c:extLst>
              <c:ext xmlns:c16="http://schemas.microsoft.com/office/drawing/2014/chart" uri="{C3380CC4-5D6E-409C-BE32-E72D297353CC}">
                <c16:uniqueId val="{00000170-6533-4801-91F4-C60974D7FA9E}"/>
              </c:ext>
            </c:extLst>
          </c:dPt>
          <c:dPt>
            <c:idx val="43"/>
            <c:bubble3D val="0"/>
            <c:spPr>
              <a:ln w="3175">
                <a:noFill/>
                <a:prstDash val="solid"/>
              </a:ln>
            </c:spPr>
            <c:extLst>
              <c:ext xmlns:c16="http://schemas.microsoft.com/office/drawing/2014/chart" uri="{C3380CC4-5D6E-409C-BE32-E72D297353CC}">
                <c16:uniqueId val="{00000172-6533-4801-91F4-C60974D7FA9E}"/>
              </c:ext>
            </c:extLst>
          </c:dPt>
          <c:dPt>
            <c:idx val="44"/>
            <c:bubble3D val="0"/>
            <c:spPr>
              <a:ln w="3175">
                <a:noFill/>
                <a:prstDash val="solid"/>
              </a:ln>
            </c:spPr>
            <c:extLst>
              <c:ext xmlns:c16="http://schemas.microsoft.com/office/drawing/2014/chart" uri="{C3380CC4-5D6E-409C-BE32-E72D297353CC}">
                <c16:uniqueId val="{00000174-6533-4801-91F4-C60974D7FA9E}"/>
              </c:ext>
            </c:extLst>
          </c:dPt>
          <c:dPt>
            <c:idx val="45"/>
            <c:bubble3D val="0"/>
            <c:spPr>
              <a:ln w="3175">
                <a:noFill/>
                <a:prstDash val="solid"/>
              </a:ln>
            </c:spPr>
            <c:extLst>
              <c:ext xmlns:c16="http://schemas.microsoft.com/office/drawing/2014/chart" uri="{C3380CC4-5D6E-409C-BE32-E72D297353CC}">
                <c16:uniqueId val="{00000176-6533-4801-91F4-C60974D7FA9E}"/>
              </c:ext>
            </c:extLst>
          </c:dPt>
          <c:dPt>
            <c:idx val="46"/>
            <c:bubble3D val="0"/>
            <c:spPr>
              <a:ln w="3175">
                <a:noFill/>
                <a:prstDash val="solid"/>
              </a:ln>
            </c:spPr>
            <c:extLst>
              <c:ext xmlns:c16="http://schemas.microsoft.com/office/drawing/2014/chart" uri="{C3380CC4-5D6E-409C-BE32-E72D297353CC}">
                <c16:uniqueId val="{00000178-6533-4801-91F4-C60974D7FA9E}"/>
              </c:ext>
            </c:extLst>
          </c:dPt>
          <c:dPt>
            <c:idx val="47"/>
            <c:bubble3D val="0"/>
            <c:spPr>
              <a:ln w="3175">
                <a:noFill/>
                <a:prstDash val="solid"/>
              </a:ln>
            </c:spPr>
            <c:extLst>
              <c:ext xmlns:c16="http://schemas.microsoft.com/office/drawing/2014/chart" uri="{C3380CC4-5D6E-409C-BE32-E72D297353CC}">
                <c16:uniqueId val="{0000017A-6533-4801-91F4-C60974D7FA9E}"/>
              </c:ext>
            </c:extLst>
          </c:dPt>
          <c:dPt>
            <c:idx val="48"/>
            <c:bubble3D val="0"/>
            <c:spPr>
              <a:ln w="3175">
                <a:noFill/>
                <a:prstDash val="solid"/>
              </a:ln>
            </c:spPr>
            <c:extLst>
              <c:ext xmlns:c16="http://schemas.microsoft.com/office/drawing/2014/chart" uri="{C3380CC4-5D6E-409C-BE32-E72D297353CC}">
                <c16:uniqueId val="{0000017C-6533-4801-91F4-C60974D7FA9E}"/>
              </c:ext>
            </c:extLst>
          </c:dPt>
          <c:dPt>
            <c:idx val="49"/>
            <c:bubble3D val="0"/>
            <c:spPr>
              <a:ln w="3175">
                <a:noFill/>
                <a:prstDash val="solid"/>
              </a:ln>
            </c:spPr>
            <c:extLst>
              <c:ext xmlns:c16="http://schemas.microsoft.com/office/drawing/2014/chart" uri="{C3380CC4-5D6E-409C-BE32-E72D297353CC}">
                <c16:uniqueId val="{0000017E-6533-4801-91F4-C60974D7FA9E}"/>
              </c:ext>
            </c:extLst>
          </c:dPt>
          <c:dPt>
            <c:idx val="50"/>
            <c:bubble3D val="0"/>
            <c:spPr>
              <a:ln w="3175">
                <a:noFill/>
                <a:prstDash val="solid"/>
              </a:ln>
            </c:spPr>
            <c:extLst>
              <c:ext xmlns:c16="http://schemas.microsoft.com/office/drawing/2014/chart" uri="{C3380CC4-5D6E-409C-BE32-E72D297353CC}">
                <c16:uniqueId val="{00000180-6533-4801-91F4-C60974D7FA9E}"/>
              </c:ext>
            </c:extLst>
          </c:dPt>
          <c:dPt>
            <c:idx val="51"/>
            <c:bubble3D val="0"/>
            <c:spPr>
              <a:ln w="3175">
                <a:noFill/>
                <a:prstDash val="solid"/>
              </a:ln>
            </c:spPr>
            <c:extLst>
              <c:ext xmlns:c16="http://schemas.microsoft.com/office/drawing/2014/chart" uri="{C3380CC4-5D6E-409C-BE32-E72D297353CC}">
                <c16:uniqueId val="{00000182-6533-4801-91F4-C60974D7FA9E}"/>
              </c:ext>
            </c:extLst>
          </c:dPt>
          <c:dPt>
            <c:idx val="52"/>
            <c:bubble3D val="0"/>
            <c:spPr>
              <a:ln w="3175">
                <a:noFill/>
                <a:prstDash val="solid"/>
              </a:ln>
            </c:spPr>
            <c:extLst>
              <c:ext xmlns:c16="http://schemas.microsoft.com/office/drawing/2014/chart" uri="{C3380CC4-5D6E-409C-BE32-E72D297353CC}">
                <c16:uniqueId val="{00000184-6533-4801-91F4-C60974D7FA9E}"/>
              </c:ext>
            </c:extLst>
          </c:dPt>
          <c:dPt>
            <c:idx val="53"/>
            <c:bubble3D val="0"/>
            <c:spPr>
              <a:ln w="3175">
                <a:noFill/>
                <a:prstDash val="solid"/>
              </a:ln>
            </c:spPr>
            <c:extLst>
              <c:ext xmlns:c16="http://schemas.microsoft.com/office/drawing/2014/chart" uri="{C3380CC4-5D6E-409C-BE32-E72D297353CC}">
                <c16:uniqueId val="{00000186-6533-4801-91F4-C60974D7FA9E}"/>
              </c:ext>
            </c:extLst>
          </c:dPt>
          <c:dPt>
            <c:idx val="54"/>
            <c:bubble3D val="0"/>
            <c:spPr>
              <a:ln w="3175">
                <a:noFill/>
                <a:prstDash val="solid"/>
              </a:ln>
            </c:spPr>
            <c:extLst>
              <c:ext xmlns:c16="http://schemas.microsoft.com/office/drawing/2014/chart" uri="{C3380CC4-5D6E-409C-BE32-E72D297353CC}">
                <c16:uniqueId val="{00000188-6533-4801-91F4-C60974D7FA9E}"/>
              </c:ext>
            </c:extLst>
          </c:dPt>
          <c:dPt>
            <c:idx val="55"/>
            <c:bubble3D val="0"/>
            <c:spPr>
              <a:ln w="3175">
                <a:noFill/>
                <a:prstDash val="solid"/>
              </a:ln>
            </c:spPr>
            <c:extLst>
              <c:ext xmlns:c16="http://schemas.microsoft.com/office/drawing/2014/chart" uri="{C3380CC4-5D6E-409C-BE32-E72D297353CC}">
                <c16:uniqueId val="{0000018A-6533-4801-91F4-C60974D7FA9E}"/>
              </c:ext>
            </c:extLst>
          </c:dPt>
          <c:dPt>
            <c:idx val="56"/>
            <c:bubble3D val="0"/>
            <c:spPr>
              <a:ln w="3175">
                <a:noFill/>
                <a:prstDash val="solid"/>
              </a:ln>
            </c:spPr>
            <c:extLst>
              <c:ext xmlns:c16="http://schemas.microsoft.com/office/drawing/2014/chart" uri="{C3380CC4-5D6E-409C-BE32-E72D297353CC}">
                <c16:uniqueId val="{0000018C-6533-4801-91F4-C60974D7FA9E}"/>
              </c:ext>
            </c:extLst>
          </c:dPt>
          <c:dPt>
            <c:idx val="57"/>
            <c:bubble3D val="0"/>
            <c:spPr>
              <a:ln w="3175">
                <a:noFill/>
                <a:prstDash val="solid"/>
              </a:ln>
            </c:spPr>
            <c:extLst>
              <c:ext xmlns:c16="http://schemas.microsoft.com/office/drawing/2014/chart" uri="{C3380CC4-5D6E-409C-BE32-E72D297353CC}">
                <c16:uniqueId val="{0000018E-6533-4801-91F4-C60974D7FA9E}"/>
              </c:ext>
            </c:extLst>
          </c:dPt>
          <c:dPt>
            <c:idx val="58"/>
            <c:bubble3D val="0"/>
            <c:spPr>
              <a:ln w="3175">
                <a:noFill/>
                <a:prstDash val="solid"/>
              </a:ln>
            </c:spPr>
            <c:extLst>
              <c:ext xmlns:c16="http://schemas.microsoft.com/office/drawing/2014/chart" uri="{C3380CC4-5D6E-409C-BE32-E72D297353CC}">
                <c16:uniqueId val="{00000190-6533-4801-91F4-C60974D7FA9E}"/>
              </c:ext>
            </c:extLst>
          </c:dPt>
          <c:dPt>
            <c:idx val="59"/>
            <c:bubble3D val="0"/>
            <c:spPr>
              <a:ln w="3175">
                <a:noFill/>
                <a:prstDash val="solid"/>
              </a:ln>
            </c:spPr>
            <c:extLst>
              <c:ext xmlns:c16="http://schemas.microsoft.com/office/drawing/2014/chart" uri="{C3380CC4-5D6E-409C-BE32-E72D297353CC}">
                <c16:uniqueId val="{00000192-6533-4801-91F4-C60974D7FA9E}"/>
              </c:ext>
            </c:extLst>
          </c:dPt>
          <c:dPt>
            <c:idx val="60"/>
            <c:bubble3D val="0"/>
            <c:spPr>
              <a:ln w="3175">
                <a:noFill/>
                <a:prstDash val="solid"/>
              </a:ln>
            </c:spPr>
            <c:extLst>
              <c:ext xmlns:c16="http://schemas.microsoft.com/office/drawing/2014/chart" uri="{C3380CC4-5D6E-409C-BE32-E72D297353CC}">
                <c16:uniqueId val="{00000194-6533-4801-91F4-C60974D7FA9E}"/>
              </c:ext>
            </c:extLst>
          </c:dPt>
          <c:dPt>
            <c:idx val="61"/>
            <c:bubble3D val="0"/>
            <c:spPr>
              <a:ln w="3175">
                <a:noFill/>
                <a:prstDash val="solid"/>
              </a:ln>
            </c:spPr>
            <c:extLst>
              <c:ext xmlns:c16="http://schemas.microsoft.com/office/drawing/2014/chart" uri="{C3380CC4-5D6E-409C-BE32-E72D297353CC}">
                <c16:uniqueId val="{00000196-6533-4801-91F4-C60974D7FA9E}"/>
              </c:ext>
            </c:extLst>
          </c:dPt>
          <c:dPt>
            <c:idx val="62"/>
            <c:bubble3D val="0"/>
            <c:spPr>
              <a:ln w="3175">
                <a:noFill/>
                <a:prstDash val="solid"/>
              </a:ln>
            </c:spPr>
            <c:extLst>
              <c:ext xmlns:c16="http://schemas.microsoft.com/office/drawing/2014/chart" uri="{C3380CC4-5D6E-409C-BE32-E72D297353CC}">
                <c16:uniqueId val="{00000198-6533-4801-91F4-C60974D7FA9E}"/>
              </c:ext>
            </c:extLst>
          </c:dPt>
          <c:dPt>
            <c:idx val="63"/>
            <c:bubble3D val="0"/>
            <c:spPr>
              <a:ln w="3175">
                <a:noFill/>
                <a:prstDash val="solid"/>
              </a:ln>
            </c:spPr>
            <c:extLst>
              <c:ext xmlns:c16="http://schemas.microsoft.com/office/drawing/2014/chart" uri="{C3380CC4-5D6E-409C-BE32-E72D297353CC}">
                <c16:uniqueId val="{0000019A-6533-4801-91F4-C60974D7FA9E}"/>
              </c:ext>
            </c:extLst>
          </c:dPt>
          <c:dPt>
            <c:idx val="64"/>
            <c:bubble3D val="0"/>
            <c:spPr>
              <a:ln w="3175">
                <a:noFill/>
                <a:prstDash val="solid"/>
              </a:ln>
            </c:spPr>
            <c:extLst>
              <c:ext xmlns:c16="http://schemas.microsoft.com/office/drawing/2014/chart" uri="{C3380CC4-5D6E-409C-BE32-E72D297353CC}">
                <c16:uniqueId val="{0000019C-6533-4801-91F4-C60974D7FA9E}"/>
              </c:ext>
            </c:extLst>
          </c:dPt>
          <c:dPt>
            <c:idx val="65"/>
            <c:bubble3D val="0"/>
            <c:spPr>
              <a:ln w="3175">
                <a:noFill/>
                <a:prstDash val="solid"/>
              </a:ln>
            </c:spPr>
            <c:extLst>
              <c:ext xmlns:c16="http://schemas.microsoft.com/office/drawing/2014/chart" uri="{C3380CC4-5D6E-409C-BE32-E72D297353CC}">
                <c16:uniqueId val="{0000019E-6533-4801-91F4-C60974D7FA9E}"/>
              </c:ext>
            </c:extLst>
          </c:dPt>
          <c:dPt>
            <c:idx val="66"/>
            <c:bubble3D val="0"/>
            <c:spPr>
              <a:ln w="3175">
                <a:noFill/>
                <a:prstDash val="solid"/>
              </a:ln>
            </c:spPr>
            <c:extLst>
              <c:ext xmlns:c16="http://schemas.microsoft.com/office/drawing/2014/chart" uri="{C3380CC4-5D6E-409C-BE32-E72D297353CC}">
                <c16:uniqueId val="{000001A0-6533-4801-91F4-C60974D7FA9E}"/>
              </c:ext>
            </c:extLst>
          </c:dPt>
          <c:dPt>
            <c:idx val="67"/>
            <c:bubble3D val="0"/>
            <c:spPr>
              <a:ln w="3175">
                <a:noFill/>
                <a:prstDash val="solid"/>
              </a:ln>
            </c:spPr>
            <c:extLst>
              <c:ext xmlns:c16="http://schemas.microsoft.com/office/drawing/2014/chart" uri="{C3380CC4-5D6E-409C-BE32-E72D297353CC}">
                <c16:uniqueId val="{000001A2-6533-4801-91F4-C60974D7FA9E}"/>
              </c:ext>
            </c:extLst>
          </c:dPt>
          <c:dPt>
            <c:idx val="68"/>
            <c:bubble3D val="0"/>
            <c:spPr>
              <a:ln w="3175">
                <a:noFill/>
                <a:prstDash val="solid"/>
              </a:ln>
            </c:spPr>
            <c:extLst>
              <c:ext xmlns:c16="http://schemas.microsoft.com/office/drawing/2014/chart" uri="{C3380CC4-5D6E-409C-BE32-E72D297353CC}">
                <c16:uniqueId val="{000001A4-6533-4801-91F4-C60974D7FA9E}"/>
              </c:ext>
            </c:extLst>
          </c:dPt>
          <c:dPt>
            <c:idx val="69"/>
            <c:bubble3D val="0"/>
            <c:spPr>
              <a:ln w="3175">
                <a:noFill/>
                <a:prstDash val="solid"/>
              </a:ln>
            </c:spPr>
            <c:extLst>
              <c:ext xmlns:c16="http://schemas.microsoft.com/office/drawing/2014/chart" uri="{C3380CC4-5D6E-409C-BE32-E72D297353CC}">
                <c16:uniqueId val="{000001A6-6533-4801-91F4-C60974D7FA9E}"/>
              </c:ext>
            </c:extLst>
          </c:dPt>
          <c:dPt>
            <c:idx val="70"/>
            <c:bubble3D val="0"/>
            <c:spPr>
              <a:ln w="3175">
                <a:noFill/>
                <a:prstDash val="solid"/>
              </a:ln>
            </c:spPr>
            <c:extLst>
              <c:ext xmlns:c16="http://schemas.microsoft.com/office/drawing/2014/chart" uri="{C3380CC4-5D6E-409C-BE32-E72D297353CC}">
                <c16:uniqueId val="{000001A8-6533-4801-91F4-C60974D7FA9E}"/>
              </c:ext>
            </c:extLst>
          </c:dPt>
          <c:dPt>
            <c:idx val="71"/>
            <c:bubble3D val="0"/>
            <c:spPr>
              <a:ln w="3175">
                <a:noFill/>
                <a:prstDash val="solid"/>
              </a:ln>
            </c:spPr>
            <c:extLst>
              <c:ext xmlns:c16="http://schemas.microsoft.com/office/drawing/2014/chart" uri="{C3380CC4-5D6E-409C-BE32-E72D297353CC}">
                <c16:uniqueId val="{000001AA-6533-4801-91F4-C60974D7FA9E}"/>
              </c:ext>
            </c:extLst>
          </c:dPt>
          <c:dPt>
            <c:idx val="72"/>
            <c:bubble3D val="0"/>
            <c:spPr>
              <a:ln w="3175">
                <a:noFill/>
                <a:prstDash val="solid"/>
              </a:ln>
            </c:spPr>
            <c:extLst>
              <c:ext xmlns:c16="http://schemas.microsoft.com/office/drawing/2014/chart" uri="{C3380CC4-5D6E-409C-BE32-E72D297353CC}">
                <c16:uniqueId val="{000001AC-6533-4801-91F4-C60974D7FA9E}"/>
              </c:ext>
            </c:extLst>
          </c:dPt>
          <c:dPt>
            <c:idx val="73"/>
            <c:bubble3D val="0"/>
            <c:spPr>
              <a:ln w="3175">
                <a:noFill/>
                <a:prstDash val="solid"/>
              </a:ln>
            </c:spPr>
            <c:extLst>
              <c:ext xmlns:c16="http://schemas.microsoft.com/office/drawing/2014/chart" uri="{C3380CC4-5D6E-409C-BE32-E72D297353CC}">
                <c16:uniqueId val="{000001AE-6533-4801-91F4-C60974D7FA9E}"/>
              </c:ext>
            </c:extLst>
          </c:dPt>
          <c:dPt>
            <c:idx val="74"/>
            <c:bubble3D val="0"/>
            <c:spPr>
              <a:ln w="3175">
                <a:noFill/>
                <a:prstDash val="solid"/>
              </a:ln>
            </c:spPr>
            <c:extLst>
              <c:ext xmlns:c16="http://schemas.microsoft.com/office/drawing/2014/chart" uri="{C3380CC4-5D6E-409C-BE32-E72D297353CC}">
                <c16:uniqueId val="{000001B0-6533-4801-91F4-C60974D7FA9E}"/>
              </c:ext>
            </c:extLst>
          </c:dPt>
          <c:dPt>
            <c:idx val="75"/>
            <c:bubble3D val="0"/>
            <c:spPr>
              <a:ln w="3175">
                <a:noFill/>
                <a:prstDash val="solid"/>
              </a:ln>
            </c:spPr>
            <c:extLst>
              <c:ext xmlns:c16="http://schemas.microsoft.com/office/drawing/2014/chart" uri="{C3380CC4-5D6E-409C-BE32-E72D297353CC}">
                <c16:uniqueId val="{000001B2-6533-4801-91F4-C60974D7FA9E}"/>
              </c:ext>
            </c:extLst>
          </c:dPt>
          <c:dPt>
            <c:idx val="76"/>
            <c:bubble3D val="0"/>
            <c:spPr>
              <a:ln w="3175">
                <a:noFill/>
                <a:prstDash val="solid"/>
              </a:ln>
            </c:spPr>
            <c:extLst>
              <c:ext xmlns:c16="http://schemas.microsoft.com/office/drawing/2014/chart" uri="{C3380CC4-5D6E-409C-BE32-E72D297353CC}">
                <c16:uniqueId val="{000001B4-6533-4801-91F4-C60974D7FA9E}"/>
              </c:ext>
            </c:extLst>
          </c:dPt>
          <c:dPt>
            <c:idx val="77"/>
            <c:bubble3D val="0"/>
            <c:spPr>
              <a:ln w="3175">
                <a:noFill/>
                <a:prstDash val="solid"/>
              </a:ln>
            </c:spPr>
            <c:extLst>
              <c:ext xmlns:c16="http://schemas.microsoft.com/office/drawing/2014/chart" uri="{C3380CC4-5D6E-409C-BE32-E72D297353CC}">
                <c16:uniqueId val="{000001B6-6533-4801-91F4-C60974D7FA9E}"/>
              </c:ext>
            </c:extLst>
          </c:dPt>
          <c:dPt>
            <c:idx val="78"/>
            <c:bubble3D val="0"/>
            <c:spPr>
              <a:ln w="3175">
                <a:noFill/>
                <a:prstDash val="solid"/>
              </a:ln>
            </c:spPr>
            <c:extLst>
              <c:ext xmlns:c16="http://schemas.microsoft.com/office/drawing/2014/chart" uri="{C3380CC4-5D6E-409C-BE32-E72D297353CC}">
                <c16:uniqueId val="{000001B8-6533-4801-91F4-C60974D7FA9E}"/>
              </c:ext>
            </c:extLst>
          </c:dPt>
          <c:dPt>
            <c:idx val="79"/>
            <c:bubble3D val="0"/>
            <c:spPr>
              <a:ln w="3175">
                <a:noFill/>
                <a:prstDash val="solid"/>
              </a:ln>
            </c:spPr>
            <c:extLst>
              <c:ext xmlns:c16="http://schemas.microsoft.com/office/drawing/2014/chart" uri="{C3380CC4-5D6E-409C-BE32-E72D297353CC}">
                <c16:uniqueId val="{000001BA-6533-4801-91F4-C60974D7FA9E}"/>
              </c:ext>
            </c:extLst>
          </c:dPt>
          <c:dPt>
            <c:idx val="80"/>
            <c:bubble3D val="0"/>
            <c:spPr>
              <a:ln w="3175">
                <a:noFill/>
                <a:prstDash val="solid"/>
              </a:ln>
            </c:spPr>
            <c:extLst>
              <c:ext xmlns:c16="http://schemas.microsoft.com/office/drawing/2014/chart" uri="{C3380CC4-5D6E-409C-BE32-E72D297353CC}">
                <c16:uniqueId val="{000001BC-6533-4801-91F4-C60974D7FA9E}"/>
              </c:ext>
            </c:extLst>
          </c:dPt>
          <c:dPt>
            <c:idx val="81"/>
            <c:bubble3D val="0"/>
            <c:spPr>
              <a:ln w="3175">
                <a:noFill/>
                <a:prstDash val="solid"/>
              </a:ln>
            </c:spPr>
            <c:extLst>
              <c:ext xmlns:c16="http://schemas.microsoft.com/office/drawing/2014/chart" uri="{C3380CC4-5D6E-409C-BE32-E72D297353CC}">
                <c16:uniqueId val="{000001BE-6533-4801-91F4-C60974D7FA9E}"/>
              </c:ext>
            </c:extLst>
          </c:dPt>
          <c:dPt>
            <c:idx val="82"/>
            <c:bubble3D val="0"/>
            <c:spPr>
              <a:ln w="3175">
                <a:noFill/>
                <a:prstDash val="solid"/>
              </a:ln>
            </c:spPr>
            <c:extLst>
              <c:ext xmlns:c16="http://schemas.microsoft.com/office/drawing/2014/chart" uri="{C3380CC4-5D6E-409C-BE32-E72D297353CC}">
                <c16:uniqueId val="{000001C0-6533-4801-91F4-C60974D7FA9E}"/>
              </c:ext>
            </c:extLst>
          </c:dPt>
          <c:dPt>
            <c:idx val="83"/>
            <c:bubble3D val="0"/>
            <c:spPr>
              <a:ln w="3175">
                <a:noFill/>
                <a:prstDash val="solid"/>
              </a:ln>
            </c:spPr>
            <c:extLst>
              <c:ext xmlns:c16="http://schemas.microsoft.com/office/drawing/2014/chart" uri="{C3380CC4-5D6E-409C-BE32-E72D297353CC}">
                <c16:uniqueId val="{000001C2-6533-4801-91F4-C60974D7FA9E}"/>
              </c:ext>
            </c:extLst>
          </c:dPt>
          <c:dPt>
            <c:idx val="84"/>
            <c:bubble3D val="0"/>
            <c:spPr>
              <a:ln w="3175">
                <a:noFill/>
                <a:prstDash val="solid"/>
              </a:ln>
            </c:spPr>
            <c:extLst>
              <c:ext xmlns:c16="http://schemas.microsoft.com/office/drawing/2014/chart" uri="{C3380CC4-5D6E-409C-BE32-E72D297353CC}">
                <c16:uniqueId val="{000001C4-6533-4801-91F4-C60974D7FA9E}"/>
              </c:ext>
            </c:extLst>
          </c:dPt>
          <c:dPt>
            <c:idx val="85"/>
            <c:bubble3D val="0"/>
            <c:spPr>
              <a:ln w="3175">
                <a:noFill/>
                <a:prstDash val="solid"/>
              </a:ln>
            </c:spPr>
            <c:extLst>
              <c:ext xmlns:c16="http://schemas.microsoft.com/office/drawing/2014/chart" uri="{C3380CC4-5D6E-409C-BE32-E72D297353CC}">
                <c16:uniqueId val="{000001C6-6533-4801-91F4-C60974D7FA9E}"/>
              </c:ext>
            </c:extLst>
          </c:dPt>
          <c:dPt>
            <c:idx val="86"/>
            <c:bubble3D val="0"/>
            <c:spPr>
              <a:ln w="3175">
                <a:noFill/>
                <a:prstDash val="solid"/>
              </a:ln>
            </c:spPr>
            <c:extLst>
              <c:ext xmlns:c16="http://schemas.microsoft.com/office/drawing/2014/chart" uri="{C3380CC4-5D6E-409C-BE32-E72D297353CC}">
                <c16:uniqueId val="{000001C8-6533-4801-91F4-C60974D7FA9E}"/>
              </c:ext>
            </c:extLst>
          </c:dPt>
          <c:dPt>
            <c:idx val="87"/>
            <c:bubble3D val="0"/>
            <c:spPr>
              <a:ln w="3175">
                <a:noFill/>
                <a:prstDash val="solid"/>
              </a:ln>
            </c:spPr>
            <c:extLst>
              <c:ext xmlns:c16="http://schemas.microsoft.com/office/drawing/2014/chart" uri="{C3380CC4-5D6E-409C-BE32-E72D297353CC}">
                <c16:uniqueId val="{000001CA-6533-4801-91F4-C60974D7FA9E}"/>
              </c:ext>
            </c:extLst>
          </c:dPt>
          <c:dPt>
            <c:idx val="88"/>
            <c:bubble3D val="0"/>
            <c:spPr>
              <a:ln w="3175">
                <a:noFill/>
                <a:prstDash val="solid"/>
              </a:ln>
            </c:spPr>
            <c:extLst>
              <c:ext xmlns:c16="http://schemas.microsoft.com/office/drawing/2014/chart" uri="{C3380CC4-5D6E-409C-BE32-E72D297353CC}">
                <c16:uniqueId val="{000001CC-6533-4801-91F4-C60974D7FA9E}"/>
              </c:ext>
            </c:extLst>
          </c:dPt>
          <c:dPt>
            <c:idx val="89"/>
            <c:bubble3D val="0"/>
            <c:spPr>
              <a:ln w="3175">
                <a:noFill/>
                <a:prstDash val="solid"/>
              </a:ln>
            </c:spPr>
            <c:extLst>
              <c:ext xmlns:c16="http://schemas.microsoft.com/office/drawing/2014/chart" uri="{C3380CC4-5D6E-409C-BE32-E72D297353CC}">
                <c16:uniqueId val="{000001CE-6533-4801-91F4-C60974D7FA9E}"/>
              </c:ext>
            </c:extLst>
          </c:dPt>
          <c:dPt>
            <c:idx val="90"/>
            <c:bubble3D val="0"/>
            <c:spPr>
              <a:ln w="3175">
                <a:noFill/>
                <a:prstDash val="solid"/>
              </a:ln>
            </c:spPr>
            <c:extLst>
              <c:ext xmlns:c16="http://schemas.microsoft.com/office/drawing/2014/chart" uri="{C3380CC4-5D6E-409C-BE32-E72D297353CC}">
                <c16:uniqueId val="{000001D0-6533-4801-91F4-C60974D7FA9E}"/>
              </c:ext>
            </c:extLst>
          </c:dPt>
          <c:dPt>
            <c:idx val="91"/>
            <c:bubble3D val="0"/>
            <c:spPr>
              <a:ln w="3175">
                <a:noFill/>
                <a:prstDash val="solid"/>
              </a:ln>
            </c:spPr>
            <c:extLst>
              <c:ext xmlns:c16="http://schemas.microsoft.com/office/drawing/2014/chart" uri="{C3380CC4-5D6E-409C-BE32-E72D297353CC}">
                <c16:uniqueId val="{000001D2-6533-4801-91F4-C60974D7FA9E}"/>
              </c:ext>
            </c:extLst>
          </c:dPt>
          <c:dPt>
            <c:idx val="92"/>
            <c:bubble3D val="0"/>
            <c:spPr>
              <a:ln w="3175">
                <a:noFill/>
                <a:prstDash val="solid"/>
              </a:ln>
            </c:spPr>
            <c:extLst>
              <c:ext xmlns:c16="http://schemas.microsoft.com/office/drawing/2014/chart" uri="{C3380CC4-5D6E-409C-BE32-E72D297353CC}">
                <c16:uniqueId val="{000001D4-6533-4801-91F4-C60974D7FA9E}"/>
              </c:ext>
            </c:extLst>
          </c:dPt>
          <c:dPt>
            <c:idx val="93"/>
            <c:bubble3D val="0"/>
            <c:spPr>
              <a:ln w="3175">
                <a:noFill/>
                <a:prstDash val="solid"/>
              </a:ln>
            </c:spPr>
            <c:extLst>
              <c:ext xmlns:c16="http://schemas.microsoft.com/office/drawing/2014/chart" uri="{C3380CC4-5D6E-409C-BE32-E72D297353CC}">
                <c16:uniqueId val="{000001D6-6533-4801-91F4-C60974D7FA9E}"/>
              </c:ext>
            </c:extLst>
          </c:dPt>
          <c:dPt>
            <c:idx val="94"/>
            <c:bubble3D val="0"/>
            <c:spPr>
              <a:ln w="3175">
                <a:noFill/>
                <a:prstDash val="solid"/>
              </a:ln>
            </c:spPr>
            <c:extLst>
              <c:ext xmlns:c16="http://schemas.microsoft.com/office/drawing/2014/chart" uri="{C3380CC4-5D6E-409C-BE32-E72D297353CC}">
                <c16:uniqueId val="{000001D8-6533-4801-91F4-C60974D7FA9E}"/>
              </c:ext>
            </c:extLst>
          </c:dPt>
          <c:dPt>
            <c:idx val="95"/>
            <c:bubble3D val="0"/>
            <c:spPr>
              <a:ln w="3175">
                <a:noFill/>
                <a:prstDash val="solid"/>
              </a:ln>
            </c:spPr>
            <c:extLst>
              <c:ext xmlns:c16="http://schemas.microsoft.com/office/drawing/2014/chart" uri="{C3380CC4-5D6E-409C-BE32-E72D297353CC}">
                <c16:uniqueId val="{000001DA-6533-4801-91F4-C60974D7FA9E}"/>
              </c:ext>
            </c:extLst>
          </c:dPt>
          <c:dPt>
            <c:idx val="96"/>
            <c:bubble3D val="0"/>
            <c:spPr>
              <a:ln w="3175">
                <a:noFill/>
                <a:prstDash val="solid"/>
              </a:ln>
            </c:spPr>
            <c:extLst>
              <c:ext xmlns:c16="http://schemas.microsoft.com/office/drawing/2014/chart" uri="{C3380CC4-5D6E-409C-BE32-E72D297353CC}">
                <c16:uniqueId val="{000001DC-6533-4801-91F4-C60974D7FA9E}"/>
              </c:ext>
            </c:extLst>
          </c:dPt>
          <c:dPt>
            <c:idx val="97"/>
            <c:bubble3D val="0"/>
            <c:spPr>
              <a:ln w="3175">
                <a:noFill/>
                <a:prstDash val="solid"/>
              </a:ln>
            </c:spPr>
            <c:extLst>
              <c:ext xmlns:c16="http://schemas.microsoft.com/office/drawing/2014/chart" uri="{C3380CC4-5D6E-409C-BE32-E72D297353CC}">
                <c16:uniqueId val="{000001DE-6533-4801-91F4-C60974D7FA9E}"/>
              </c:ext>
            </c:extLst>
          </c:dPt>
          <c:dPt>
            <c:idx val="98"/>
            <c:bubble3D val="0"/>
            <c:spPr>
              <a:ln w="3175">
                <a:noFill/>
                <a:prstDash val="solid"/>
              </a:ln>
            </c:spPr>
            <c:extLst>
              <c:ext xmlns:c16="http://schemas.microsoft.com/office/drawing/2014/chart" uri="{C3380CC4-5D6E-409C-BE32-E72D297353CC}">
                <c16:uniqueId val="{000001E0-6533-4801-91F4-C60974D7FA9E}"/>
              </c:ext>
            </c:extLst>
          </c:dPt>
          <c:dPt>
            <c:idx val="99"/>
            <c:bubble3D val="0"/>
            <c:spPr>
              <a:ln w="3175">
                <a:noFill/>
                <a:prstDash val="solid"/>
              </a:ln>
            </c:spPr>
            <c:extLst>
              <c:ext xmlns:c16="http://schemas.microsoft.com/office/drawing/2014/chart" uri="{C3380CC4-5D6E-409C-BE32-E72D297353CC}">
                <c16:uniqueId val="{000001E2-6533-4801-91F4-C60974D7FA9E}"/>
              </c:ext>
            </c:extLst>
          </c:dPt>
          <c:dPt>
            <c:idx val="100"/>
            <c:marker>
              <c:spPr>
                <a:solidFill>
                  <a:srgbClr val="C00000"/>
                </a:solidFill>
                <a:ln w="12700">
                  <a:noFill/>
                </a:ln>
              </c:spPr>
            </c:marker>
            <c:bubble3D val="0"/>
            <c:spPr>
              <a:ln w="3175">
                <a:noFill/>
                <a:prstDash val="solid"/>
              </a:ln>
            </c:spPr>
            <c:extLst>
              <c:ext xmlns:c16="http://schemas.microsoft.com/office/drawing/2014/chart" uri="{C3380CC4-5D6E-409C-BE32-E72D297353CC}">
                <c16:uniqueId val="{000001E4-6533-4801-91F4-C60974D7FA9E}"/>
              </c:ext>
            </c:extLst>
          </c:dPt>
          <c:dPt>
            <c:idx val="101"/>
            <c:bubble3D val="0"/>
            <c:spPr>
              <a:ln w="3175">
                <a:noFill/>
                <a:prstDash val="solid"/>
              </a:ln>
            </c:spPr>
            <c:extLst>
              <c:ext xmlns:c16="http://schemas.microsoft.com/office/drawing/2014/chart" uri="{C3380CC4-5D6E-409C-BE32-E72D297353CC}">
                <c16:uniqueId val="{000001E6-6533-4801-91F4-C60974D7FA9E}"/>
              </c:ext>
            </c:extLst>
          </c:dPt>
          <c:dPt>
            <c:idx val="102"/>
            <c:bubble3D val="0"/>
            <c:spPr>
              <a:ln w="3175">
                <a:noFill/>
                <a:prstDash val="solid"/>
              </a:ln>
            </c:spPr>
            <c:extLst>
              <c:ext xmlns:c16="http://schemas.microsoft.com/office/drawing/2014/chart" uri="{C3380CC4-5D6E-409C-BE32-E72D297353CC}">
                <c16:uniqueId val="{000001E8-6533-4801-91F4-C60974D7FA9E}"/>
              </c:ext>
            </c:extLst>
          </c:dPt>
          <c:dPt>
            <c:idx val="103"/>
            <c:bubble3D val="0"/>
            <c:spPr>
              <a:ln w="3175">
                <a:noFill/>
                <a:prstDash val="solid"/>
              </a:ln>
            </c:spPr>
            <c:extLst>
              <c:ext xmlns:c16="http://schemas.microsoft.com/office/drawing/2014/chart" uri="{C3380CC4-5D6E-409C-BE32-E72D297353CC}">
                <c16:uniqueId val="{000001EA-6533-4801-91F4-C60974D7FA9E}"/>
              </c:ext>
            </c:extLst>
          </c:dPt>
          <c:dPt>
            <c:idx val="104"/>
            <c:bubble3D val="0"/>
            <c:spPr>
              <a:ln w="3175">
                <a:noFill/>
                <a:prstDash val="solid"/>
              </a:ln>
            </c:spPr>
            <c:extLst>
              <c:ext xmlns:c16="http://schemas.microsoft.com/office/drawing/2014/chart" uri="{C3380CC4-5D6E-409C-BE32-E72D297353CC}">
                <c16:uniqueId val="{000001EC-6533-4801-91F4-C60974D7FA9E}"/>
              </c:ext>
            </c:extLst>
          </c:dPt>
          <c:dPt>
            <c:idx val="105"/>
            <c:bubble3D val="0"/>
            <c:spPr>
              <a:ln w="3175">
                <a:noFill/>
                <a:prstDash val="solid"/>
              </a:ln>
            </c:spPr>
            <c:extLst>
              <c:ext xmlns:c16="http://schemas.microsoft.com/office/drawing/2014/chart" uri="{C3380CC4-5D6E-409C-BE32-E72D297353CC}">
                <c16:uniqueId val="{000001EE-6533-4801-91F4-C60974D7FA9E}"/>
              </c:ext>
            </c:extLst>
          </c:dPt>
          <c:dPt>
            <c:idx val="106"/>
            <c:bubble3D val="0"/>
            <c:spPr>
              <a:ln w="3175">
                <a:noFill/>
                <a:prstDash val="solid"/>
              </a:ln>
            </c:spPr>
            <c:extLst>
              <c:ext xmlns:c16="http://schemas.microsoft.com/office/drawing/2014/chart" uri="{C3380CC4-5D6E-409C-BE32-E72D297353CC}">
                <c16:uniqueId val="{000001F0-6533-4801-91F4-C60974D7FA9E}"/>
              </c:ext>
            </c:extLst>
          </c:dPt>
          <c:dPt>
            <c:idx val="107"/>
            <c:bubble3D val="0"/>
            <c:spPr>
              <a:ln w="3175">
                <a:noFill/>
                <a:prstDash val="solid"/>
              </a:ln>
            </c:spPr>
            <c:extLst>
              <c:ext xmlns:c16="http://schemas.microsoft.com/office/drawing/2014/chart" uri="{C3380CC4-5D6E-409C-BE32-E72D297353CC}">
                <c16:uniqueId val="{000001F2-6533-4801-91F4-C60974D7FA9E}"/>
              </c:ext>
            </c:extLst>
          </c:dPt>
          <c:dPt>
            <c:idx val="108"/>
            <c:bubble3D val="0"/>
            <c:spPr>
              <a:ln w="3175">
                <a:noFill/>
                <a:prstDash val="solid"/>
              </a:ln>
            </c:spPr>
            <c:extLst>
              <c:ext xmlns:c16="http://schemas.microsoft.com/office/drawing/2014/chart" uri="{C3380CC4-5D6E-409C-BE32-E72D297353CC}">
                <c16:uniqueId val="{000001F4-6533-4801-91F4-C60974D7FA9E}"/>
              </c:ext>
            </c:extLst>
          </c:dPt>
          <c:dPt>
            <c:idx val="109"/>
            <c:bubble3D val="0"/>
            <c:spPr>
              <a:ln w="3175">
                <a:noFill/>
                <a:prstDash val="solid"/>
              </a:ln>
            </c:spPr>
            <c:extLst>
              <c:ext xmlns:c16="http://schemas.microsoft.com/office/drawing/2014/chart" uri="{C3380CC4-5D6E-409C-BE32-E72D297353CC}">
                <c16:uniqueId val="{000001F6-6533-4801-91F4-C60974D7FA9E}"/>
              </c:ext>
            </c:extLst>
          </c:dPt>
          <c:dPt>
            <c:idx val="110"/>
            <c:bubble3D val="0"/>
            <c:spPr>
              <a:ln w="3175">
                <a:noFill/>
                <a:prstDash val="solid"/>
              </a:ln>
            </c:spPr>
            <c:extLst>
              <c:ext xmlns:c16="http://schemas.microsoft.com/office/drawing/2014/chart" uri="{C3380CC4-5D6E-409C-BE32-E72D297353CC}">
                <c16:uniqueId val="{000001F8-6533-4801-91F4-C60974D7FA9E}"/>
              </c:ext>
            </c:extLst>
          </c:dPt>
          <c:dPt>
            <c:idx val="111"/>
            <c:bubble3D val="0"/>
            <c:spPr>
              <a:ln w="3175">
                <a:noFill/>
                <a:prstDash val="solid"/>
              </a:ln>
            </c:spPr>
            <c:extLst>
              <c:ext xmlns:c16="http://schemas.microsoft.com/office/drawing/2014/chart" uri="{C3380CC4-5D6E-409C-BE32-E72D297353CC}">
                <c16:uniqueId val="{000001FA-6533-4801-91F4-C60974D7FA9E}"/>
              </c:ext>
            </c:extLst>
          </c:dPt>
          <c:dPt>
            <c:idx val="112"/>
            <c:bubble3D val="0"/>
            <c:spPr>
              <a:ln w="3175">
                <a:noFill/>
                <a:prstDash val="solid"/>
              </a:ln>
            </c:spPr>
            <c:extLst>
              <c:ext xmlns:c16="http://schemas.microsoft.com/office/drawing/2014/chart" uri="{C3380CC4-5D6E-409C-BE32-E72D297353CC}">
                <c16:uniqueId val="{000001FC-6533-4801-91F4-C60974D7FA9E}"/>
              </c:ext>
            </c:extLst>
          </c:dPt>
          <c:dPt>
            <c:idx val="113"/>
            <c:bubble3D val="0"/>
            <c:spPr>
              <a:ln w="3175">
                <a:noFill/>
                <a:prstDash val="solid"/>
              </a:ln>
            </c:spPr>
            <c:extLst>
              <c:ext xmlns:c16="http://schemas.microsoft.com/office/drawing/2014/chart" uri="{C3380CC4-5D6E-409C-BE32-E72D297353CC}">
                <c16:uniqueId val="{000001FE-6533-4801-91F4-C60974D7FA9E}"/>
              </c:ext>
            </c:extLst>
          </c:dPt>
          <c:dPt>
            <c:idx val="114"/>
            <c:bubble3D val="0"/>
            <c:spPr>
              <a:ln w="3175">
                <a:noFill/>
                <a:prstDash val="solid"/>
              </a:ln>
            </c:spPr>
            <c:extLst>
              <c:ext xmlns:c16="http://schemas.microsoft.com/office/drawing/2014/chart" uri="{C3380CC4-5D6E-409C-BE32-E72D297353CC}">
                <c16:uniqueId val="{00000200-6533-4801-91F4-C60974D7FA9E}"/>
              </c:ext>
            </c:extLst>
          </c:dPt>
          <c:dPt>
            <c:idx val="115"/>
            <c:bubble3D val="0"/>
            <c:spPr>
              <a:ln w="3175">
                <a:noFill/>
                <a:prstDash val="solid"/>
              </a:ln>
            </c:spPr>
            <c:extLst>
              <c:ext xmlns:c16="http://schemas.microsoft.com/office/drawing/2014/chart" uri="{C3380CC4-5D6E-409C-BE32-E72D297353CC}">
                <c16:uniqueId val="{00000202-6533-4801-91F4-C60974D7FA9E}"/>
              </c:ext>
            </c:extLst>
          </c:dPt>
          <c:dPt>
            <c:idx val="116"/>
            <c:bubble3D val="0"/>
            <c:spPr>
              <a:ln w="3175">
                <a:noFill/>
                <a:prstDash val="solid"/>
              </a:ln>
            </c:spPr>
            <c:extLst>
              <c:ext xmlns:c16="http://schemas.microsoft.com/office/drawing/2014/chart" uri="{C3380CC4-5D6E-409C-BE32-E72D297353CC}">
                <c16:uniqueId val="{00000204-6533-4801-91F4-C60974D7FA9E}"/>
              </c:ext>
            </c:extLst>
          </c:dPt>
          <c:dPt>
            <c:idx val="117"/>
            <c:bubble3D val="0"/>
            <c:spPr>
              <a:ln w="3175">
                <a:noFill/>
                <a:prstDash val="solid"/>
              </a:ln>
            </c:spPr>
            <c:extLst>
              <c:ext xmlns:c16="http://schemas.microsoft.com/office/drawing/2014/chart" uri="{C3380CC4-5D6E-409C-BE32-E72D297353CC}">
                <c16:uniqueId val="{00000206-6533-4801-91F4-C60974D7FA9E}"/>
              </c:ext>
            </c:extLst>
          </c:dPt>
          <c:dPt>
            <c:idx val="118"/>
            <c:bubble3D val="0"/>
            <c:spPr>
              <a:ln w="3175">
                <a:noFill/>
                <a:prstDash val="solid"/>
              </a:ln>
            </c:spPr>
            <c:extLst>
              <c:ext xmlns:c16="http://schemas.microsoft.com/office/drawing/2014/chart" uri="{C3380CC4-5D6E-409C-BE32-E72D297353CC}">
                <c16:uniqueId val="{00000208-6533-4801-91F4-C60974D7FA9E}"/>
              </c:ext>
            </c:extLst>
          </c:dPt>
          <c:dPt>
            <c:idx val="119"/>
            <c:bubble3D val="0"/>
            <c:spPr>
              <a:ln w="3175">
                <a:noFill/>
                <a:prstDash val="solid"/>
              </a:ln>
            </c:spPr>
            <c:extLst>
              <c:ext xmlns:c16="http://schemas.microsoft.com/office/drawing/2014/chart" uri="{C3380CC4-5D6E-409C-BE32-E72D297353CC}">
                <c16:uniqueId val="{0000020A-6533-4801-91F4-C60974D7FA9E}"/>
              </c:ext>
            </c:extLst>
          </c:dPt>
          <c:dPt>
            <c:idx val="120"/>
            <c:bubble3D val="0"/>
            <c:spPr>
              <a:ln w="3175">
                <a:noFill/>
                <a:prstDash val="solid"/>
              </a:ln>
            </c:spPr>
            <c:extLst>
              <c:ext xmlns:c16="http://schemas.microsoft.com/office/drawing/2014/chart" uri="{C3380CC4-5D6E-409C-BE32-E72D297353CC}">
                <c16:uniqueId val="{0000020C-6533-4801-91F4-C60974D7FA9E}"/>
              </c:ext>
            </c:extLst>
          </c:dPt>
          <c:dPt>
            <c:idx val="121"/>
            <c:bubble3D val="0"/>
            <c:spPr>
              <a:ln w="3175">
                <a:noFill/>
                <a:prstDash val="solid"/>
              </a:ln>
            </c:spPr>
            <c:extLst>
              <c:ext xmlns:c16="http://schemas.microsoft.com/office/drawing/2014/chart" uri="{C3380CC4-5D6E-409C-BE32-E72D297353CC}">
                <c16:uniqueId val="{0000020E-6533-4801-91F4-C60974D7FA9E}"/>
              </c:ext>
            </c:extLst>
          </c:dPt>
          <c:dPt>
            <c:idx val="122"/>
            <c:bubble3D val="0"/>
            <c:spPr>
              <a:ln w="3175">
                <a:noFill/>
                <a:prstDash val="solid"/>
              </a:ln>
            </c:spPr>
            <c:extLst>
              <c:ext xmlns:c16="http://schemas.microsoft.com/office/drawing/2014/chart" uri="{C3380CC4-5D6E-409C-BE32-E72D297353CC}">
                <c16:uniqueId val="{00000210-6533-4801-91F4-C60974D7FA9E}"/>
              </c:ext>
            </c:extLst>
          </c:dPt>
          <c:dPt>
            <c:idx val="123"/>
            <c:bubble3D val="0"/>
            <c:spPr>
              <a:ln w="3175">
                <a:noFill/>
                <a:prstDash val="solid"/>
              </a:ln>
            </c:spPr>
            <c:extLst>
              <c:ext xmlns:c16="http://schemas.microsoft.com/office/drawing/2014/chart" uri="{C3380CC4-5D6E-409C-BE32-E72D297353CC}">
                <c16:uniqueId val="{00000212-6533-4801-91F4-C60974D7FA9E}"/>
              </c:ext>
            </c:extLst>
          </c:dPt>
          <c:dPt>
            <c:idx val="124"/>
            <c:bubble3D val="0"/>
            <c:spPr>
              <a:ln w="3175">
                <a:noFill/>
                <a:prstDash val="solid"/>
              </a:ln>
            </c:spPr>
            <c:extLst>
              <c:ext xmlns:c16="http://schemas.microsoft.com/office/drawing/2014/chart" uri="{C3380CC4-5D6E-409C-BE32-E72D297353CC}">
                <c16:uniqueId val="{00000214-6533-4801-91F4-C60974D7FA9E}"/>
              </c:ext>
            </c:extLst>
          </c:dPt>
          <c:dPt>
            <c:idx val="125"/>
            <c:bubble3D val="0"/>
            <c:spPr>
              <a:ln w="3175">
                <a:noFill/>
                <a:prstDash val="solid"/>
              </a:ln>
            </c:spPr>
            <c:extLst>
              <c:ext xmlns:c16="http://schemas.microsoft.com/office/drawing/2014/chart" uri="{C3380CC4-5D6E-409C-BE32-E72D297353CC}">
                <c16:uniqueId val="{00000216-6533-4801-91F4-C60974D7FA9E}"/>
              </c:ext>
            </c:extLst>
          </c:dPt>
          <c:dPt>
            <c:idx val="126"/>
            <c:bubble3D val="0"/>
            <c:spPr>
              <a:ln w="3175">
                <a:noFill/>
                <a:prstDash val="solid"/>
              </a:ln>
            </c:spPr>
            <c:extLst>
              <c:ext xmlns:c16="http://schemas.microsoft.com/office/drawing/2014/chart" uri="{C3380CC4-5D6E-409C-BE32-E72D297353CC}">
                <c16:uniqueId val="{00000218-6533-4801-91F4-C60974D7FA9E}"/>
              </c:ext>
            </c:extLst>
          </c:dPt>
          <c:dPt>
            <c:idx val="127"/>
            <c:bubble3D val="0"/>
            <c:spPr>
              <a:ln w="3175">
                <a:noFill/>
                <a:prstDash val="solid"/>
              </a:ln>
            </c:spPr>
            <c:extLst>
              <c:ext xmlns:c16="http://schemas.microsoft.com/office/drawing/2014/chart" uri="{C3380CC4-5D6E-409C-BE32-E72D297353CC}">
                <c16:uniqueId val="{0000021A-6533-4801-91F4-C60974D7FA9E}"/>
              </c:ext>
            </c:extLst>
          </c:dPt>
          <c:dPt>
            <c:idx val="128"/>
            <c:bubble3D val="0"/>
            <c:spPr>
              <a:ln w="3175">
                <a:noFill/>
                <a:prstDash val="solid"/>
              </a:ln>
            </c:spPr>
            <c:extLst>
              <c:ext xmlns:c16="http://schemas.microsoft.com/office/drawing/2014/chart" uri="{C3380CC4-5D6E-409C-BE32-E72D297353CC}">
                <c16:uniqueId val="{0000021C-6533-4801-91F4-C60974D7FA9E}"/>
              </c:ext>
            </c:extLst>
          </c:dPt>
          <c:dPt>
            <c:idx val="129"/>
            <c:bubble3D val="0"/>
            <c:spPr>
              <a:ln w="3175">
                <a:noFill/>
                <a:prstDash val="solid"/>
              </a:ln>
            </c:spPr>
            <c:extLst>
              <c:ext xmlns:c16="http://schemas.microsoft.com/office/drawing/2014/chart" uri="{C3380CC4-5D6E-409C-BE32-E72D297353CC}">
                <c16:uniqueId val="{0000021E-6533-4801-91F4-C60974D7FA9E}"/>
              </c:ext>
            </c:extLst>
          </c:dPt>
          <c:dPt>
            <c:idx val="130"/>
            <c:bubble3D val="0"/>
            <c:spPr>
              <a:ln w="3175">
                <a:noFill/>
                <a:prstDash val="solid"/>
              </a:ln>
            </c:spPr>
            <c:extLst>
              <c:ext xmlns:c16="http://schemas.microsoft.com/office/drawing/2014/chart" uri="{C3380CC4-5D6E-409C-BE32-E72D297353CC}">
                <c16:uniqueId val="{00000220-6533-4801-91F4-C60974D7FA9E}"/>
              </c:ext>
            </c:extLst>
          </c:dPt>
          <c:dPt>
            <c:idx val="131"/>
            <c:bubble3D val="0"/>
            <c:spPr>
              <a:ln w="3175">
                <a:noFill/>
                <a:prstDash val="solid"/>
              </a:ln>
            </c:spPr>
            <c:extLst>
              <c:ext xmlns:c16="http://schemas.microsoft.com/office/drawing/2014/chart" uri="{C3380CC4-5D6E-409C-BE32-E72D297353CC}">
                <c16:uniqueId val="{00000222-6533-4801-91F4-C60974D7FA9E}"/>
              </c:ext>
            </c:extLst>
          </c:dPt>
          <c:dPt>
            <c:idx val="132"/>
            <c:bubble3D val="0"/>
            <c:spPr>
              <a:ln w="3175">
                <a:noFill/>
                <a:prstDash val="solid"/>
              </a:ln>
            </c:spPr>
            <c:extLst>
              <c:ext xmlns:c16="http://schemas.microsoft.com/office/drawing/2014/chart" uri="{C3380CC4-5D6E-409C-BE32-E72D297353CC}">
                <c16:uniqueId val="{00000224-6533-4801-91F4-C60974D7FA9E}"/>
              </c:ext>
            </c:extLst>
          </c:dPt>
          <c:dPt>
            <c:idx val="133"/>
            <c:bubble3D val="0"/>
            <c:spPr>
              <a:ln w="3175">
                <a:noFill/>
                <a:prstDash val="solid"/>
              </a:ln>
            </c:spPr>
            <c:extLst>
              <c:ext xmlns:c16="http://schemas.microsoft.com/office/drawing/2014/chart" uri="{C3380CC4-5D6E-409C-BE32-E72D297353CC}">
                <c16:uniqueId val="{00000226-6533-4801-91F4-C60974D7FA9E}"/>
              </c:ext>
            </c:extLst>
          </c:dPt>
          <c:dPt>
            <c:idx val="134"/>
            <c:bubble3D val="0"/>
            <c:spPr>
              <a:ln w="3175">
                <a:noFill/>
                <a:prstDash val="solid"/>
              </a:ln>
            </c:spPr>
            <c:extLst>
              <c:ext xmlns:c16="http://schemas.microsoft.com/office/drawing/2014/chart" uri="{C3380CC4-5D6E-409C-BE32-E72D297353CC}">
                <c16:uniqueId val="{00000228-6533-4801-91F4-C60974D7FA9E}"/>
              </c:ext>
            </c:extLst>
          </c:dPt>
          <c:dPt>
            <c:idx val="135"/>
            <c:bubble3D val="0"/>
            <c:spPr>
              <a:ln w="3175">
                <a:noFill/>
                <a:prstDash val="solid"/>
              </a:ln>
            </c:spPr>
            <c:extLst>
              <c:ext xmlns:c16="http://schemas.microsoft.com/office/drawing/2014/chart" uri="{C3380CC4-5D6E-409C-BE32-E72D297353CC}">
                <c16:uniqueId val="{0000022A-6533-4801-91F4-C60974D7FA9E}"/>
              </c:ext>
            </c:extLst>
          </c:dPt>
          <c:dPt>
            <c:idx val="136"/>
            <c:marker>
              <c:spPr>
                <a:solidFill>
                  <a:srgbClr val="C00000"/>
                </a:solidFill>
                <a:ln w="12700">
                  <a:noFill/>
                </a:ln>
              </c:spPr>
            </c:marker>
            <c:bubble3D val="0"/>
            <c:spPr>
              <a:ln w="3175">
                <a:noFill/>
                <a:prstDash val="solid"/>
              </a:ln>
            </c:spPr>
            <c:extLst>
              <c:ext xmlns:c16="http://schemas.microsoft.com/office/drawing/2014/chart" uri="{C3380CC4-5D6E-409C-BE32-E72D297353CC}">
                <c16:uniqueId val="{0000022C-6533-4801-91F4-C60974D7FA9E}"/>
              </c:ext>
            </c:extLst>
          </c:dPt>
          <c:dPt>
            <c:idx val="137"/>
            <c:bubble3D val="0"/>
            <c:spPr>
              <a:ln w="3175">
                <a:noFill/>
                <a:prstDash val="solid"/>
              </a:ln>
            </c:spPr>
            <c:extLst>
              <c:ext xmlns:c16="http://schemas.microsoft.com/office/drawing/2014/chart" uri="{C3380CC4-5D6E-409C-BE32-E72D297353CC}">
                <c16:uniqueId val="{0000022E-6533-4801-91F4-C60974D7FA9E}"/>
              </c:ext>
            </c:extLst>
          </c:dPt>
          <c:dPt>
            <c:idx val="138"/>
            <c:bubble3D val="0"/>
            <c:spPr>
              <a:ln w="3175">
                <a:noFill/>
                <a:prstDash val="solid"/>
              </a:ln>
            </c:spPr>
            <c:extLst>
              <c:ext xmlns:c16="http://schemas.microsoft.com/office/drawing/2014/chart" uri="{C3380CC4-5D6E-409C-BE32-E72D297353CC}">
                <c16:uniqueId val="{00000230-6533-4801-91F4-C60974D7FA9E}"/>
              </c:ext>
            </c:extLst>
          </c:dPt>
          <c:dPt>
            <c:idx val="139"/>
            <c:bubble3D val="0"/>
            <c:spPr>
              <a:ln w="3175">
                <a:noFill/>
                <a:prstDash val="solid"/>
              </a:ln>
            </c:spPr>
            <c:extLst>
              <c:ext xmlns:c16="http://schemas.microsoft.com/office/drawing/2014/chart" uri="{C3380CC4-5D6E-409C-BE32-E72D297353CC}">
                <c16:uniqueId val="{00000232-6533-4801-91F4-C60974D7FA9E}"/>
              </c:ext>
            </c:extLst>
          </c:dPt>
          <c:dPt>
            <c:idx val="140"/>
            <c:marker>
              <c:spPr>
                <a:solidFill>
                  <a:srgbClr val="C00000"/>
                </a:solidFill>
                <a:ln w="12700">
                  <a:noFill/>
                </a:ln>
              </c:spPr>
            </c:marker>
            <c:bubble3D val="0"/>
            <c:spPr>
              <a:ln w="3175">
                <a:noFill/>
                <a:prstDash val="solid"/>
              </a:ln>
            </c:spPr>
            <c:extLst>
              <c:ext xmlns:c16="http://schemas.microsoft.com/office/drawing/2014/chart" uri="{C3380CC4-5D6E-409C-BE32-E72D297353CC}">
                <c16:uniqueId val="{00000234-6533-4801-91F4-C60974D7FA9E}"/>
              </c:ext>
            </c:extLst>
          </c:dPt>
          <c:xVal>
            <c:numRef>
              <c:f>[0]!Day_No</c:f>
              <c:numCache>
                <c:formatCode>General</c:formatCode>
                <c:ptCount val="14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numCache>
            </c:numRef>
          </c:xVal>
          <c:yVal>
            <c:numRef>
              <c:f>[0]!DcRate</c:f>
              <c:numCache>
                <c:formatCode>0.00</c:formatCode>
                <c:ptCount val="1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numCache>
            </c:numRef>
          </c:yVal>
          <c:smooth val="0"/>
          <c:extLst>
            <c:ext xmlns:c16="http://schemas.microsoft.com/office/drawing/2014/chart" uri="{C3380CC4-5D6E-409C-BE32-E72D297353CC}">
              <c16:uniqueId val="{00000235-6533-4801-91F4-C60974D7FA9E}"/>
            </c:ext>
          </c:extLst>
        </c:ser>
        <c:ser>
          <c:idx val="6"/>
          <c:order val="2"/>
          <c:tx>
            <c:v>Rc_Series</c:v>
          </c:tx>
          <c:spPr>
            <a:ln w="28575">
              <a:noFill/>
            </a:ln>
          </c:spPr>
          <c:marker>
            <c:symbol val="circle"/>
            <c:size val="5"/>
            <c:spPr>
              <a:solidFill>
                <a:srgbClr val="008000"/>
              </a:solidFill>
              <a:ln>
                <a:noFill/>
              </a:ln>
            </c:spPr>
          </c:marker>
          <c:dPt>
            <c:idx val="0"/>
            <c:bubble3D val="0"/>
            <c:spPr>
              <a:ln w="3175">
                <a:noFill/>
                <a:prstDash val="solid"/>
              </a:ln>
            </c:spPr>
            <c:extLst>
              <c:ext xmlns:c16="http://schemas.microsoft.com/office/drawing/2014/chart" uri="{C3380CC4-5D6E-409C-BE32-E72D297353CC}">
                <c16:uniqueId val="{00000237-6533-4801-91F4-C60974D7FA9E}"/>
              </c:ext>
            </c:extLst>
          </c:dPt>
          <c:dPt>
            <c:idx val="1"/>
            <c:bubble3D val="0"/>
            <c:spPr>
              <a:ln w="3175">
                <a:noFill/>
                <a:prstDash val="solid"/>
              </a:ln>
            </c:spPr>
            <c:extLst>
              <c:ext xmlns:c16="http://schemas.microsoft.com/office/drawing/2014/chart" uri="{C3380CC4-5D6E-409C-BE32-E72D297353CC}">
                <c16:uniqueId val="{00000239-6533-4801-91F4-C60974D7FA9E}"/>
              </c:ext>
            </c:extLst>
          </c:dPt>
          <c:dPt>
            <c:idx val="2"/>
            <c:bubble3D val="0"/>
            <c:spPr>
              <a:ln w="3175">
                <a:noFill/>
                <a:prstDash val="solid"/>
              </a:ln>
            </c:spPr>
            <c:extLst>
              <c:ext xmlns:c16="http://schemas.microsoft.com/office/drawing/2014/chart" uri="{C3380CC4-5D6E-409C-BE32-E72D297353CC}">
                <c16:uniqueId val="{0000023B-6533-4801-91F4-C60974D7FA9E}"/>
              </c:ext>
            </c:extLst>
          </c:dPt>
          <c:dPt>
            <c:idx val="3"/>
            <c:bubble3D val="0"/>
            <c:spPr>
              <a:ln w="3175">
                <a:noFill/>
                <a:prstDash val="solid"/>
              </a:ln>
            </c:spPr>
            <c:extLst>
              <c:ext xmlns:c16="http://schemas.microsoft.com/office/drawing/2014/chart" uri="{C3380CC4-5D6E-409C-BE32-E72D297353CC}">
                <c16:uniqueId val="{0000023D-6533-4801-91F4-C60974D7FA9E}"/>
              </c:ext>
            </c:extLst>
          </c:dPt>
          <c:dPt>
            <c:idx val="4"/>
            <c:bubble3D val="0"/>
            <c:spPr>
              <a:ln w="3175">
                <a:noFill/>
                <a:prstDash val="solid"/>
              </a:ln>
            </c:spPr>
            <c:extLst>
              <c:ext xmlns:c16="http://schemas.microsoft.com/office/drawing/2014/chart" uri="{C3380CC4-5D6E-409C-BE32-E72D297353CC}">
                <c16:uniqueId val="{0000023F-6533-4801-91F4-C60974D7FA9E}"/>
              </c:ext>
            </c:extLst>
          </c:dPt>
          <c:dPt>
            <c:idx val="5"/>
            <c:bubble3D val="0"/>
            <c:spPr>
              <a:ln w="3175">
                <a:noFill/>
                <a:prstDash val="solid"/>
              </a:ln>
            </c:spPr>
            <c:extLst>
              <c:ext xmlns:c16="http://schemas.microsoft.com/office/drawing/2014/chart" uri="{C3380CC4-5D6E-409C-BE32-E72D297353CC}">
                <c16:uniqueId val="{00000241-6533-4801-91F4-C60974D7FA9E}"/>
              </c:ext>
            </c:extLst>
          </c:dPt>
          <c:dPt>
            <c:idx val="6"/>
            <c:bubble3D val="0"/>
            <c:spPr>
              <a:ln w="3175">
                <a:noFill/>
                <a:prstDash val="solid"/>
              </a:ln>
            </c:spPr>
            <c:extLst>
              <c:ext xmlns:c16="http://schemas.microsoft.com/office/drawing/2014/chart" uri="{C3380CC4-5D6E-409C-BE32-E72D297353CC}">
                <c16:uniqueId val="{00000243-6533-4801-91F4-C60974D7FA9E}"/>
              </c:ext>
            </c:extLst>
          </c:dPt>
          <c:dPt>
            <c:idx val="7"/>
            <c:bubble3D val="0"/>
            <c:spPr>
              <a:ln w="3175">
                <a:noFill/>
                <a:prstDash val="solid"/>
              </a:ln>
            </c:spPr>
            <c:extLst>
              <c:ext xmlns:c16="http://schemas.microsoft.com/office/drawing/2014/chart" uri="{C3380CC4-5D6E-409C-BE32-E72D297353CC}">
                <c16:uniqueId val="{00000245-6533-4801-91F4-C60974D7FA9E}"/>
              </c:ext>
            </c:extLst>
          </c:dPt>
          <c:dPt>
            <c:idx val="8"/>
            <c:bubble3D val="0"/>
            <c:spPr>
              <a:ln w="3175">
                <a:noFill/>
                <a:prstDash val="solid"/>
              </a:ln>
            </c:spPr>
            <c:extLst>
              <c:ext xmlns:c16="http://schemas.microsoft.com/office/drawing/2014/chart" uri="{C3380CC4-5D6E-409C-BE32-E72D297353CC}">
                <c16:uniqueId val="{00000247-6533-4801-91F4-C60974D7FA9E}"/>
              </c:ext>
            </c:extLst>
          </c:dPt>
          <c:dPt>
            <c:idx val="9"/>
            <c:bubble3D val="0"/>
            <c:spPr>
              <a:ln w="3175">
                <a:noFill/>
                <a:prstDash val="solid"/>
              </a:ln>
            </c:spPr>
            <c:extLst>
              <c:ext xmlns:c16="http://schemas.microsoft.com/office/drawing/2014/chart" uri="{C3380CC4-5D6E-409C-BE32-E72D297353CC}">
                <c16:uniqueId val="{00000249-6533-4801-91F4-C60974D7FA9E}"/>
              </c:ext>
            </c:extLst>
          </c:dPt>
          <c:dPt>
            <c:idx val="10"/>
            <c:bubble3D val="0"/>
            <c:spPr>
              <a:ln w="3175">
                <a:noFill/>
                <a:prstDash val="solid"/>
              </a:ln>
            </c:spPr>
            <c:extLst>
              <c:ext xmlns:c16="http://schemas.microsoft.com/office/drawing/2014/chart" uri="{C3380CC4-5D6E-409C-BE32-E72D297353CC}">
                <c16:uniqueId val="{0000024B-6533-4801-91F4-C60974D7FA9E}"/>
              </c:ext>
            </c:extLst>
          </c:dPt>
          <c:dPt>
            <c:idx val="11"/>
            <c:bubble3D val="0"/>
            <c:spPr>
              <a:ln w="3175">
                <a:noFill/>
                <a:prstDash val="solid"/>
              </a:ln>
            </c:spPr>
            <c:extLst>
              <c:ext xmlns:c16="http://schemas.microsoft.com/office/drawing/2014/chart" uri="{C3380CC4-5D6E-409C-BE32-E72D297353CC}">
                <c16:uniqueId val="{0000024D-6533-4801-91F4-C60974D7FA9E}"/>
              </c:ext>
            </c:extLst>
          </c:dPt>
          <c:dPt>
            <c:idx val="12"/>
            <c:bubble3D val="0"/>
            <c:spPr>
              <a:ln w="3175">
                <a:noFill/>
                <a:prstDash val="solid"/>
              </a:ln>
            </c:spPr>
            <c:extLst>
              <c:ext xmlns:c16="http://schemas.microsoft.com/office/drawing/2014/chart" uri="{C3380CC4-5D6E-409C-BE32-E72D297353CC}">
                <c16:uniqueId val="{0000024F-6533-4801-91F4-C60974D7FA9E}"/>
              </c:ext>
            </c:extLst>
          </c:dPt>
          <c:dPt>
            <c:idx val="13"/>
            <c:bubble3D val="0"/>
            <c:spPr>
              <a:ln w="3175">
                <a:noFill/>
                <a:prstDash val="solid"/>
              </a:ln>
            </c:spPr>
            <c:extLst>
              <c:ext xmlns:c16="http://schemas.microsoft.com/office/drawing/2014/chart" uri="{C3380CC4-5D6E-409C-BE32-E72D297353CC}">
                <c16:uniqueId val="{00000251-6533-4801-91F4-C60974D7FA9E}"/>
              </c:ext>
            </c:extLst>
          </c:dPt>
          <c:dPt>
            <c:idx val="14"/>
            <c:bubble3D val="0"/>
            <c:spPr>
              <a:ln w="3175">
                <a:noFill/>
                <a:prstDash val="solid"/>
              </a:ln>
            </c:spPr>
            <c:extLst>
              <c:ext xmlns:c16="http://schemas.microsoft.com/office/drawing/2014/chart" uri="{C3380CC4-5D6E-409C-BE32-E72D297353CC}">
                <c16:uniqueId val="{00000253-6533-4801-91F4-C60974D7FA9E}"/>
              </c:ext>
            </c:extLst>
          </c:dPt>
          <c:dPt>
            <c:idx val="15"/>
            <c:bubble3D val="0"/>
            <c:spPr>
              <a:ln w="3175">
                <a:noFill/>
                <a:prstDash val="solid"/>
              </a:ln>
            </c:spPr>
            <c:extLst>
              <c:ext xmlns:c16="http://schemas.microsoft.com/office/drawing/2014/chart" uri="{C3380CC4-5D6E-409C-BE32-E72D297353CC}">
                <c16:uniqueId val="{00000255-6533-4801-91F4-C60974D7FA9E}"/>
              </c:ext>
            </c:extLst>
          </c:dPt>
          <c:dPt>
            <c:idx val="16"/>
            <c:bubble3D val="0"/>
            <c:spPr>
              <a:ln w="3175">
                <a:noFill/>
                <a:prstDash val="solid"/>
              </a:ln>
            </c:spPr>
            <c:extLst>
              <c:ext xmlns:c16="http://schemas.microsoft.com/office/drawing/2014/chart" uri="{C3380CC4-5D6E-409C-BE32-E72D297353CC}">
                <c16:uniqueId val="{00000257-6533-4801-91F4-C60974D7FA9E}"/>
              </c:ext>
            </c:extLst>
          </c:dPt>
          <c:dPt>
            <c:idx val="17"/>
            <c:bubble3D val="0"/>
            <c:spPr>
              <a:ln w="3175">
                <a:noFill/>
                <a:prstDash val="solid"/>
              </a:ln>
            </c:spPr>
            <c:extLst>
              <c:ext xmlns:c16="http://schemas.microsoft.com/office/drawing/2014/chart" uri="{C3380CC4-5D6E-409C-BE32-E72D297353CC}">
                <c16:uniqueId val="{00000259-6533-4801-91F4-C60974D7FA9E}"/>
              </c:ext>
            </c:extLst>
          </c:dPt>
          <c:dPt>
            <c:idx val="18"/>
            <c:bubble3D val="0"/>
            <c:spPr>
              <a:ln w="3175">
                <a:noFill/>
                <a:prstDash val="solid"/>
              </a:ln>
            </c:spPr>
            <c:extLst>
              <c:ext xmlns:c16="http://schemas.microsoft.com/office/drawing/2014/chart" uri="{C3380CC4-5D6E-409C-BE32-E72D297353CC}">
                <c16:uniqueId val="{0000025B-6533-4801-91F4-C60974D7FA9E}"/>
              </c:ext>
            </c:extLst>
          </c:dPt>
          <c:dPt>
            <c:idx val="19"/>
            <c:bubble3D val="0"/>
            <c:spPr>
              <a:ln w="3175">
                <a:noFill/>
                <a:prstDash val="solid"/>
              </a:ln>
            </c:spPr>
            <c:extLst>
              <c:ext xmlns:c16="http://schemas.microsoft.com/office/drawing/2014/chart" uri="{C3380CC4-5D6E-409C-BE32-E72D297353CC}">
                <c16:uniqueId val="{0000025D-6533-4801-91F4-C60974D7FA9E}"/>
              </c:ext>
            </c:extLst>
          </c:dPt>
          <c:dPt>
            <c:idx val="20"/>
            <c:bubble3D val="0"/>
            <c:spPr>
              <a:ln w="3175">
                <a:noFill/>
                <a:prstDash val="solid"/>
              </a:ln>
            </c:spPr>
            <c:extLst>
              <c:ext xmlns:c16="http://schemas.microsoft.com/office/drawing/2014/chart" uri="{C3380CC4-5D6E-409C-BE32-E72D297353CC}">
                <c16:uniqueId val="{0000025F-6533-4801-91F4-C60974D7FA9E}"/>
              </c:ext>
            </c:extLst>
          </c:dPt>
          <c:dPt>
            <c:idx val="21"/>
            <c:bubble3D val="0"/>
            <c:spPr>
              <a:ln w="3175">
                <a:noFill/>
                <a:prstDash val="solid"/>
              </a:ln>
            </c:spPr>
            <c:extLst>
              <c:ext xmlns:c16="http://schemas.microsoft.com/office/drawing/2014/chart" uri="{C3380CC4-5D6E-409C-BE32-E72D297353CC}">
                <c16:uniqueId val="{00000261-6533-4801-91F4-C60974D7FA9E}"/>
              </c:ext>
            </c:extLst>
          </c:dPt>
          <c:dPt>
            <c:idx val="22"/>
            <c:bubble3D val="0"/>
            <c:spPr>
              <a:ln w="3175">
                <a:noFill/>
                <a:prstDash val="solid"/>
              </a:ln>
            </c:spPr>
            <c:extLst>
              <c:ext xmlns:c16="http://schemas.microsoft.com/office/drawing/2014/chart" uri="{C3380CC4-5D6E-409C-BE32-E72D297353CC}">
                <c16:uniqueId val="{00000263-6533-4801-91F4-C60974D7FA9E}"/>
              </c:ext>
            </c:extLst>
          </c:dPt>
          <c:dPt>
            <c:idx val="23"/>
            <c:bubble3D val="0"/>
            <c:spPr>
              <a:ln w="3175">
                <a:noFill/>
                <a:prstDash val="solid"/>
              </a:ln>
            </c:spPr>
            <c:extLst>
              <c:ext xmlns:c16="http://schemas.microsoft.com/office/drawing/2014/chart" uri="{C3380CC4-5D6E-409C-BE32-E72D297353CC}">
                <c16:uniqueId val="{00000265-6533-4801-91F4-C60974D7FA9E}"/>
              </c:ext>
            </c:extLst>
          </c:dPt>
          <c:dPt>
            <c:idx val="24"/>
            <c:bubble3D val="0"/>
            <c:spPr>
              <a:ln w="3175">
                <a:noFill/>
                <a:prstDash val="solid"/>
              </a:ln>
            </c:spPr>
            <c:extLst>
              <c:ext xmlns:c16="http://schemas.microsoft.com/office/drawing/2014/chart" uri="{C3380CC4-5D6E-409C-BE32-E72D297353CC}">
                <c16:uniqueId val="{00000267-6533-4801-91F4-C60974D7FA9E}"/>
              </c:ext>
            </c:extLst>
          </c:dPt>
          <c:dPt>
            <c:idx val="25"/>
            <c:bubble3D val="0"/>
            <c:spPr>
              <a:ln w="3175">
                <a:noFill/>
                <a:prstDash val="solid"/>
              </a:ln>
            </c:spPr>
            <c:extLst>
              <c:ext xmlns:c16="http://schemas.microsoft.com/office/drawing/2014/chart" uri="{C3380CC4-5D6E-409C-BE32-E72D297353CC}">
                <c16:uniqueId val="{00000269-6533-4801-91F4-C60974D7FA9E}"/>
              </c:ext>
            </c:extLst>
          </c:dPt>
          <c:dPt>
            <c:idx val="26"/>
            <c:bubble3D val="0"/>
            <c:spPr>
              <a:ln w="3175">
                <a:noFill/>
                <a:prstDash val="solid"/>
              </a:ln>
            </c:spPr>
            <c:extLst>
              <c:ext xmlns:c16="http://schemas.microsoft.com/office/drawing/2014/chart" uri="{C3380CC4-5D6E-409C-BE32-E72D297353CC}">
                <c16:uniqueId val="{0000026B-6533-4801-91F4-C60974D7FA9E}"/>
              </c:ext>
            </c:extLst>
          </c:dPt>
          <c:dPt>
            <c:idx val="27"/>
            <c:bubble3D val="0"/>
            <c:spPr>
              <a:ln w="3175">
                <a:noFill/>
                <a:prstDash val="solid"/>
              </a:ln>
            </c:spPr>
            <c:extLst>
              <c:ext xmlns:c16="http://schemas.microsoft.com/office/drawing/2014/chart" uri="{C3380CC4-5D6E-409C-BE32-E72D297353CC}">
                <c16:uniqueId val="{0000026D-6533-4801-91F4-C60974D7FA9E}"/>
              </c:ext>
            </c:extLst>
          </c:dPt>
          <c:dPt>
            <c:idx val="28"/>
            <c:bubble3D val="0"/>
            <c:spPr>
              <a:ln w="3175">
                <a:noFill/>
                <a:prstDash val="solid"/>
              </a:ln>
            </c:spPr>
            <c:extLst>
              <c:ext xmlns:c16="http://schemas.microsoft.com/office/drawing/2014/chart" uri="{C3380CC4-5D6E-409C-BE32-E72D297353CC}">
                <c16:uniqueId val="{0000026F-6533-4801-91F4-C60974D7FA9E}"/>
              </c:ext>
            </c:extLst>
          </c:dPt>
          <c:dPt>
            <c:idx val="29"/>
            <c:bubble3D val="0"/>
            <c:spPr>
              <a:ln w="3175">
                <a:noFill/>
                <a:prstDash val="solid"/>
              </a:ln>
            </c:spPr>
            <c:extLst>
              <c:ext xmlns:c16="http://schemas.microsoft.com/office/drawing/2014/chart" uri="{C3380CC4-5D6E-409C-BE32-E72D297353CC}">
                <c16:uniqueId val="{00000271-6533-4801-91F4-C60974D7FA9E}"/>
              </c:ext>
            </c:extLst>
          </c:dPt>
          <c:dPt>
            <c:idx val="30"/>
            <c:bubble3D val="0"/>
            <c:spPr>
              <a:ln w="3175">
                <a:noFill/>
                <a:prstDash val="solid"/>
              </a:ln>
            </c:spPr>
            <c:extLst>
              <c:ext xmlns:c16="http://schemas.microsoft.com/office/drawing/2014/chart" uri="{C3380CC4-5D6E-409C-BE32-E72D297353CC}">
                <c16:uniqueId val="{00000273-6533-4801-91F4-C60974D7FA9E}"/>
              </c:ext>
            </c:extLst>
          </c:dPt>
          <c:dPt>
            <c:idx val="31"/>
            <c:bubble3D val="0"/>
            <c:spPr>
              <a:ln w="3175">
                <a:noFill/>
                <a:prstDash val="solid"/>
              </a:ln>
            </c:spPr>
            <c:extLst>
              <c:ext xmlns:c16="http://schemas.microsoft.com/office/drawing/2014/chart" uri="{C3380CC4-5D6E-409C-BE32-E72D297353CC}">
                <c16:uniqueId val="{00000275-6533-4801-91F4-C60974D7FA9E}"/>
              </c:ext>
            </c:extLst>
          </c:dPt>
          <c:dPt>
            <c:idx val="32"/>
            <c:bubble3D val="0"/>
            <c:spPr>
              <a:ln w="3175">
                <a:noFill/>
                <a:prstDash val="solid"/>
              </a:ln>
            </c:spPr>
            <c:extLst>
              <c:ext xmlns:c16="http://schemas.microsoft.com/office/drawing/2014/chart" uri="{C3380CC4-5D6E-409C-BE32-E72D297353CC}">
                <c16:uniqueId val="{00000277-6533-4801-91F4-C60974D7FA9E}"/>
              </c:ext>
            </c:extLst>
          </c:dPt>
          <c:dPt>
            <c:idx val="33"/>
            <c:bubble3D val="0"/>
            <c:spPr>
              <a:ln w="3175">
                <a:noFill/>
                <a:prstDash val="solid"/>
              </a:ln>
            </c:spPr>
            <c:extLst>
              <c:ext xmlns:c16="http://schemas.microsoft.com/office/drawing/2014/chart" uri="{C3380CC4-5D6E-409C-BE32-E72D297353CC}">
                <c16:uniqueId val="{00000279-6533-4801-91F4-C60974D7FA9E}"/>
              </c:ext>
            </c:extLst>
          </c:dPt>
          <c:dPt>
            <c:idx val="34"/>
            <c:bubble3D val="0"/>
            <c:spPr>
              <a:ln w="3175">
                <a:noFill/>
                <a:prstDash val="solid"/>
              </a:ln>
            </c:spPr>
            <c:extLst>
              <c:ext xmlns:c16="http://schemas.microsoft.com/office/drawing/2014/chart" uri="{C3380CC4-5D6E-409C-BE32-E72D297353CC}">
                <c16:uniqueId val="{0000027B-6533-4801-91F4-C60974D7FA9E}"/>
              </c:ext>
            </c:extLst>
          </c:dPt>
          <c:dPt>
            <c:idx val="35"/>
            <c:bubble3D val="0"/>
            <c:spPr>
              <a:ln w="3175">
                <a:noFill/>
                <a:prstDash val="solid"/>
              </a:ln>
            </c:spPr>
            <c:extLst>
              <c:ext xmlns:c16="http://schemas.microsoft.com/office/drawing/2014/chart" uri="{C3380CC4-5D6E-409C-BE32-E72D297353CC}">
                <c16:uniqueId val="{0000027D-6533-4801-91F4-C60974D7FA9E}"/>
              </c:ext>
            </c:extLst>
          </c:dPt>
          <c:dPt>
            <c:idx val="36"/>
            <c:bubble3D val="0"/>
            <c:spPr>
              <a:ln w="3175">
                <a:noFill/>
                <a:prstDash val="solid"/>
              </a:ln>
            </c:spPr>
            <c:extLst>
              <c:ext xmlns:c16="http://schemas.microsoft.com/office/drawing/2014/chart" uri="{C3380CC4-5D6E-409C-BE32-E72D297353CC}">
                <c16:uniqueId val="{0000027F-6533-4801-91F4-C60974D7FA9E}"/>
              </c:ext>
            </c:extLst>
          </c:dPt>
          <c:dPt>
            <c:idx val="37"/>
            <c:bubble3D val="0"/>
            <c:spPr>
              <a:ln w="3175">
                <a:noFill/>
                <a:prstDash val="solid"/>
              </a:ln>
            </c:spPr>
            <c:extLst>
              <c:ext xmlns:c16="http://schemas.microsoft.com/office/drawing/2014/chart" uri="{C3380CC4-5D6E-409C-BE32-E72D297353CC}">
                <c16:uniqueId val="{00000281-6533-4801-91F4-C60974D7FA9E}"/>
              </c:ext>
            </c:extLst>
          </c:dPt>
          <c:dPt>
            <c:idx val="38"/>
            <c:bubble3D val="0"/>
            <c:spPr>
              <a:ln w="3175">
                <a:noFill/>
                <a:prstDash val="solid"/>
              </a:ln>
            </c:spPr>
            <c:extLst>
              <c:ext xmlns:c16="http://schemas.microsoft.com/office/drawing/2014/chart" uri="{C3380CC4-5D6E-409C-BE32-E72D297353CC}">
                <c16:uniqueId val="{00000283-6533-4801-91F4-C60974D7FA9E}"/>
              </c:ext>
            </c:extLst>
          </c:dPt>
          <c:dPt>
            <c:idx val="39"/>
            <c:bubble3D val="0"/>
            <c:spPr>
              <a:ln w="3175">
                <a:noFill/>
                <a:prstDash val="solid"/>
              </a:ln>
            </c:spPr>
            <c:extLst>
              <c:ext xmlns:c16="http://schemas.microsoft.com/office/drawing/2014/chart" uri="{C3380CC4-5D6E-409C-BE32-E72D297353CC}">
                <c16:uniqueId val="{00000285-6533-4801-91F4-C60974D7FA9E}"/>
              </c:ext>
            </c:extLst>
          </c:dPt>
          <c:dPt>
            <c:idx val="40"/>
            <c:bubble3D val="0"/>
            <c:spPr>
              <a:ln w="3175">
                <a:noFill/>
                <a:prstDash val="solid"/>
              </a:ln>
            </c:spPr>
            <c:extLst>
              <c:ext xmlns:c16="http://schemas.microsoft.com/office/drawing/2014/chart" uri="{C3380CC4-5D6E-409C-BE32-E72D297353CC}">
                <c16:uniqueId val="{00000287-6533-4801-91F4-C60974D7FA9E}"/>
              </c:ext>
            </c:extLst>
          </c:dPt>
          <c:dPt>
            <c:idx val="41"/>
            <c:bubble3D val="0"/>
            <c:spPr>
              <a:ln w="3175">
                <a:noFill/>
                <a:prstDash val="solid"/>
              </a:ln>
            </c:spPr>
            <c:extLst>
              <c:ext xmlns:c16="http://schemas.microsoft.com/office/drawing/2014/chart" uri="{C3380CC4-5D6E-409C-BE32-E72D297353CC}">
                <c16:uniqueId val="{00000289-6533-4801-91F4-C60974D7FA9E}"/>
              </c:ext>
            </c:extLst>
          </c:dPt>
          <c:dPt>
            <c:idx val="42"/>
            <c:bubble3D val="0"/>
            <c:spPr>
              <a:ln w="3175">
                <a:noFill/>
                <a:prstDash val="solid"/>
              </a:ln>
            </c:spPr>
            <c:extLst>
              <c:ext xmlns:c16="http://schemas.microsoft.com/office/drawing/2014/chart" uri="{C3380CC4-5D6E-409C-BE32-E72D297353CC}">
                <c16:uniqueId val="{0000028B-6533-4801-91F4-C60974D7FA9E}"/>
              </c:ext>
            </c:extLst>
          </c:dPt>
          <c:dPt>
            <c:idx val="43"/>
            <c:bubble3D val="0"/>
            <c:spPr>
              <a:ln w="3175">
                <a:noFill/>
                <a:prstDash val="solid"/>
              </a:ln>
            </c:spPr>
            <c:extLst>
              <c:ext xmlns:c16="http://schemas.microsoft.com/office/drawing/2014/chart" uri="{C3380CC4-5D6E-409C-BE32-E72D297353CC}">
                <c16:uniqueId val="{0000028D-6533-4801-91F4-C60974D7FA9E}"/>
              </c:ext>
            </c:extLst>
          </c:dPt>
          <c:dPt>
            <c:idx val="44"/>
            <c:bubble3D val="0"/>
            <c:spPr>
              <a:ln w="3175">
                <a:noFill/>
                <a:prstDash val="solid"/>
              </a:ln>
            </c:spPr>
            <c:extLst>
              <c:ext xmlns:c16="http://schemas.microsoft.com/office/drawing/2014/chart" uri="{C3380CC4-5D6E-409C-BE32-E72D297353CC}">
                <c16:uniqueId val="{0000028F-6533-4801-91F4-C60974D7FA9E}"/>
              </c:ext>
            </c:extLst>
          </c:dPt>
          <c:dPt>
            <c:idx val="45"/>
            <c:bubble3D val="0"/>
            <c:spPr>
              <a:ln w="3175">
                <a:noFill/>
                <a:prstDash val="solid"/>
              </a:ln>
            </c:spPr>
            <c:extLst>
              <c:ext xmlns:c16="http://schemas.microsoft.com/office/drawing/2014/chart" uri="{C3380CC4-5D6E-409C-BE32-E72D297353CC}">
                <c16:uniqueId val="{00000291-6533-4801-91F4-C60974D7FA9E}"/>
              </c:ext>
            </c:extLst>
          </c:dPt>
          <c:dPt>
            <c:idx val="46"/>
            <c:bubble3D val="0"/>
            <c:spPr>
              <a:ln w="3175">
                <a:noFill/>
                <a:prstDash val="solid"/>
              </a:ln>
            </c:spPr>
            <c:extLst>
              <c:ext xmlns:c16="http://schemas.microsoft.com/office/drawing/2014/chart" uri="{C3380CC4-5D6E-409C-BE32-E72D297353CC}">
                <c16:uniqueId val="{00000293-6533-4801-91F4-C60974D7FA9E}"/>
              </c:ext>
            </c:extLst>
          </c:dPt>
          <c:dPt>
            <c:idx val="47"/>
            <c:bubble3D val="0"/>
            <c:spPr>
              <a:ln w="3175">
                <a:noFill/>
                <a:prstDash val="solid"/>
              </a:ln>
            </c:spPr>
            <c:extLst>
              <c:ext xmlns:c16="http://schemas.microsoft.com/office/drawing/2014/chart" uri="{C3380CC4-5D6E-409C-BE32-E72D297353CC}">
                <c16:uniqueId val="{00000295-6533-4801-91F4-C60974D7FA9E}"/>
              </c:ext>
            </c:extLst>
          </c:dPt>
          <c:dPt>
            <c:idx val="48"/>
            <c:bubble3D val="0"/>
            <c:spPr>
              <a:ln w="3175">
                <a:noFill/>
                <a:prstDash val="solid"/>
              </a:ln>
            </c:spPr>
            <c:extLst>
              <c:ext xmlns:c16="http://schemas.microsoft.com/office/drawing/2014/chart" uri="{C3380CC4-5D6E-409C-BE32-E72D297353CC}">
                <c16:uniqueId val="{00000297-6533-4801-91F4-C60974D7FA9E}"/>
              </c:ext>
            </c:extLst>
          </c:dPt>
          <c:dPt>
            <c:idx val="49"/>
            <c:bubble3D val="0"/>
            <c:spPr>
              <a:ln w="3175">
                <a:noFill/>
                <a:prstDash val="solid"/>
              </a:ln>
            </c:spPr>
            <c:extLst>
              <c:ext xmlns:c16="http://schemas.microsoft.com/office/drawing/2014/chart" uri="{C3380CC4-5D6E-409C-BE32-E72D297353CC}">
                <c16:uniqueId val="{00000299-6533-4801-91F4-C60974D7FA9E}"/>
              </c:ext>
            </c:extLst>
          </c:dPt>
          <c:dPt>
            <c:idx val="50"/>
            <c:bubble3D val="0"/>
            <c:spPr>
              <a:ln w="3175">
                <a:noFill/>
                <a:prstDash val="solid"/>
              </a:ln>
            </c:spPr>
            <c:extLst>
              <c:ext xmlns:c16="http://schemas.microsoft.com/office/drawing/2014/chart" uri="{C3380CC4-5D6E-409C-BE32-E72D297353CC}">
                <c16:uniqueId val="{0000029B-6533-4801-91F4-C60974D7FA9E}"/>
              </c:ext>
            </c:extLst>
          </c:dPt>
          <c:dPt>
            <c:idx val="51"/>
            <c:bubble3D val="0"/>
            <c:spPr>
              <a:ln w="3175">
                <a:noFill/>
                <a:prstDash val="solid"/>
              </a:ln>
            </c:spPr>
            <c:extLst>
              <c:ext xmlns:c16="http://schemas.microsoft.com/office/drawing/2014/chart" uri="{C3380CC4-5D6E-409C-BE32-E72D297353CC}">
                <c16:uniqueId val="{0000029D-6533-4801-91F4-C60974D7FA9E}"/>
              </c:ext>
            </c:extLst>
          </c:dPt>
          <c:dPt>
            <c:idx val="52"/>
            <c:bubble3D val="0"/>
            <c:spPr>
              <a:ln w="3175">
                <a:noFill/>
                <a:prstDash val="solid"/>
              </a:ln>
            </c:spPr>
            <c:extLst>
              <c:ext xmlns:c16="http://schemas.microsoft.com/office/drawing/2014/chart" uri="{C3380CC4-5D6E-409C-BE32-E72D297353CC}">
                <c16:uniqueId val="{0000029F-6533-4801-91F4-C60974D7FA9E}"/>
              </c:ext>
            </c:extLst>
          </c:dPt>
          <c:dPt>
            <c:idx val="53"/>
            <c:bubble3D val="0"/>
            <c:spPr>
              <a:ln w="3175">
                <a:noFill/>
                <a:prstDash val="solid"/>
              </a:ln>
            </c:spPr>
            <c:extLst>
              <c:ext xmlns:c16="http://schemas.microsoft.com/office/drawing/2014/chart" uri="{C3380CC4-5D6E-409C-BE32-E72D297353CC}">
                <c16:uniqueId val="{000002A1-6533-4801-91F4-C60974D7FA9E}"/>
              </c:ext>
            </c:extLst>
          </c:dPt>
          <c:dPt>
            <c:idx val="54"/>
            <c:bubble3D val="0"/>
            <c:spPr>
              <a:ln w="3175">
                <a:noFill/>
                <a:prstDash val="solid"/>
              </a:ln>
            </c:spPr>
            <c:extLst>
              <c:ext xmlns:c16="http://schemas.microsoft.com/office/drawing/2014/chart" uri="{C3380CC4-5D6E-409C-BE32-E72D297353CC}">
                <c16:uniqueId val="{000002A3-6533-4801-91F4-C60974D7FA9E}"/>
              </c:ext>
            </c:extLst>
          </c:dPt>
          <c:dPt>
            <c:idx val="55"/>
            <c:bubble3D val="0"/>
            <c:spPr>
              <a:ln w="3175">
                <a:noFill/>
                <a:prstDash val="solid"/>
              </a:ln>
            </c:spPr>
            <c:extLst>
              <c:ext xmlns:c16="http://schemas.microsoft.com/office/drawing/2014/chart" uri="{C3380CC4-5D6E-409C-BE32-E72D297353CC}">
                <c16:uniqueId val="{000002A5-6533-4801-91F4-C60974D7FA9E}"/>
              </c:ext>
            </c:extLst>
          </c:dPt>
          <c:dPt>
            <c:idx val="56"/>
            <c:bubble3D val="0"/>
            <c:spPr>
              <a:ln w="3175">
                <a:noFill/>
                <a:prstDash val="solid"/>
              </a:ln>
            </c:spPr>
            <c:extLst>
              <c:ext xmlns:c16="http://schemas.microsoft.com/office/drawing/2014/chart" uri="{C3380CC4-5D6E-409C-BE32-E72D297353CC}">
                <c16:uniqueId val="{000002A7-6533-4801-91F4-C60974D7FA9E}"/>
              </c:ext>
            </c:extLst>
          </c:dPt>
          <c:dPt>
            <c:idx val="57"/>
            <c:bubble3D val="0"/>
            <c:spPr>
              <a:ln w="3175">
                <a:noFill/>
                <a:prstDash val="solid"/>
              </a:ln>
            </c:spPr>
            <c:extLst>
              <c:ext xmlns:c16="http://schemas.microsoft.com/office/drawing/2014/chart" uri="{C3380CC4-5D6E-409C-BE32-E72D297353CC}">
                <c16:uniqueId val="{000002A9-6533-4801-91F4-C60974D7FA9E}"/>
              </c:ext>
            </c:extLst>
          </c:dPt>
          <c:dPt>
            <c:idx val="58"/>
            <c:bubble3D val="0"/>
            <c:spPr>
              <a:ln w="3175">
                <a:noFill/>
                <a:prstDash val="solid"/>
              </a:ln>
            </c:spPr>
            <c:extLst>
              <c:ext xmlns:c16="http://schemas.microsoft.com/office/drawing/2014/chart" uri="{C3380CC4-5D6E-409C-BE32-E72D297353CC}">
                <c16:uniqueId val="{000002AB-6533-4801-91F4-C60974D7FA9E}"/>
              </c:ext>
            </c:extLst>
          </c:dPt>
          <c:dPt>
            <c:idx val="59"/>
            <c:bubble3D val="0"/>
            <c:spPr>
              <a:ln w="3175">
                <a:noFill/>
                <a:prstDash val="solid"/>
              </a:ln>
            </c:spPr>
            <c:extLst>
              <c:ext xmlns:c16="http://schemas.microsoft.com/office/drawing/2014/chart" uri="{C3380CC4-5D6E-409C-BE32-E72D297353CC}">
                <c16:uniqueId val="{000002AD-6533-4801-91F4-C60974D7FA9E}"/>
              </c:ext>
            </c:extLst>
          </c:dPt>
          <c:dPt>
            <c:idx val="60"/>
            <c:bubble3D val="0"/>
            <c:spPr>
              <a:ln w="3175">
                <a:noFill/>
                <a:prstDash val="solid"/>
              </a:ln>
            </c:spPr>
            <c:extLst>
              <c:ext xmlns:c16="http://schemas.microsoft.com/office/drawing/2014/chart" uri="{C3380CC4-5D6E-409C-BE32-E72D297353CC}">
                <c16:uniqueId val="{000002AF-6533-4801-91F4-C60974D7FA9E}"/>
              </c:ext>
            </c:extLst>
          </c:dPt>
          <c:dPt>
            <c:idx val="61"/>
            <c:bubble3D val="0"/>
            <c:spPr>
              <a:ln w="3175">
                <a:noFill/>
                <a:prstDash val="solid"/>
              </a:ln>
            </c:spPr>
            <c:extLst>
              <c:ext xmlns:c16="http://schemas.microsoft.com/office/drawing/2014/chart" uri="{C3380CC4-5D6E-409C-BE32-E72D297353CC}">
                <c16:uniqueId val="{000002B1-6533-4801-91F4-C60974D7FA9E}"/>
              </c:ext>
            </c:extLst>
          </c:dPt>
          <c:dPt>
            <c:idx val="62"/>
            <c:bubble3D val="0"/>
            <c:spPr>
              <a:ln w="3175">
                <a:noFill/>
                <a:prstDash val="solid"/>
              </a:ln>
            </c:spPr>
            <c:extLst>
              <c:ext xmlns:c16="http://schemas.microsoft.com/office/drawing/2014/chart" uri="{C3380CC4-5D6E-409C-BE32-E72D297353CC}">
                <c16:uniqueId val="{000002B3-6533-4801-91F4-C60974D7FA9E}"/>
              </c:ext>
            </c:extLst>
          </c:dPt>
          <c:dPt>
            <c:idx val="63"/>
            <c:bubble3D val="0"/>
            <c:spPr>
              <a:ln w="3175">
                <a:noFill/>
                <a:prstDash val="solid"/>
              </a:ln>
            </c:spPr>
            <c:extLst>
              <c:ext xmlns:c16="http://schemas.microsoft.com/office/drawing/2014/chart" uri="{C3380CC4-5D6E-409C-BE32-E72D297353CC}">
                <c16:uniqueId val="{000002B5-6533-4801-91F4-C60974D7FA9E}"/>
              </c:ext>
            </c:extLst>
          </c:dPt>
          <c:dPt>
            <c:idx val="64"/>
            <c:bubble3D val="0"/>
            <c:spPr>
              <a:ln w="3175">
                <a:noFill/>
                <a:prstDash val="solid"/>
              </a:ln>
            </c:spPr>
            <c:extLst>
              <c:ext xmlns:c16="http://schemas.microsoft.com/office/drawing/2014/chart" uri="{C3380CC4-5D6E-409C-BE32-E72D297353CC}">
                <c16:uniqueId val="{000002B7-6533-4801-91F4-C60974D7FA9E}"/>
              </c:ext>
            </c:extLst>
          </c:dPt>
          <c:dPt>
            <c:idx val="65"/>
            <c:bubble3D val="0"/>
            <c:spPr>
              <a:ln w="3175">
                <a:noFill/>
                <a:prstDash val="solid"/>
              </a:ln>
            </c:spPr>
            <c:extLst>
              <c:ext xmlns:c16="http://schemas.microsoft.com/office/drawing/2014/chart" uri="{C3380CC4-5D6E-409C-BE32-E72D297353CC}">
                <c16:uniqueId val="{000002B9-6533-4801-91F4-C60974D7FA9E}"/>
              </c:ext>
            </c:extLst>
          </c:dPt>
          <c:dPt>
            <c:idx val="66"/>
            <c:bubble3D val="0"/>
            <c:spPr>
              <a:ln w="3175">
                <a:noFill/>
                <a:prstDash val="solid"/>
              </a:ln>
            </c:spPr>
            <c:extLst>
              <c:ext xmlns:c16="http://schemas.microsoft.com/office/drawing/2014/chart" uri="{C3380CC4-5D6E-409C-BE32-E72D297353CC}">
                <c16:uniqueId val="{000002BB-6533-4801-91F4-C60974D7FA9E}"/>
              </c:ext>
            </c:extLst>
          </c:dPt>
          <c:dPt>
            <c:idx val="67"/>
            <c:bubble3D val="0"/>
            <c:spPr>
              <a:ln w="3175">
                <a:noFill/>
                <a:prstDash val="solid"/>
              </a:ln>
            </c:spPr>
            <c:extLst>
              <c:ext xmlns:c16="http://schemas.microsoft.com/office/drawing/2014/chart" uri="{C3380CC4-5D6E-409C-BE32-E72D297353CC}">
                <c16:uniqueId val="{000002BD-6533-4801-91F4-C60974D7FA9E}"/>
              </c:ext>
            </c:extLst>
          </c:dPt>
          <c:dPt>
            <c:idx val="68"/>
            <c:bubble3D val="0"/>
            <c:spPr>
              <a:ln w="3175">
                <a:noFill/>
                <a:prstDash val="solid"/>
              </a:ln>
            </c:spPr>
            <c:extLst>
              <c:ext xmlns:c16="http://schemas.microsoft.com/office/drawing/2014/chart" uri="{C3380CC4-5D6E-409C-BE32-E72D297353CC}">
                <c16:uniqueId val="{000002BF-6533-4801-91F4-C60974D7FA9E}"/>
              </c:ext>
            </c:extLst>
          </c:dPt>
          <c:dPt>
            <c:idx val="69"/>
            <c:bubble3D val="0"/>
            <c:spPr>
              <a:ln w="3175">
                <a:noFill/>
                <a:prstDash val="solid"/>
              </a:ln>
            </c:spPr>
            <c:extLst>
              <c:ext xmlns:c16="http://schemas.microsoft.com/office/drawing/2014/chart" uri="{C3380CC4-5D6E-409C-BE32-E72D297353CC}">
                <c16:uniqueId val="{000002C1-6533-4801-91F4-C60974D7FA9E}"/>
              </c:ext>
            </c:extLst>
          </c:dPt>
          <c:dPt>
            <c:idx val="70"/>
            <c:bubble3D val="0"/>
            <c:spPr>
              <a:ln w="3175">
                <a:noFill/>
                <a:prstDash val="solid"/>
              </a:ln>
            </c:spPr>
            <c:extLst>
              <c:ext xmlns:c16="http://schemas.microsoft.com/office/drawing/2014/chart" uri="{C3380CC4-5D6E-409C-BE32-E72D297353CC}">
                <c16:uniqueId val="{000002C3-6533-4801-91F4-C60974D7FA9E}"/>
              </c:ext>
            </c:extLst>
          </c:dPt>
          <c:dPt>
            <c:idx val="71"/>
            <c:bubble3D val="0"/>
            <c:spPr>
              <a:ln w="3175">
                <a:noFill/>
                <a:prstDash val="solid"/>
              </a:ln>
            </c:spPr>
            <c:extLst>
              <c:ext xmlns:c16="http://schemas.microsoft.com/office/drawing/2014/chart" uri="{C3380CC4-5D6E-409C-BE32-E72D297353CC}">
                <c16:uniqueId val="{000002C5-6533-4801-91F4-C60974D7FA9E}"/>
              </c:ext>
            </c:extLst>
          </c:dPt>
          <c:dPt>
            <c:idx val="72"/>
            <c:bubble3D val="0"/>
            <c:spPr>
              <a:ln w="3175">
                <a:noFill/>
                <a:prstDash val="solid"/>
              </a:ln>
            </c:spPr>
            <c:extLst>
              <c:ext xmlns:c16="http://schemas.microsoft.com/office/drawing/2014/chart" uri="{C3380CC4-5D6E-409C-BE32-E72D297353CC}">
                <c16:uniqueId val="{000002C7-6533-4801-91F4-C60974D7FA9E}"/>
              </c:ext>
            </c:extLst>
          </c:dPt>
          <c:dPt>
            <c:idx val="73"/>
            <c:bubble3D val="0"/>
            <c:spPr>
              <a:ln w="3175">
                <a:noFill/>
                <a:prstDash val="solid"/>
              </a:ln>
            </c:spPr>
            <c:extLst>
              <c:ext xmlns:c16="http://schemas.microsoft.com/office/drawing/2014/chart" uri="{C3380CC4-5D6E-409C-BE32-E72D297353CC}">
                <c16:uniqueId val="{000002C9-6533-4801-91F4-C60974D7FA9E}"/>
              </c:ext>
            </c:extLst>
          </c:dPt>
          <c:dPt>
            <c:idx val="74"/>
            <c:bubble3D val="0"/>
            <c:spPr>
              <a:ln w="3175">
                <a:noFill/>
                <a:prstDash val="solid"/>
              </a:ln>
            </c:spPr>
            <c:extLst>
              <c:ext xmlns:c16="http://schemas.microsoft.com/office/drawing/2014/chart" uri="{C3380CC4-5D6E-409C-BE32-E72D297353CC}">
                <c16:uniqueId val="{000002CB-6533-4801-91F4-C60974D7FA9E}"/>
              </c:ext>
            </c:extLst>
          </c:dPt>
          <c:dPt>
            <c:idx val="75"/>
            <c:bubble3D val="0"/>
            <c:spPr>
              <a:ln w="3175">
                <a:noFill/>
                <a:prstDash val="solid"/>
              </a:ln>
            </c:spPr>
            <c:extLst>
              <c:ext xmlns:c16="http://schemas.microsoft.com/office/drawing/2014/chart" uri="{C3380CC4-5D6E-409C-BE32-E72D297353CC}">
                <c16:uniqueId val="{000002CD-6533-4801-91F4-C60974D7FA9E}"/>
              </c:ext>
            </c:extLst>
          </c:dPt>
          <c:dPt>
            <c:idx val="76"/>
            <c:bubble3D val="0"/>
            <c:spPr>
              <a:ln w="3175">
                <a:noFill/>
                <a:prstDash val="solid"/>
              </a:ln>
            </c:spPr>
            <c:extLst>
              <c:ext xmlns:c16="http://schemas.microsoft.com/office/drawing/2014/chart" uri="{C3380CC4-5D6E-409C-BE32-E72D297353CC}">
                <c16:uniqueId val="{000002CF-6533-4801-91F4-C60974D7FA9E}"/>
              </c:ext>
            </c:extLst>
          </c:dPt>
          <c:dPt>
            <c:idx val="77"/>
            <c:bubble3D val="0"/>
            <c:spPr>
              <a:ln w="3175">
                <a:noFill/>
                <a:prstDash val="solid"/>
              </a:ln>
            </c:spPr>
            <c:extLst>
              <c:ext xmlns:c16="http://schemas.microsoft.com/office/drawing/2014/chart" uri="{C3380CC4-5D6E-409C-BE32-E72D297353CC}">
                <c16:uniqueId val="{000002D1-6533-4801-91F4-C60974D7FA9E}"/>
              </c:ext>
            </c:extLst>
          </c:dPt>
          <c:dPt>
            <c:idx val="78"/>
            <c:bubble3D val="0"/>
            <c:spPr>
              <a:ln w="3175">
                <a:noFill/>
                <a:prstDash val="solid"/>
              </a:ln>
            </c:spPr>
            <c:extLst>
              <c:ext xmlns:c16="http://schemas.microsoft.com/office/drawing/2014/chart" uri="{C3380CC4-5D6E-409C-BE32-E72D297353CC}">
                <c16:uniqueId val="{000002D3-6533-4801-91F4-C60974D7FA9E}"/>
              </c:ext>
            </c:extLst>
          </c:dPt>
          <c:dPt>
            <c:idx val="79"/>
            <c:bubble3D val="0"/>
            <c:spPr>
              <a:ln w="3175">
                <a:noFill/>
                <a:prstDash val="solid"/>
              </a:ln>
            </c:spPr>
            <c:extLst>
              <c:ext xmlns:c16="http://schemas.microsoft.com/office/drawing/2014/chart" uri="{C3380CC4-5D6E-409C-BE32-E72D297353CC}">
                <c16:uniqueId val="{000002D5-6533-4801-91F4-C60974D7FA9E}"/>
              </c:ext>
            </c:extLst>
          </c:dPt>
          <c:dPt>
            <c:idx val="80"/>
            <c:bubble3D val="0"/>
            <c:spPr>
              <a:ln w="3175">
                <a:noFill/>
                <a:prstDash val="solid"/>
              </a:ln>
            </c:spPr>
            <c:extLst>
              <c:ext xmlns:c16="http://schemas.microsoft.com/office/drawing/2014/chart" uri="{C3380CC4-5D6E-409C-BE32-E72D297353CC}">
                <c16:uniqueId val="{000002D7-6533-4801-91F4-C60974D7FA9E}"/>
              </c:ext>
            </c:extLst>
          </c:dPt>
          <c:dPt>
            <c:idx val="81"/>
            <c:bubble3D val="0"/>
            <c:spPr>
              <a:ln w="3175">
                <a:noFill/>
                <a:prstDash val="solid"/>
              </a:ln>
            </c:spPr>
            <c:extLst>
              <c:ext xmlns:c16="http://schemas.microsoft.com/office/drawing/2014/chart" uri="{C3380CC4-5D6E-409C-BE32-E72D297353CC}">
                <c16:uniqueId val="{000002D9-6533-4801-91F4-C60974D7FA9E}"/>
              </c:ext>
            </c:extLst>
          </c:dPt>
          <c:dPt>
            <c:idx val="82"/>
            <c:bubble3D val="0"/>
            <c:spPr>
              <a:ln w="3175">
                <a:noFill/>
                <a:prstDash val="solid"/>
              </a:ln>
            </c:spPr>
            <c:extLst>
              <c:ext xmlns:c16="http://schemas.microsoft.com/office/drawing/2014/chart" uri="{C3380CC4-5D6E-409C-BE32-E72D297353CC}">
                <c16:uniqueId val="{000002DB-6533-4801-91F4-C60974D7FA9E}"/>
              </c:ext>
            </c:extLst>
          </c:dPt>
          <c:dPt>
            <c:idx val="83"/>
            <c:bubble3D val="0"/>
            <c:spPr>
              <a:ln w="3175">
                <a:noFill/>
                <a:prstDash val="solid"/>
              </a:ln>
            </c:spPr>
            <c:extLst>
              <c:ext xmlns:c16="http://schemas.microsoft.com/office/drawing/2014/chart" uri="{C3380CC4-5D6E-409C-BE32-E72D297353CC}">
                <c16:uniqueId val="{000002DD-6533-4801-91F4-C60974D7FA9E}"/>
              </c:ext>
            </c:extLst>
          </c:dPt>
          <c:dPt>
            <c:idx val="84"/>
            <c:bubble3D val="0"/>
            <c:spPr>
              <a:ln w="3175">
                <a:noFill/>
                <a:prstDash val="solid"/>
              </a:ln>
            </c:spPr>
            <c:extLst>
              <c:ext xmlns:c16="http://schemas.microsoft.com/office/drawing/2014/chart" uri="{C3380CC4-5D6E-409C-BE32-E72D297353CC}">
                <c16:uniqueId val="{000002DF-6533-4801-91F4-C60974D7FA9E}"/>
              </c:ext>
            </c:extLst>
          </c:dPt>
          <c:dPt>
            <c:idx val="85"/>
            <c:bubble3D val="0"/>
            <c:spPr>
              <a:ln w="3175">
                <a:noFill/>
                <a:prstDash val="solid"/>
              </a:ln>
            </c:spPr>
            <c:extLst>
              <c:ext xmlns:c16="http://schemas.microsoft.com/office/drawing/2014/chart" uri="{C3380CC4-5D6E-409C-BE32-E72D297353CC}">
                <c16:uniqueId val="{000002E1-6533-4801-91F4-C60974D7FA9E}"/>
              </c:ext>
            </c:extLst>
          </c:dPt>
          <c:dPt>
            <c:idx val="86"/>
            <c:bubble3D val="0"/>
            <c:spPr>
              <a:ln w="3175">
                <a:noFill/>
                <a:prstDash val="solid"/>
              </a:ln>
            </c:spPr>
            <c:extLst>
              <c:ext xmlns:c16="http://schemas.microsoft.com/office/drawing/2014/chart" uri="{C3380CC4-5D6E-409C-BE32-E72D297353CC}">
                <c16:uniqueId val="{000002E3-6533-4801-91F4-C60974D7FA9E}"/>
              </c:ext>
            </c:extLst>
          </c:dPt>
          <c:dPt>
            <c:idx val="87"/>
            <c:bubble3D val="0"/>
            <c:spPr>
              <a:ln w="3175">
                <a:noFill/>
                <a:prstDash val="solid"/>
              </a:ln>
            </c:spPr>
            <c:extLst>
              <c:ext xmlns:c16="http://schemas.microsoft.com/office/drawing/2014/chart" uri="{C3380CC4-5D6E-409C-BE32-E72D297353CC}">
                <c16:uniqueId val="{000002E5-6533-4801-91F4-C60974D7FA9E}"/>
              </c:ext>
            </c:extLst>
          </c:dPt>
          <c:dPt>
            <c:idx val="88"/>
            <c:bubble3D val="0"/>
            <c:spPr>
              <a:ln w="3175">
                <a:noFill/>
                <a:prstDash val="solid"/>
              </a:ln>
            </c:spPr>
            <c:extLst>
              <c:ext xmlns:c16="http://schemas.microsoft.com/office/drawing/2014/chart" uri="{C3380CC4-5D6E-409C-BE32-E72D297353CC}">
                <c16:uniqueId val="{000002E7-6533-4801-91F4-C60974D7FA9E}"/>
              </c:ext>
            </c:extLst>
          </c:dPt>
          <c:dPt>
            <c:idx val="89"/>
            <c:bubble3D val="0"/>
            <c:spPr>
              <a:ln w="3175">
                <a:noFill/>
                <a:prstDash val="solid"/>
              </a:ln>
            </c:spPr>
            <c:extLst>
              <c:ext xmlns:c16="http://schemas.microsoft.com/office/drawing/2014/chart" uri="{C3380CC4-5D6E-409C-BE32-E72D297353CC}">
                <c16:uniqueId val="{000002E9-6533-4801-91F4-C60974D7FA9E}"/>
              </c:ext>
            </c:extLst>
          </c:dPt>
          <c:dPt>
            <c:idx val="90"/>
            <c:bubble3D val="0"/>
            <c:spPr>
              <a:ln w="3175">
                <a:noFill/>
                <a:prstDash val="solid"/>
              </a:ln>
            </c:spPr>
            <c:extLst>
              <c:ext xmlns:c16="http://schemas.microsoft.com/office/drawing/2014/chart" uri="{C3380CC4-5D6E-409C-BE32-E72D297353CC}">
                <c16:uniqueId val="{000002EB-6533-4801-91F4-C60974D7FA9E}"/>
              </c:ext>
            </c:extLst>
          </c:dPt>
          <c:dPt>
            <c:idx val="91"/>
            <c:bubble3D val="0"/>
            <c:spPr>
              <a:ln w="3175">
                <a:noFill/>
                <a:prstDash val="solid"/>
              </a:ln>
            </c:spPr>
            <c:extLst>
              <c:ext xmlns:c16="http://schemas.microsoft.com/office/drawing/2014/chart" uri="{C3380CC4-5D6E-409C-BE32-E72D297353CC}">
                <c16:uniqueId val="{000002ED-6533-4801-91F4-C60974D7FA9E}"/>
              </c:ext>
            </c:extLst>
          </c:dPt>
          <c:dPt>
            <c:idx val="92"/>
            <c:bubble3D val="0"/>
            <c:spPr>
              <a:ln w="3175">
                <a:noFill/>
                <a:prstDash val="solid"/>
              </a:ln>
            </c:spPr>
            <c:extLst>
              <c:ext xmlns:c16="http://schemas.microsoft.com/office/drawing/2014/chart" uri="{C3380CC4-5D6E-409C-BE32-E72D297353CC}">
                <c16:uniqueId val="{000002EF-6533-4801-91F4-C60974D7FA9E}"/>
              </c:ext>
            </c:extLst>
          </c:dPt>
          <c:dPt>
            <c:idx val="93"/>
            <c:bubble3D val="0"/>
            <c:spPr>
              <a:ln w="3175">
                <a:noFill/>
                <a:prstDash val="solid"/>
              </a:ln>
            </c:spPr>
            <c:extLst>
              <c:ext xmlns:c16="http://schemas.microsoft.com/office/drawing/2014/chart" uri="{C3380CC4-5D6E-409C-BE32-E72D297353CC}">
                <c16:uniqueId val="{000002F1-6533-4801-91F4-C60974D7FA9E}"/>
              </c:ext>
            </c:extLst>
          </c:dPt>
          <c:dPt>
            <c:idx val="94"/>
            <c:bubble3D val="0"/>
            <c:spPr>
              <a:ln w="3175">
                <a:noFill/>
                <a:prstDash val="solid"/>
              </a:ln>
            </c:spPr>
            <c:extLst>
              <c:ext xmlns:c16="http://schemas.microsoft.com/office/drawing/2014/chart" uri="{C3380CC4-5D6E-409C-BE32-E72D297353CC}">
                <c16:uniqueId val="{000002F3-6533-4801-91F4-C60974D7FA9E}"/>
              </c:ext>
            </c:extLst>
          </c:dPt>
          <c:dPt>
            <c:idx val="95"/>
            <c:bubble3D val="0"/>
            <c:spPr>
              <a:ln w="3175">
                <a:noFill/>
                <a:prstDash val="solid"/>
              </a:ln>
            </c:spPr>
            <c:extLst>
              <c:ext xmlns:c16="http://schemas.microsoft.com/office/drawing/2014/chart" uri="{C3380CC4-5D6E-409C-BE32-E72D297353CC}">
                <c16:uniqueId val="{000002F5-6533-4801-91F4-C60974D7FA9E}"/>
              </c:ext>
            </c:extLst>
          </c:dPt>
          <c:dPt>
            <c:idx val="96"/>
            <c:bubble3D val="0"/>
            <c:spPr>
              <a:ln w="3175">
                <a:noFill/>
                <a:prstDash val="solid"/>
              </a:ln>
            </c:spPr>
            <c:extLst>
              <c:ext xmlns:c16="http://schemas.microsoft.com/office/drawing/2014/chart" uri="{C3380CC4-5D6E-409C-BE32-E72D297353CC}">
                <c16:uniqueId val="{000002F7-6533-4801-91F4-C60974D7FA9E}"/>
              </c:ext>
            </c:extLst>
          </c:dPt>
          <c:dPt>
            <c:idx val="97"/>
            <c:bubble3D val="0"/>
            <c:spPr>
              <a:ln w="3175">
                <a:noFill/>
                <a:prstDash val="solid"/>
              </a:ln>
            </c:spPr>
            <c:extLst>
              <c:ext xmlns:c16="http://schemas.microsoft.com/office/drawing/2014/chart" uri="{C3380CC4-5D6E-409C-BE32-E72D297353CC}">
                <c16:uniqueId val="{000002F9-6533-4801-91F4-C60974D7FA9E}"/>
              </c:ext>
            </c:extLst>
          </c:dPt>
          <c:dPt>
            <c:idx val="98"/>
            <c:bubble3D val="0"/>
            <c:spPr>
              <a:ln w="3175">
                <a:noFill/>
                <a:prstDash val="solid"/>
              </a:ln>
            </c:spPr>
            <c:extLst>
              <c:ext xmlns:c16="http://schemas.microsoft.com/office/drawing/2014/chart" uri="{C3380CC4-5D6E-409C-BE32-E72D297353CC}">
                <c16:uniqueId val="{000002FB-6533-4801-91F4-C60974D7FA9E}"/>
              </c:ext>
            </c:extLst>
          </c:dPt>
          <c:dPt>
            <c:idx val="99"/>
            <c:bubble3D val="0"/>
            <c:spPr>
              <a:ln w="3175">
                <a:noFill/>
                <a:prstDash val="solid"/>
              </a:ln>
            </c:spPr>
            <c:extLst>
              <c:ext xmlns:c16="http://schemas.microsoft.com/office/drawing/2014/chart" uri="{C3380CC4-5D6E-409C-BE32-E72D297353CC}">
                <c16:uniqueId val="{000002FD-6533-4801-91F4-C60974D7FA9E}"/>
              </c:ext>
            </c:extLst>
          </c:dPt>
          <c:dPt>
            <c:idx val="100"/>
            <c:bubble3D val="0"/>
            <c:spPr>
              <a:ln w="3175">
                <a:noFill/>
                <a:prstDash val="solid"/>
              </a:ln>
            </c:spPr>
            <c:extLst>
              <c:ext xmlns:c16="http://schemas.microsoft.com/office/drawing/2014/chart" uri="{C3380CC4-5D6E-409C-BE32-E72D297353CC}">
                <c16:uniqueId val="{000002FF-6533-4801-91F4-C60974D7FA9E}"/>
              </c:ext>
            </c:extLst>
          </c:dPt>
          <c:dPt>
            <c:idx val="101"/>
            <c:bubble3D val="0"/>
            <c:spPr>
              <a:ln w="3175">
                <a:noFill/>
                <a:prstDash val="solid"/>
              </a:ln>
            </c:spPr>
            <c:extLst>
              <c:ext xmlns:c16="http://schemas.microsoft.com/office/drawing/2014/chart" uri="{C3380CC4-5D6E-409C-BE32-E72D297353CC}">
                <c16:uniqueId val="{00000301-6533-4801-91F4-C60974D7FA9E}"/>
              </c:ext>
            </c:extLst>
          </c:dPt>
          <c:dPt>
            <c:idx val="102"/>
            <c:bubble3D val="0"/>
            <c:spPr>
              <a:ln w="3175">
                <a:noFill/>
                <a:prstDash val="solid"/>
              </a:ln>
            </c:spPr>
            <c:extLst>
              <c:ext xmlns:c16="http://schemas.microsoft.com/office/drawing/2014/chart" uri="{C3380CC4-5D6E-409C-BE32-E72D297353CC}">
                <c16:uniqueId val="{00000303-6533-4801-91F4-C60974D7FA9E}"/>
              </c:ext>
            </c:extLst>
          </c:dPt>
          <c:dPt>
            <c:idx val="103"/>
            <c:bubble3D val="0"/>
            <c:spPr>
              <a:ln w="3175">
                <a:noFill/>
                <a:prstDash val="solid"/>
              </a:ln>
            </c:spPr>
            <c:extLst>
              <c:ext xmlns:c16="http://schemas.microsoft.com/office/drawing/2014/chart" uri="{C3380CC4-5D6E-409C-BE32-E72D297353CC}">
                <c16:uniqueId val="{00000305-6533-4801-91F4-C60974D7FA9E}"/>
              </c:ext>
            </c:extLst>
          </c:dPt>
          <c:dPt>
            <c:idx val="104"/>
            <c:bubble3D val="0"/>
            <c:spPr>
              <a:ln w="3175">
                <a:noFill/>
                <a:prstDash val="solid"/>
              </a:ln>
            </c:spPr>
            <c:extLst>
              <c:ext xmlns:c16="http://schemas.microsoft.com/office/drawing/2014/chart" uri="{C3380CC4-5D6E-409C-BE32-E72D297353CC}">
                <c16:uniqueId val="{00000307-6533-4801-91F4-C60974D7FA9E}"/>
              </c:ext>
            </c:extLst>
          </c:dPt>
          <c:dPt>
            <c:idx val="105"/>
            <c:bubble3D val="0"/>
            <c:spPr>
              <a:ln w="3175">
                <a:noFill/>
                <a:prstDash val="solid"/>
              </a:ln>
            </c:spPr>
            <c:extLst>
              <c:ext xmlns:c16="http://schemas.microsoft.com/office/drawing/2014/chart" uri="{C3380CC4-5D6E-409C-BE32-E72D297353CC}">
                <c16:uniqueId val="{00000309-6533-4801-91F4-C60974D7FA9E}"/>
              </c:ext>
            </c:extLst>
          </c:dPt>
          <c:dPt>
            <c:idx val="106"/>
            <c:bubble3D val="0"/>
            <c:spPr>
              <a:ln w="3175">
                <a:noFill/>
                <a:prstDash val="solid"/>
              </a:ln>
            </c:spPr>
            <c:extLst>
              <c:ext xmlns:c16="http://schemas.microsoft.com/office/drawing/2014/chart" uri="{C3380CC4-5D6E-409C-BE32-E72D297353CC}">
                <c16:uniqueId val="{0000030B-6533-4801-91F4-C60974D7FA9E}"/>
              </c:ext>
            </c:extLst>
          </c:dPt>
          <c:dPt>
            <c:idx val="107"/>
            <c:bubble3D val="0"/>
            <c:spPr>
              <a:ln w="3175">
                <a:noFill/>
                <a:prstDash val="solid"/>
              </a:ln>
            </c:spPr>
            <c:extLst>
              <c:ext xmlns:c16="http://schemas.microsoft.com/office/drawing/2014/chart" uri="{C3380CC4-5D6E-409C-BE32-E72D297353CC}">
                <c16:uniqueId val="{0000030D-6533-4801-91F4-C60974D7FA9E}"/>
              </c:ext>
            </c:extLst>
          </c:dPt>
          <c:dPt>
            <c:idx val="108"/>
            <c:bubble3D val="0"/>
            <c:spPr>
              <a:ln w="3175">
                <a:noFill/>
                <a:prstDash val="solid"/>
              </a:ln>
            </c:spPr>
            <c:extLst>
              <c:ext xmlns:c16="http://schemas.microsoft.com/office/drawing/2014/chart" uri="{C3380CC4-5D6E-409C-BE32-E72D297353CC}">
                <c16:uniqueId val="{0000030F-6533-4801-91F4-C60974D7FA9E}"/>
              </c:ext>
            </c:extLst>
          </c:dPt>
          <c:dPt>
            <c:idx val="109"/>
            <c:bubble3D val="0"/>
            <c:spPr>
              <a:ln w="3175">
                <a:noFill/>
                <a:prstDash val="solid"/>
              </a:ln>
            </c:spPr>
            <c:extLst>
              <c:ext xmlns:c16="http://schemas.microsoft.com/office/drawing/2014/chart" uri="{C3380CC4-5D6E-409C-BE32-E72D297353CC}">
                <c16:uniqueId val="{00000311-6533-4801-91F4-C60974D7FA9E}"/>
              </c:ext>
            </c:extLst>
          </c:dPt>
          <c:dPt>
            <c:idx val="110"/>
            <c:bubble3D val="0"/>
            <c:spPr>
              <a:ln w="3175">
                <a:noFill/>
                <a:prstDash val="solid"/>
              </a:ln>
            </c:spPr>
            <c:extLst>
              <c:ext xmlns:c16="http://schemas.microsoft.com/office/drawing/2014/chart" uri="{C3380CC4-5D6E-409C-BE32-E72D297353CC}">
                <c16:uniqueId val="{00000313-6533-4801-91F4-C60974D7FA9E}"/>
              </c:ext>
            </c:extLst>
          </c:dPt>
          <c:dPt>
            <c:idx val="111"/>
            <c:bubble3D val="0"/>
            <c:spPr>
              <a:ln w="3175">
                <a:noFill/>
                <a:prstDash val="solid"/>
              </a:ln>
            </c:spPr>
            <c:extLst>
              <c:ext xmlns:c16="http://schemas.microsoft.com/office/drawing/2014/chart" uri="{C3380CC4-5D6E-409C-BE32-E72D297353CC}">
                <c16:uniqueId val="{00000315-6533-4801-91F4-C60974D7FA9E}"/>
              </c:ext>
            </c:extLst>
          </c:dPt>
          <c:dPt>
            <c:idx val="112"/>
            <c:bubble3D val="0"/>
            <c:spPr>
              <a:ln w="3175">
                <a:noFill/>
                <a:prstDash val="solid"/>
              </a:ln>
            </c:spPr>
            <c:extLst>
              <c:ext xmlns:c16="http://schemas.microsoft.com/office/drawing/2014/chart" uri="{C3380CC4-5D6E-409C-BE32-E72D297353CC}">
                <c16:uniqueId val="{00000317-6533-4801-91F4-C60974D7FA9E}"/>
              </c:ext>
            </c:extLst>
          </c:dPt>
          <c:dPt>
            <c:idx val="113"/>
            <c:bubble3D val="0"/>
            <c:spPr>
              <a:ln w="3175">
                <a:noFill/>
                <a:prstDash val="solid"/>
              </a:ln>
            </c:spPr>
            <c:extLst>
              <c:ext xmlns:c16="http://schemas.microsoft.com/office/drawing/2014/chart" uri="{C3380CC4-5D6E-409C-BE32-E72D297353CC}">
                <c16:uniqueId val="{00000319-6533-4801-91F4-C60974D7FA9E}"/>
              </c:ext>
            </c:extLst>
          </c:dPt>
          <c:dPt>
            <c:idx val="114"/>
            <c:bubble3D val="0"/>
            <c:spPr>
              <a:ln w="3175">
                <a:noFill/>
                <a:prstDash val="solid"/>
              </a:ln>
            </c:spPr>
            <c:extLst>
              <c:ext xmlns:c16="http://schemas.microsoft.com/office/drawing/2014/chart" uri="{C3380CC4-5D6E-409C-BE32-E72D297353CC}">
                <c16:uniqueId val="{0000031B-6533-4801-91F4-C60974D7FA9E}"/>
              </c:ext>
            </c:extLst>
          </c:dPt>
          <c:dPt>
            <c:idx val="115"/>
            <c:bubble3D val="0"/>
            <c:spPr>
              <a:ln w="3175">
                <a:noFill/>
                <a:prstDash val="solid"/>
              </a:ln>
            </c:spPr>
            <c:extLst>
              <c:ext xmlns:c16="http://schemas.microsoft.com/office/drawing/2014/chart" uri="{C3380CC4-5D6E-409C-BE32-E72D297353CC}">
                <c16:uniqueId val="{0000031D-6533-4801-91F4-C60974D7FA9E}"/>
              </c:ext>
            </c:extLst>
          </c:dPt>
          <c:dPt>
            <c:idx val="116"/>
            <c:bubble3D val="0"/>
            <c:spPr>
              <a:ln w="3175">
                <a:noFill/>
                <a:prstDash val="solid"/>
              </a:ln>
            </c:spPr>
            <c:extLst>
              <c:ext xmlns:c16="http://schemas.microsoft.com/office/drawing/2014/chart" uri="{C3380CC4-5D6E-409C-BE32-E72D297353CC}">
                <c16:uniqueId val="{0000031F-6533-4801-91F4-C60974D7FA9E}"/>
              </c:ext>
            </c:extLst>
          </c:dPt>
          <c:dPt>
            <c:idx val="117"/>
            <c:bubble3D val="0"/>
            <c:spPr>
              <a:ln w="3175">
                <a:noFill/>
                <a:prstDash val="solid"/>
              </a:ln>
            </c:spPr>
            <c:extLst>
              <c:ext xmlns:c16="http://schemas.microsoft.com/office/drawing/2014/chart" uri="{C3380CC4-5D6E-409C-BE32-E72D297353CC}">
                <c16:uniqueId val="{00000321-6533-4801-91F4-C60974D7FA9E}"/>
              </c:ext>
            </c:extLst>
          </c:dPt>
          <c:dPt>
            <c:idx val="118"/>
            <c:bubble3D val="0"/>
            <c:spPr>
              <a:ln w="3175">
                <a:noFill/>
                <a:prstDash val="solid"/>
              </a:ln>
            </c:spPr>
            <c:extLst>
              <c:ext xmlns:c16="http://schemas.microsoft.com/office/drawing/2014/chart" uri="{C3380CC4-5D6E-409C-BE32-E72D297353CC}">
                <c16:uniqueId val="{00000323-6533-4801-91F4-C60974D7FA9E}"/>
              </c:ext>
            </c:extLst>
          </c:dPt>
          <c:dPt>
            <c:idx val="119"/>
            <c:bubble3D val="0"/>
            <c:spPr>
              <a:ln w="3175">
                <a:noFill/>
                <a:prstDash val="solid"/>
              </a:ln>
            </c:spPr>
            <c:extLst>
              <c:ext xmlns:c16="http://schemas.microsoft.com/office/drawing/2014/chart" uri="{C3380CC4-5D6E-409C-BE32-E72D297353CC}">
                <c16:uniqueId val="{00000325-6533-4801-91F4-C60974D7FA9E}"/>
              </c:ext>
            </c:extLst>
          </c:dPt>
          <c:dPt>
            <c:idx val="120"/>
            <c:bubble3D val="0"/>
            <c:spPr>
              <a:ln w="3175">
                <a:noFill/>
                <a:prstDash val="solid"/>
              </a:ln>
            </c:spPr>
            <c:extLst>
              <c:ext xmlns:c16="http://schemas.microsoft.com/office/drawing/2014/chart" uri="{C3380CC4-5D6E-409C-BE32-E72D297353CC}">
                <c16:uniqueId val="{00000327-6533-4801-91F4-C60974D7FA9E}"/>
              </c:ext>
            </c:extLst>
          </c:dPt>
          <c:dPt>
            <c:idx val="121"/>
            <c:bubble3D val="0"/>
            <c:spPr>
              <a:ln w="3175">
                <a:noFill/>
                <a:prstDash val="solid"/>
              </a:ln>
            </c:spPr>
            <c:extLst>
              <c:ext xmlns:c16="http://schemas.microsoft.com/office/drawing/2014/chart" uri="{C3380CC4-5D6E-409C-BE32-E72D297353CC}">
                <c16:uniqueId val="{00000329-6533-4801-91F4-C60974D7FA9E}"/>
              </c:ext>
            </c:extLst>
          </c:dPt>
          <c:dPt>
            <c:idx val="122"/>
            <c:bubble3D val="0"/>
            <c:spPr>
              <a:ln w="3175">
                <a:noFill/>
                <a:prstDash val="solid"/>
              </a:ln>
            </c:spPr>
            <c:extLst>
              <c:ext xmlns:c16="http://schemas.microsoft.com/office/drawing/2014/chart" uri="{C3380CC4-5D6E-409C-BE32-E72D297353CC}">
                <c16:uniqueId val="{0000032B-6533-4801-91F4-C60974D7FA9E}"/>
              </c:ext>
            </c:extLst>
          </c:dPt>
          <c:dPt>
            <c:idx val="123"/>
            <c:bubble3D val="0"/>
            <c:spPr>
              <a:ln w="3175">
                <a:noFill/>
                <a:prstDash val="solid"/>
              </a:ln>
            </c:spPr>
            <c:extLst>
              <c:ext xmlns:c16="http://schemas.microsoft.com/office/drawing/2014/chart" uri="{C3380CC4-5D6E-409C-BE32-E72D297353CC}">
                <c16:uniqueId val="{0000032D-6533-4801-91F4-C60974D7FA9E}"/>
              </c:ext>
            </c:extLst>
          </c:dPt>
          <c:dPt>
            <c:idx val="124"/>
            <c:bubble3D val="0"/>
            <c:spPr>
              <a:ln w="3175">
                <a:noFill/>
                <a:prstDash val="solid"/>
              </a:ln>
            </c:spPr>
            <c:extLst>
              <c:ext xmlns:c16="http://schemas.microsoft.com/office/drawing/2014/chart" uri="{C3380CC4-5D6E-409C-BE32-E72D297353CC}">
                <c16:uniqueId val="{0000032F-6533-4801-91F4-C60974D7FA9E}"/>
              </c:ext>
            </c:extLst>
          </c:dPt>
          <c:dPt>
            <c:idx val="125"/>
            <c:bubble3D val="0"/>
            <c:spPr>
              <a:ln w="3175">
                <a:noFill/>
                <a:prstDash val="solid"/>
              </a:ln>
            </c:spPr>
            <c:extLst>
              <c:ext xmlns:c16="http://schemas.microsoft.com/office/drawing/2014/chart" uri="{C3380CC4-5D6E-409C-BE32-E72D297353CC}">
                <c16:uniqueId val="{00000331-6533-4801-91F4-C60974D7FA9E}"/>
              </c:ext>
            </c:extLst>
          </c:dPt>
          <c:dPt>
            <c:idx val="126"/>
            <c:bubble3D val="0"/>
            <c:spPr>
              <a:ln w="3175">
                <a:noFill/>
                <a:prstDash val="solid"/>
              </a:ln>
            </c:spPr>
            <c:extLst>
              <c:ext xmlns:c16="http://schemas.microsoft.com/office/drawing/2014/chart" uri="{C3380CC4-5D6E-409C-BE32-E72D297353CC}">
                <c16:uniqueId val="{00000333-6533-4801-91F4-C60974D7FA9E}"/>
              </c:ext>
            </c:extLst>
          </c:dPt>
          <c:dPt>
            <c:idx val="127"/>
            <c:bubble3D val="0"/>
            <c:spPr>
              <a:ln w="3175">
                <a:noFill/>
                <a:prstDash val="solid"/>
              </a:ln>
            </c:spPr>
            <c:extLst>
              <c:ext xmlns:c16="http://schemas.microsoft.com/office/drawing/2014/chart" uri="{C3380CC4-5D6E-409C-BE32-E72D297353CC}">
                <c16:uniqueId val="{00000335-6533-4801-91F4-C60974D7FA9E}"/>
              </c:ext>
            </c:extLst>
          </c:dPt>
          <c:dPt>
            <c:idx val="128"/>
            <c:bubble3D val="0"/>
            <c:spPr>
              <a:ln w="3175">
                <a:noFill/>
                <a:prstDash val="solid"/>
              </a:ln>
            </c:spPr>
            <c:extLst>
              <c:ext xmlns:c16="http://schemas.microsoft.com/office/drawing/2014/chart" uri="{C3380CC4-5D6E-409C-BE32-E72D297353CC}">
                <c16:uniqueId val="{00000337-6533-4801-91F4-C60974D7FA9E}"/>
              </c:ext>
            </c:extLst>
          </c:dPt>
          <c:dPt>
            <c:idx val="129"/>
            <c:bubble3D val="0"/>
            <c:spPr>
              <a:ln w="3175">
                <a:noFill/>
                <a:prstDash val="solid"/>
              </a:ln>
            </c:spPr>
            <c:extLst>
              <c:ext xmlns:c16="http://schemas.microsoft.com/office/drawing/2014/chart" uri="{C3380CC4-5D6E-409C-BE32-E72D297353CC}">
                <c16:uniqueId val="{00000339-6533-4801-91F4-C60974D7FA9E}"/>
              </c:ext>
            </c:extLst>
          </c:dPt>
          <c:dPt>
            <c:idx val="130"/>
            <c:bubble3D val="0"/>
            <c:spPr>
              <a:ln w="3175">
                <a:noFill/>
                <a:prstDash val="solid"/>
              </a:ln>
            </c:spPr>
            <c:extLst>
              <c:ext xmlns:c16="http://schemas.microsoft.com/office/drawing/2014/chart" uri="{C3380CC4-5D6E-409C-BE32-E72D297353CC}">
                <c16:uniqueId val="{0000033B-6533-4801-91F4-C60974D7FA9E}"/>
              </c:ext>
            </c:extLst>
          </c:dPt>
          <c:dPt>
            <c:idx val="131"/>
            <c:bubble3D val="0"/>
            <c:spPr>
              <a:ln w="3175">
                <a:noFill/>
                <a:prstDash val="solid"/>
              </a:ln>
            </c:spPr>
            <c:extLst>
              <c:ext xmlns:c16="http://schemas.microsoft.com/office/drawing/2014/chart" uri="{C3380CC4-5D6E-409C-BE32-E72D297353CC}">
                <c16:uniqueId val="{0000033D-6533-4801-91F4-C60974D7FA9E}"/>
              </c:ext>
            </c:extLst>
          </c:dPt>
          <c:dPt>
            <c:idx val="132"/>
            <c:bubble3D val="0"/>
            <c:spPr>
              <a:ln w="3175">
                <a:noFill/>
                <a:prstDash val="solid"/>
              </a:ln>
            </c:spPr>
            <c:extLst>
              <c:ext xmlns:c16="http://schemas.microsoft.com/office/drawing/2014/chart" uri="{C3380CC4-5D6E-409C-BE32-E72D297353CC}">
                <c16:uniqueId val="{0000033F-6533-4801-91F4-C60974D7FA9E}"/>
              </c:ext>
            </c:extLst>
          </c:dPt>
          <c:dPt>
            <c:idx val="133"/>
            <c:bubble3D val="0"/>
            <c:spPr>
              <a:ln w="3175">
                <a:noFill/>
                <a:prstDash val="solid"/>
              </a:ln>
            </c:spPr>
            <c:extLst>
              <c:ext xmlns:c16="http://schemas.microsoft.com/office/drawing/2014/chart" uri="{C3380CC4-5D6E-409C-BE32-E72D297353CC}">
                <c16:uniqueId val="{00000341-6533-4801-91F4-C60974D7FA9E}"/>
              </c:ext>
            </c:extLst>
          </c:dPt>
          <c:dPt>
            <c:idx val="134"/>
            <c:bubble3D val="0"/>
            <c:spPr>
              <a:ln w="3175">
                <a:noFill/>
                <a:prstDash val="solid"/>
              </a:ln>
            </c:spPr>
            <c:extLst>
              <c:ext xmlns:c16="http://schemas.microsoft.com/office/drawing/2014/chart" uri="{C3380CC4-5D6E-409C-BE32-E72D297353CC}">
                <c16:uniqueId val="{00000343-6533-4801-91F4-C60974D7FA9E}"/>
              </c:ext>
            </c:extLst>
          </c:dPt>
          <c:dPt>
            <c:idx val="135"/>
            <c:bubble3D val="0"/>
            <c:spPr>
              <a:ln w="3175">
                <a:noFill/>
                <a:prstDash val="solid"/>
              </a:ln>
            </c:spPr>
            <c:extLst>
              <c:ext xmlns:c16="http://schemas.microsoft.com/office/drawing/2014/chart" uri="{C3380CC4-5D6E-409C-BE32-E72D297353CC}">
                <c16:uniqueId val="{00000345-6533-4801-91F4-C60974D7FA9E}"/>
              </c:ext>
            </c:extLst>
          </c:dPt>
          <c:dPt>
            <c:idx val="136"/>
            <c:bubble3D val="0"/>
            <c:spPr>
              <a:ln w="3175">
                <a:noFill/>
                <a:prstDash val="solid"/>
              </a:ln>
            </c:spPr>
            <c:extLst>
              <c:ext xmlns:c16="http://schemas.microsoft.com/office/drawing/2014/chart" uri="{C3380CC4-5D6E-409C-BE32-E72D297353CC}">
                <c16:uniqueId val="{00000347-6533-4801-91F4-C60974D7FA9E}"/>
              </c:ext>
            </c:extLst>
          </c:dPt>
          <c:dPt>
            <c:idx val="137"/>
            <c:bubble3D val="0"/>
            <c:spPr>
              <a:ln w="3175">
                <a:noFill/>
                <a:prstDash val="solid"/>
              </a:ln>
            </c:spPr>
            <c:extLst>
              <c:ext xmlns:c16="http://schemas.microsoft.com/office/drawing/2014/chart" uri="{C3380CC4-5D6E-409C-BE32-E72D297353CC}">
                <c16:uniqueId val="{00000349-6533-4801-91F4-C60974D7FA9E}"/>
              </c:ext>
            </c:extLst>
          </c:dPt>
          <c:dPt>
            <c:idx val="138"/>
            <c:bubble3D val="0"/>
            <c:spPr>
              <a:ln w="3175">
                <a:noFill/>
                <a:prstDash val="solid"/>
              </a:ln>
            </c:spPr>
            <c:extLst>
              <c:ext xmlns:c16="http://schemas.microsoft.com/office/drawing/2014/chart" uri="{C3380CC4-5D6E-409C-BE32-E72D297353CC}">
                <c16:uniqueId val="{0000034B-6533-4801-91F4-C60974D7FA9E}"/>
              </c:ext>
            </c:extLst>
          </c:dPt>
          <c:dPt>
            <c:idx val="139"/>
            <c:bubble3D val="0"/>
            <c:spPr>
              <a:ln w="3175">
                <a:noFill/>
                <a:prstDash val="solid"/>
              </a:ln>
            </c:spPr>
            <c:extLst>
              <c:ext xmlns:c16="http://schemas.microsoft.com/office/drawing/2014/chart" uri="{C3380CC4-5D6E-409C-BE32-E72D297353CC}">
                <c16:uniqueId val="{0000034D-6533-4801-91F4-C60974D7FA9E}"/>
              </c:ext>
            </c:extLst>
          </c:dPt>
          <c:dPt>
            <c:idx val="140"/>
            <c:bubble3D val="0"/>
            <c:spPr>
              <a:ln w="3175">
                <a:noFill/>
                <a:prstDash val="solid"/>
              </a:ln>
            </c:spPr>
            <c:extLst>
              <c:ext xmlns:c16="http://schemas.microsoft.com/office/drawing/2014/chart" uri="{C3380CC4-5D6E-409C-BE32-E72D297353CC}">
                <c16:uniqueId val="{0000034F-6533-4801-91F4-C60974D7FA9E}"/>
              </c:ext>
            </c:extLst>
          </c:dPt>
          <c:xVal>
            <c:numRef>
              <c:f>[0]!Day_No</c:f>
              <c:numCache>
                <c:formatCode>General</c:formatCode>
                <c:ptCount val="14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numCache>
            </c:numRef>
          </c:xVal>
          <c:yVal>
            <c:numRef>
              <c:f>[0]!RcRate</c:f>
              <c:numCache>
                <c:formatCode>0.00</c:formatCode>
                <c:ptCount val="1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numCache>
            </c:numRef>
          </c:yVal>
          <c:smooth val="0"/>
          <c:extLst>
            <c:ext xmlns:c16="http://schemas.microsoft.com/office/drawing/2014/chart" uri="{C3380CC4-5D6E-409C-BE32-E72D297353CC}">
              <c16:uniqueId val="{00000350-6533-4801-91F4-C60974D7FA9E}"/>
            </c:ext>
          </c:extLst>
        </c:ser>
        <c:ser>
          <c:idx val="2"/>
          <c:order val="3"/>
          <c:tx>
            <c:v>Rf_Series</c:v>
          </c:tx>
          <c:spPr>
            <a:ln w="19050">
              <a:noFill/>
              <a:prstDash val="lgDash"/>
            </a:ln>
          </c:spPr>
          <c:marker>
            <c:symbol val="dash"/>
            <c:size val="4"/>
            <c:spPr>
              <a:noFill/>
              <a:ln>
                <a:solidFill>
                  <a:srgbClr val="000000"/>
                </a:solidFill>
              </a:ln>
            </c:spPr>
          </c:marker>
          <c:xVal>
            <c:numRef>
              <c:f>[0]!Day_No</c:f>
              <c:numCache>
                <c:formatCode>General</c:formatCode>
                <c:ptCount val="14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numCache>
            </c:numRef>
          </c:xVal>
          <c:yVal>
            <c:numRef>
              <c:f>[0]!RecFloor</c:f>
              <c:numCache>
                <c:formatCode>0.00</c:formatCode>
                <c:ptCount val="1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numCache>
            </c:numRef>
          </c:yVal>
          <c:smooth val="0"/>
          <c:extLst>
            <c:ext xmlns:c16="http://schemas.microsoft.com/office/drawing/2014/chart" uri="{C3380CC4-5D6E-409C-BE32-E72D297353CC}">
              <c16:uniqueId val="{00000351-6533-4801-91F4-C60974D7FA9E}"/>
            </c:ext>
          </c:extLst>
        </c:ser>
        <c:ser>
          <c:idx val="59"/>
          <c:order val="4"/>
          <c:tx>
            <c:v>Date_Series</c:v>
          </c:tx>
          <c:spPr>
            <a:ln w="28575">
              <a:noFill/>
            </a:ln>
          </c:spPr>
          <c:marker>
            <c:symbol val="plus"/>
            <c:size val="4"/>
            <c:spPr>
              <a:noFill/>
              <a:ln>
                <a:solidFill>
                  <a:schemeClr val="bg1">
                    <a:lumMod val="65000"/>
                  </a:schemeClr>
                </a:solidFill>
              </a:ln>
            </c:spPr>
          </c:marker>
          <c:dLbls>
            <c:dLbl>
              <c:idx val="0"/>
              <c:tx>
                <c:strRef>
                  <c:f>Progress_Record!$U$6</c:f>
                  <c:strCache>
                    <c:ptCount val="1"/>
                    <c:pt idx="0">
                      <c:v>05/10/20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{3E706F0E-85B6-4442-851D-54BB890E82EE}</c15:txfldGUID>
                      <c15:f>Progress_Record!$U$6</c15:f>
                      <c15:dlblFieldTableCache>
                        <c:ptCount val="1"/>
                        <c:pt idx="0">
                          <c:v>05/10/20</c:v>
                        </c:pt>
                      </c15:dlblFieldTableCache>
                    </c15:dlblFTEntry>
                  </c15:dlblFieldTable>
                  <c15:showDataLabelsRange val="0"/>
                </c:ext>
                <c:ext xmlns:c16="http://schemas.microsoft.com/office/drawing/2014/chart" uri="{C3380CC4-5D6E-409C-BE32-E72D297353CC}">
                  <c16:uniqueId val="{00000352-6533-4801-91F4-C60974D7FA9E}"/>
                </c:ext>
              </c:extLst>
            </c:dLbl>
            <c:dLbl>
              <c:idx val="1"/>
              <c:tx>
                <c:strRef>
                  <c:f>Progress_Record!$U$7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{E7909A2D-CB05-4854-A715-C6BD68FD3063}</c15:txfldGUID>
                      <c15:f>Progress_Record!$U$7</c15:f>
                      <c15:dlblFieldTableCache>
                        <c:ptCount val="1"/>
                        <c:pt idx="0">
                          <c:v>#N/A</c:v>
                        </c:pt>
                      </c15:dlblFieldTableCache>
                    </c15:dlblFTEntry>
                  </c15:dlblFieldTable>
                  <c15:showDataLabelsRange val="0"/>
                </c:ext>
                <c:ext xmlns:c16="http://schemas.microsoft.com/office/drawing/2014/chart" uri="{C3380CC4-5D6E-409C-BE32-E72D297353CC}">
                  <c16:uniqueId val="{00000353-6533-4801-91F4-C60974D7FA9E}"/>
                </c:ext>
              </c:extLst>
            </c:dLbl>
            <c:dLbl>
              <c:idx val="2"/>
              <c:tx>
                <c:strRef>
                  <c:f>Progress_Record!$U$8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{298AD252-62B1-46DB-BF82-3F193B93CB98}</c15:txfldGUID>
                      <c15:f>Progress_Record!$U$8</c15:f>
                      <c15:dlblFieldTableCache>
                        <c:ptCount val="1"/>
                        <c:pt idx="0">
                          <c:v>#N/A</c:v>
                        </c:pt>
                      </c15:dlblFieldTableCache>
                    </c15:dlblFTEntry>
                  </c15:dlblFieldTable>
                  <c15:showDataLabelsRange val="0"/>
                </c:ext>
                <c:ext xmlns:c16="http://schemas.microsoft.com/office/drawing/2014/chart" uri="{C3380CC4-5D6E-409C-BE32-E72D297353CC}">
                  <c16:uniqueId val="{00000354-6533-4801-91F4-C60974D7FA9E}"/>
                </c:ext>
              </c:extLst>
            </c:dLbl>
            <c:dLbl>
              <c:idx val="3"/>
              <c:tx>
                <c:strRef>
                  <c:f>Progress_Record!$U$9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{05F1EA85-3F8A-4BDF-8C36-288DC2657453}</c15:txfldGUID>
                      <c15:f>Progress_Record!$U$9</c15:f>
                      <c15:dlblFieldTableCache>
                        <c:ptCount val="1"/>
                        <c:pt idx="0">
                          <c:v>#N/A</c:v>
                        </c:pt>
                      </c15:dlblFieldTableCache>
                    </c15:dlblFTEntry>
                  </c15:dlblFieldTable>
                  <c15:showDataLabelsRange val="0"/>
                </c:ext>
                <c:ext xmlns:c16="http://schemas.microsoft.com/office/drawing/2014/chart" uri="{C3380CC4-5D6E-409C-BE32-E72D297353CC}">
                  <c16:uniqueId val="{00000355-6533-4801-91F4-C60974D7FA9E}"/>
                </c:ext>
              </c:extLst>
            </c:dLbl>
            <c:dLbl>
              <c:idx val="4"/>
              <c:tx>
                <c:strRef>
                  <c:f>Progress_Record!$U$10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{218E351C-CAB0-4333-97A6-F4DCA1A3C934}</c15:txfldGUID>
                      <c15:f>Progress_Record!$U$10</c15:f>
                      <c15:dlblFieldTableCache>
                        <c:ptCount val="1"/>
                        <c:pt idx="0">
                          <c:v>#N/A</c:v>
                        </c:pt>
                      </c15:dlblFieldTableCache>
                    </c15:dlblFTEntry>
                  </c15:dlblFieldTable>
                  <c15:showDataLabelsRange val="0"/>
                </c:ext>
                <c:ext xmlns:c16="http://schemas.microsoft.com/office/drawing/2014/chart" uri="{C3380CC4-5D6E-409C-BE32-E72D297353CC}">
                  <c16:uniqueId val="{00000356-6533-4801-91F4-C60974D7FA9E}"/>
                </c:ext>
              </c:extLst>
            </c:dLbl>
            <c:dLbl>
              <c:idx val="5"/>
              <c:tx>
                <c:strRef>
                  <c:f>Progress_Record!$U$11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{31C16AC3-70CC-496D-9FD2-AC82A18FB60F}</c15:txfldGUID>
                      <c15:f>Progress_Record!$U$11</c15:f>
                      <c15:dlblFieldTableCache>
                        <c:ptCount val="1"/>
                        <c:pt idx="0">
                          <c:v>#N/A</c:v>
                        </c:pt>
                      </c15:dlblFieldTableCache>
                    </c15:dlblFTEntry>
                  </c15:dlblFieldTable>
                  <c15:showDataLabelsRange val="0"/>
                </c:ext>
                <c:ext xmlns:c16="http://schemas.microsoft.com/office/drawing/2014/chart" uri="{C3380CC4-5D6E-409C-BE32-E72D297353CC}">
                  <c16:uniqueId val="{00000357-6533-4801-91F4-C60974D7FA9E}"/>
                </c:ext>
              </c:extLst>
            </c:dLbl>
            <c:dLbl>
              <c:idx val="6"/>
              <c:tx>
                <c:strRef>
                  <c:f>Progress_Record!$U$12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{6E70DEA1-F657-4D84-8CC6-E888A0029D2D}</c15:txfldGUID>
                      <c15:f>Progress_Record!$U$12</c15:f>
                      <c15:dlblFieldTableCache>
                        <c:ptCount val="1"/>
                        <c:pt idx="0">
                          <c:v>#N/A</c:v>
                        </c:pt>
                      </c15:dlblFieldTableCache>
                    </c15:dlblFTEntry>
                  </c15:dlblFieldTable>
                  <c15:showDataLabelsRange val="0"/>
                </c:ext>
                <c:ext xmlns:c16="http://schemas.microsoft.com/office/drawing/2014/chart" uri="{C3380CC4-5D6E-409C-BE32-E72D297353CC}">
                  <c16:uniqueId val="{00000358-6533-4801-91F4-C60974D7FA9E}"/>
                </c:ext>
              </c:extLst>
            </c:dLbl>
            <c:dLbl>
              <c:idx val="7"/>
              <c:tx>
                <c:strRef>
                  <c:f>Progress_Record!$U$13</c:f>
                  <c:strCache>
                    <c:ptCount val="1"/>
                    <c:pt idx="0">
                      <c:v>05/17/20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{6092E14C-35C6-4E6C-B23D-3E6B002EC6D7}</c15:txfldGUID>
                      <c15:f>Progress_Record!$U$13</c15:f>
                      <c15:dlblFieldTableCache>
                        <c:ptCount val="1"/>
                        <c:pt idx="0">
                          <c:v>05/17/20</c:v>
                        </c:pt>
                      </c15:dlblFieldTableCache>
                    </c15:dlblFTEntry>
                  </c15:dlblFieldTable>
                  <c15:showDataLabelsRange val="0"/>
                </c:ext>
                <c:ext xmlns:c16="http://schemas.microsoft.com/office/drawing/2014/chart" uri="{C3380CC4-5D6E-409C-BE32-E72D297353CC}">
                  <c16:uniqueId val="{00000359-6533-4801-91F4-C60974D7FA9E}"/>
                </c:ext>
              </c:extLst>
            </c:dLbl>
            <c:dLbl>
              <c:idx val="8"/>
              <c:tx>
                <c:strRef>
                  <c:f>Progress_Record!$U$14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{B60525A9-D83A-404F-A7C7-F72C76CEED91}</c15:txfldGUID>
                      <c15:f>Progress_Record!$U$14</c15:f>
                      <c15:dlblFieldTableCache>
                        <c:ptCount val="1"/>
                        <c:pt idx="0">
                          <c:v>#N/A</c:v>
                        </c:pt>
                      </c15:dlblFieldTableCache>
                    </c15:dlblFTEntry>
                  </c15:dlblFieldTable>
                  <c15:showDataLabelsRange val="0"/>
                </c:ext>
                <c:ext xmlns:c16="http://schemas.microsoft.com/office/drawing/2014/chart" uri="{C3380CC4-5D6E-409C-BE32-E72D297353CC}">
                  <c16:uniqueId val="{0000035A-6533-4801-91F4-C60974D7FA9E}"/>
                </c:ext>
              </c:extLst>
            </c:dLbl>
            <c:dLbl>
              <c:idx val="9"/>
              <c:tx>
                <c:strRef>
                  <c:f>Progress_Record!$U$15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{35DF5039-0B09-40A8-A41D-8EA35B7BD666}</c15:txfldGUID>
                      <c15:f>Progress_Record!$U$15</c15:f>
                      <c15:dlblFieldTableCache>
                        <c:ptCount val="1"/>
                        <c:pt idx="0">
                          <c:v>#N/A</c:v>
                        </c:pt>
                      </c15:dlblFieldTableCache>
                    </c15:dlblFTEntry>
                  </c15:dlblFieldTable>
                  <c15:showDataLabelsRange val="0"/>
                </c:ext>
                <c:ext xmlns:c16="http://schemas.microsoft.com/office/drawing/2014/chart" uri="{C3380CC4-5D6E-409C-BE32-E72D297353CC}">
                  <c16:uniqueId val="{0000035B-6533-4801-91F4-C60974D7FA9E}"/>
                </c:ext>
              </c:extLst>
            </c:dLbl>
            <c:dLbl>
              <c:idx val="10"/>
              <c:tx>
                <c:strRef>
                  <c:f>Progress_Record!$U$16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{53EE599B-5E79-4519-B4C8-42675FE3BD8F}</c15:txfldGUID>
                      <c15:f>Progress_Record!$U$16</c15:f>
                      <c15:dlblFieldTableCache>
                        <c:ptCount val="1"/>
                        <c:pt idx="0">
                          <c:v>#N/A</c:v>
                        </c:pt>
                      </c15:dlblFieldTableCache>
                    </c15:dlblFTEntry>
                  </c15:dlblFieldTable>
                  <c15:showDataLabelsRange val="0"/>
                </c:ext>
                <c:ext xmlns:c16="http://schemas.microsoft.com/office/drawing/2014/chart" uri="{C3380CC4-5D6E-409C-BE32-E72D297353CC}">
                  <c16:uniqueId val="{0000035C-6533-4801-91F4-C60974D7FA9E}"/>
                </c:ext>
              </c:extLst>
            </c:dLbl>
            <c:dLbl>
              <c:idx val="11"/>
              <c:tx>
                <c:strRef>
                  <c:f>Progress_Record!$U$17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{8EEE99E0-1EE0-4CB7-BE55-7B10A5BFCDA6}</c15:txfldGUID>
                      <c15:f>Progress_Record!$U$17</c15:f>
                      <c15:dlblFieldTableCache>
                        <c:ptCount val="1"/>
                        <c:pt idx="0">
                          <c:v>#N/A</c:v>
                        </c:pt>
                      </c15:dlblFieldTableCache>
                    </c15:dlblFTEntry>
                  </c15:dlblFieldTable>
                  <c15:showDataLabelsRange val="0"/>
                </c:ext>
                <c:ext xmlns:c16="http://schemas.microsoft.com/office/drawing/2014/chart" uri="{C3380CC4-5D6E-409C-BE32-E72D297353CC}">
                  <c16:uniqueId val="{0000035D-6533-4801-91F4-C60974D7FA9E}"/>
                </c:ext>
              </c:extLst>
            </c:dLbl>
            <c:dLbl>
              <c:idx val="12"/>
              <c:tx>
                <c:strRef>
                  <c:f>Progress_Record!$U$18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{62A0311F-C007-4B05-82C2-D9C49A62701B}</c15:txfldGUID>
                      <c15:f>Progress_Record!$U$18</c15:f>
                      <c15:dlblFieldTableCache>
                        <c:ptCount val="1"/>
                        <c:pt idx="0">
                          <c:v>#N/A</c:v>
                        </c:pt>
                      </c15:dlblFieldTableCache>
                    </c15:dlblFTEntry>
                  </c15:dlblFieldTable>
                  <c15:showDataLabelsRange val="0"/>
                </c:ext>
                <c:ext xmlns:c16="http://schemas.microsoft.com/office/drawing/2014/chart" uri="{C3380CC4-5D6E-409C-BE32-E72D297353CC}">
                  <c16:uniqueId val="{0000035E-6533-4801-91F4-C60974D7FA9E}"/>
                </c:ext>
              </c:extLst>
            </c:dLbl>
            <c:dLbl>
              <c:idx val="13"/>
              <c:tx>
                <c:strRef>
                  <c:f>Progress_Record!$U$19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{0DB70F19-01F5-435D-948C-F5833ACCC31E}</c15:txfldGUID>
                      <c15:f>Progress_Record!$U$19</c15:f>
                      <c15:dlblFieldTableCache>
                        <c:ptCount val="1"/>
                        <c:pt idx="0">
                          <c:v>#N/A</c:v>
                        </c:pt>
                      </c15:dlblFieldTableCache>
                    </c15:dlblFTEntry>
                  </c15:dlblFieldTable>
                  <c15:showDataLabelsRange val="0"/>
                </c:ext>
                <c:ext xmlns:c16="http://schemas.microsoft.com/office/drawing/2014/chart" uri="{C3380CC4-5D6E-409C-BE32-E72D297353CC}">
                  <c16:uniqueId val="{0000035F-6533-4801-91F4-C60974D7FA9E}"/>
                </c:ext>
              </c:extLst>
            </c:dLbl>
            <c:dLbl>
              <c:idx val="14"/>
              <c:tx>
                <c:strRef>
                  <c:f>Progress_Record!$U$20</c:f>
                  <c:strCache>
                    <c:ptCount val="1"/>
                    <c:pt idx="0">
                      <c:v>05/24/20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{713DE027-1F48-42BE-A771-510E552FBE4C}</c15:txfldGUID>
                      <c15:f>Progress_Record!$U$20</c15:f>
                      <c15:dlblFieldTableCache>
                        <c:ptCount val="1"/>
                        <c:pt idx="0">
                          <c:v>05/24/20</c:v>
                        </c:pt>
                      </c15:dlblFieldTableCache>
                    </c15:dlblFTEntry>
                  </c15:dlblFieldTable>
                  <c15:showDataLabelsRange val="0"/>
                </c:ext>
                <c:ext xmlns:c16="http://schemas.microsoft.com/office/drawing/2014/chart" uri="{C3380CC4-5D6E-409C-BE32-E72D297353CC}">
                  <c16:uniqueId val="{00000360-6533-4801-91F4-C60974D7FA9E}"/>
                </c:ext>
              </c:extLst>
            </c:dLbl>
            <c:dLbl>
              <c:idx val="15"/>
              <c:tx>
                <c:strRef>
                  <c:f>Progress_Record!$U$21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{EB97EEBA-A188-4585-8C76-054FC740B86A}</c15:txfldGUID>
                      <c15:f>Progress_Record!$U$21</c15:f>
                      <c15:dlblFieldTableCache>
                        <c:ptCount val="1"/>
                        <c:pt idx="0">
                          <c:v>#N/A</c:v>
                        </c:pt>
                      </c15:dlblFieldTableCache>
                    </c15:dlblFTEntry>
                  </c15:dlblFieldTable>
                  <c15:showDataLabelsRange val="0"/>
                </c:ext>
                <c:ext xmlns:c16="http://schemas.microsoft.com/office/drawing/2014/chart" uri="{C3380CC4-5D6E-409C-BE32-E72D297353CC}">
                  <c16:uniqueId val="{00000361-6533-4801-91F4-C60974D7FA9E}"/>
                </c:ext>
              </c:extLst>
            </c:dLbl>
            <c:dLbl>
              <c:idx val="16"/>
              <c:tx>
                <c:strRef>
                  <c:f>Progress_Record!$U$22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{937F3BC1-AE2F-4249-B12E-F84844B8CD9E}</c15:txfldGUID>
                      <c15:f>Progress_Record!$U$22</c15:f>
                      <c15:dlblFieldTableCache>
                        <c:ptCount val="1"/>
                        <c:pt idx="0">
                          <c:v>#N/A</c:v>
                        </c:pt>
                      </c15:dlblFieldTableCache>
                    </c15:dlblFTEntry>
                  </c15:dlblFieldTable>
                  <c15:showDataLabelsRange val="0"/>
                </c:ext>
                <c:ext xmlns:c16="http://schemas.microsoft.com/office/drawing/2014/chart" uri="{C3380CC4-5D6E-409C-BE32-E72D297353CC}">
                  <c16:uniqueId val="{00000362-6533-4801-91F4-C60974D7FA9E}"/>
                </c:ext>
              </c:extLst>
            </c:dLbl>
            <c:dLbl>
              <c:idx val="17"/>
              <c:tx>
                <c:strRef>
                  <c:f>Progress_Record!$U$23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{8FC56E9E-CC74-4531-A27F-01779EE45E6A}</c15:txfldGUID>
                      <c15:f>Progress_Record!$U$23</c15:f>
                      <c15:dlblFieldTableCache>
                        <c:ptCount val="1"/>
                        <c:pt idx="0">
                          <c:v>#N/A</c:v>
                        </c:pt>
                      </c15:dlblFieldTableCache>
                    </c15:dlblFTEntry>
                  </c15:dlblFieldTable>
                  <c15:showDataLabelsRange val="0"/>
                </c:ext>
                <c:ext xmlns:c16="http://schemas.microsoft.com/office/drawing/2014/chart" uri="{C3380CC4-5D6E-409C-BE32-E72D297353CC}">
                  <c16:uniqueId val="{00000363-6533-4801-91F4-C60974D7FA9E}"/>
                </c:ext>
              </c:extLst>
            </c:dLbl>
            <c:dLbl>
              <c:idx val="18"/>
              <c:tx>
                <c:strRef>
                  <c:f>Progress_Record!$U$24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{1945E5AD-4904-4824-BA17-8487B78C1334}</c15:txfldGUID>
                      <c15:f>Progress_Record!$U$24</c15:f>
                      <c15:dlblFieldTableCache>
                        <c:ptCount val="1"/>
                        <c:pt idx="0">
                          <c:v>#N/A</c:v>
                        </c:pt>
                      </c15:dlblFieldTableCache>
                    </c15:dlblFTEntry>
                  </c15:dlblFieldTable>
                  <c15:showDataLabelsRange val="0"/>
                </c:ext>
                <c:ext xmlns:c16="http://schemas.microsoft.com/office/drawing/2014/chart" uri="{C3380CC4-5D6E-409C-BE32-E72D297353CC}">
                  <c16:uniqueId val="{00000364-6533-4801-91F4-C60974D7FA9E}"/>
                </c:ext>
              </c:extLst>
            </c:dLbl>
            <c:dLbl>
              <c:idx val="19"/>
              <c:tx>
                <c:strRef>
                  <c:f>Progress_Record!$U$25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{9168EE2E-D6CE-4DC7-8A31-7D39E4624A48}</c15:txfldGUID>
                      <c15:f>Progress_Record!$U$25</c15:f>
                      <c15:dlblFieldTableCache>
                        <c:ptCount val="1"/>
                        <c:pt idx="0">
                          <c:v>#N/A</c:v>
                        </c:pt>
                      </c15:dlblFieldTableCache>
                    </c15:dlblFTEntry>
                  </c15:dlblFieldTable>
                  <c15:showDataLabelsRange val="0"/>
                </c:ext>
                <c:ext xmlns:c16="http://schemas.microsoft.com/office/drawing/2014/chart" uri="{C3380CC4-5D6E-409C-BE32-E72D297353CC}">
                  <c16:uniqueId val="{00000365-6533-4801-91F4-C60974D7FA9E}"/>
                </c:ext>
              </c:extLst>
            </c:dLbl>
            <c:dLbl>
              <c:idx val="20"/>
              <c:tx>
                <c:strRef>
                  <c:f>Progress_Record!$U$26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{9B476844-03FF-4FB4-9C39-8AA9C15DA39B}</c15:txfldGUID>
                      <c15:f>Progress_Record!$U$26</c15:f>
                      <c15:dlblFieldTableCache>
                        <c:ptCount val="1"/>
                        <c:pt idx="0">
                          <c:v>#N/A</c:v>
                        </c:pt>
                      </c15:dlblFieldTableCache>
                    </c15:dlblFTEntry>
                  </c15:dlblFieldTable>
                  <c15:showDataLabelsRange val="0"/>
                </c:ext>
                <c:ext xmlns:c16="http://schemas.microsoft.com/office/drawing/2014/chart" uri="{C3380CC4-5D6E-409C-BE32-E72D297353CC}">
                  <c16:uniqueId val="{00000366-6533-4801-91F4-C60974D7FA9E}"/>
                </c:ext>
              </c:extLst>
            </c:dLbl>
            <c:dLbl>
              <c:idx val="21"/>
              <c:tx>
                <c:strRef>
                  <c:f>Progress_Record!$U$27</c:f>
                  <c:strCache>
                    <c:ptCount val="1"/>
                    <c:pt idx="0">
                      <c:v>05/31/20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{A8A11B4A-6C56-4239-BA28-8E07EAAFBD50}</c15:txfldGUID>
                      <c15:f>Progress_Record!$U$27</c15:f>
                      <c15:dlblFieldTableCache>
                        <c:ptCount val="1"/>
                        <c:pt idx="0">
                          <c:v>05/31/20</c:v>
                        </c:pt>
                      </c15:dlblFieldTableCache>
                    </c15:dlblFTEntry>
                  </c15:dlblFieldTable>
                  <c15:showDataLabelsRange val="0"/>
                </c:ext>
                <c:ext xmlns:c16="http://schemas.microsoft.com/office/drawing/2014/chart" uri="{C3380CC4-5D6E-409C-BE32-E72D297353CC}">
                  <c16:uniqueId val="{00000367-6533-4801-91F4-C60974D7FA9E}"/>
                </c:ext>
              </c:extLst>
            </c:dLbl>
            <c:dLbl>
              <c:idx val="22"/>
              <c:tx>
                <c:strRef>
                  <c:f>Progress_Record!$U$28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{708040C4-E792-4FE6-B7A8-4E483FB141A9}</c15:txfldGUID>
                      <c15:f>Progress_Record!$U$28</c15:f>
                      <c15:dlblFieldTableCache>
                        <c:ptCount val="1"/>
                        <c:pt idx="0">
                          <c:v>#N/A</c:v>
                        </c:pt>
                      </c15:dlblFieldTableCache>
                    </c15:dlblFTEntry>
                  </c15:dlblFieldTable>
                  <c15:showDataLabelsRange val="0"/>
                </c:ext>
                <c:ext xmlns:c16="http://schemas.microsoft.com/office/drawing/2014/chart" uri="{C3380CC4-5D6E-409C-BE32-E72D297353CC}">
                  <c16:uniqueId val="{00000368-6533-4801-91F4-C60974D7FA9E}"/>
                </c:ext>
              </c:extLst>
            </c:dLbl>
            <c:dLbl>
              <c:idx val="23"/>
              <c:tx>
                <c:strRef>
                  <c:f>Progress_Record!$U$29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{AD3F3B97-64C7-438F-BA60-8E3EF069EE66}</c15:txfldGUID>
                      <c15:f>Progress_Record!$U$29</c15:f>
                      <c15:dlblFieldTableCache>
                        <c:ptCount val="1"/>
                        <c:pt idx="0">
                          <c:v>#N/A</c:v>
                        </c:pt>
                      </c15:dlblFieldTableCache>
                    </c15:dlblFTEntry>
                  </c15:dlblFieldTable>
                  <c15:showDataLabelsRange val="0"/>
                </c:ext>
                <c:ext xmlns:c16="http://schemas.microsoft.com/office/drawing/2014/chart" uri="{C3380CC4-5D6E-409C-BE32-E72D297353CC}">
                  <c16:uniqueId val="{00000369-6533-4801-91F4-C60974D7FA9E}"/>
                </c:ext>
              </c:extLst>
            </c:dLbl>
            <c:dLbl>
              <c:idx val="24"/>
              <c:tx>
                <c:strRef>
                  <c:f>Progress_Record!$U$30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{E9573587-7402-41BC-A930-A42B044AC6D1}</c15:txfldGUID>
                      <c15:f>Progress_Record!$U$30</c15:f>
                      <c15:dlblFieldTableCache>
                        <c:ptCount val="1"/>
                        <c:pt idx="0">
                          <c:v>#N/A</c:v>
                        </c:pt>
                      </c15:dlblFieldTableCache>
                    </c15:dlblFTEntry>
                  </c15:dlblFieldTable>
                  <c15:showDataLabelsRange val="0"/>
                </c:ext>
                <c:ext xmlns:c16="http://schemas.microsoft.com/office/drawing/2014/chart" uri="{C3380CC4-5D6E-409C-BE32-E72D297353CC}">
                  <c16:uniqueId val="{0000036A-6533-4801-91F4-C60974D7FA9E}"/>
                </c:ext>
              </c:extLst>
            </c:dLbl>
            <c:dLbl>
              <c:idx val="25"/>
              <c:tx>
                <c:strRef>
                  <c:f>Progress_Record!$U$31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{F60EA796-95FE-45C9-B9B4-C4642D58AF79}</c15:txfldGUID>
                      <c15:f>Progress_Record!$U$31</c15:f>
                      <c15:dlblFieldTableCache>
                        <c:ptCount val="1"/>
                        <c:pt idx="0">
                          <c:v>#N/A</c:v>
                        </c:pt>
                      </c15:dlblFieldTableCache>
                    </c15:dlblFTEntry>
                  </c15:dlblFieldTable>
                  <c15:showDataLabelsRange val="0"/>
                </c:ext>
                <c:ext xmlns:c16="http://schemas.microsoft.com/office/drawing/2014/chart" uri="{C3380CC4-5D6E-409C-BE32-E72D297353CC}">
                  <c16:uniqueId val="{0000036B-6533-4801-91F4-C60974D7FA9E}"/>
                </c:ext>
              </c:extLst>
            </c:dLbl>
            <c:dLbl>
              <c:idx val="26"/>
              <c:tx>
                <c:strRef>
                  <c:f>Progress_Record!$U$32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{DF5C601D-4951-4EE4-B102-72187FBDB662}</c15:txfldGUID>
                      <c15:f>Progress_Record!$U$32</c15:f>
                      <c15:dlblFieldTableCache>
                        <c:ptCount val="1"/>
                        <c:pt idx="0">
                          <c:v>#N/A</c:v>
                        </c:pt>
                      </c15:dlblFieldTableCache>
                    </c15:dlblFTEntry>
                  </c15:dlblFieldTable>
                  <c15:showDataLabelsRange val="0"/>
                </c:ext>
                <c:ext xmlns:c16="http://schemas.microsoft.com/office/drawing/2014/chart" uri="{C3380CC4-5D6E-409C-BE32-E72D297353CC}">
                  <c16:uniqueId val="{0000036C-6533-4801-91F4-C60974D7FA9E}"/>
                </c:ext>
              </c:extLst>
            </c:dLbl>
            <c:dLbl>
              <c:idx val="27"/>
              <c:tx>
                <c:strRef>
                  <c:f>Progress_Record!$U$33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{DFF0BFF8-26EB-44C8-9E29-039AFD54A69D}</c15:txfldGUID>
                      <c15:f>Progress_Record!$U$33</c15:f>
                      <c15:dlblFieldTableCache>
                        <c:ptCount val="1"/>
                        <c:pt idx="0">
                          <c:v>#N/A</c:v>
                        </c:pt>
                      </c15:dlblFieldTableCache>
                    </c15:dlblFTEntry>
                  </c15:dlblFieldTable>
                  <c15:showDataLabelsRange val="0"/>
                </c:ext>
                <c:ext xmlns:c16="http://schemas.microsoft.com/office/drawing/2014/chart" uri="{C3380CC4-5D6E-409C-BE32-E72D297353CC}">
                  <c16:uniqueId val="{0000036D-6533-4801-91F4-C60974D7FA9E}"/>
                </c:ext>
              </c:extLst>
            </c:dLbl>
            <c:dLbl>
              <c:idx val="28"/>
              <c:tx>
                <c:strRef>
                  <c:f>Progress_Record!$U$34</c:f>
                  <c:strCache>
                    <c:ptCount val="1"/>
                    <c:pt idx="0">
                      <c:v>06/07/20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{A08CAD1C-7A7C-4711-93D1-65FFC41CDB05}</c15:txfldGUID>
                      <c15:f>Progress_Record!$U$34</c15:f>
                      <c15:dlblFieldTableCache>
                        <c:ptCount val="1"/>
                        <c:pt idx="0">
                          <c:v>06/07/20</c:v>
                        </c:pt>
                      </c15:dlblFieldTableCache>
                    </c15:dlblFTEntry>
                  </c15:dlblFieldTable>
                  <c15:showDataLabelsRange val="0"/>
                </c:ext>
                <c:ext xmlns:c16="http://schemas.microsoft.com/office/drawing/2014/chart" uri="{C3380CC4-5D6E-409C-BE32-E72D297353CC}">
                  <c16:uniqueId val="{0000036E-6533-4801-91F4-C60974D7FA9E}"/>
                </c:ext>
              </c:extLst>
            </c:dLbl>
            <c:dLbl>
              <c:idx val="29"/>
              <c:tx>
                <c:strRef>
                  <c:f>Progress_Record!$U$35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{6B805B59-DC0D-4281-B303-292B0CBA47BC}</c15:txfldGUID>
                      <c15:f>Progress_Record!$U$35</c15:f>
                      <c15:dlblFieldTableCache>
                        <c:ptCount val="1"/>
                        <c:pt idx="0">
                          <c:v>#N/A</c:v>
                        </c:pt>
                      </c15:dlblFieldTableCache>
                    </c15:dlblFTEntry>
                  </c15:dlblFieldTable>
                  <c15:showDataLabelsRange val="0"/>
                </c:ext>
                <c:ext xmlns:c16="http://schemas.microsoft.com/office/drawing/2014/chart" uri="{C3380CC4-5D6E-409C-BE32-E72D297353CC}">
                  <c16:uniqueId val="{0000036F-6533-4801-91F4-C60974D7FA9E}"/>
                </c:ext>
              </c:extLst>
            </c:dLbl>
            <c:dLbl>
              <c:idx val="30"/>
              <c:tx>
                <c:strRef>
                  <c:f>Progress_Record!$U$36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{05512A1C-4338-4A53-AFB4-E2A0835352D9}</c15:txfldGUID>
                      <c15:f>Progress_Record!$U$36</c15:f>
                      <c15:dlblFieldTableCache>
                        <c:ptCount val="1"/>
                        <c:pt idx="0">
                          <c:v>#N/A</c:v>
                        </c:pt>
                      </c15:dlblFieldTableCache>
                    </c15:dlblFTEntry>
                  </c15:dlblFieldTable>
                  <c15:showDataLabelsRange val="0"/>
                </c:ext>
                <c:ext xmlns:c16="http://schemas.microsoft.com/office/drawing/2014/chart" uri="{C3380CC4-5D6E-409C-BE32-E72D297353CC}">
                  <c16:uniqueId val="{00000370-6533-4801-91F4-C60974D7FA9E}"/>
                </c:ext>
              </c:extLst>
            </c:dLbl>
            <c:dLbl>
              <c:idx val="31"/>
              <c:tx>
                <c:strRef>
                  <c:f>Progress_Record!$U$37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{723CF6B1-D1DD-4A17-BCCE-7F6FB48F01AB}</c15:txfldGUID>
                      <c15:f>Progress_Record!$U$37</c15:f>
                      <c15:dlblFieldTableCache>
                        <c:ptCount val="1"/>
                        <c:pt idx="0">
                          <c:v>#N/A</c:v>
                        </c:pt>
                      </c15:dlblFieldTableCache>
                    </c15:dlblFTEntry>
                  </c15:dlblFieldTable>
                  <c15:showDataLabelsRange val="0"/>
                </c:ext>
                <c:ext xmlns:c16="http://schemas.microsoft.com/office/drawing/2014/chart" uri="{C3380CC4-5D6E-409C-BE32-E72D297353CC}">
                  <c16:uniqueId val="{00000371-6533-4801-91F4-C60974D7FA9E}"/>
                </c:ext>
              </c:extLst>
            </c:dLbl>
            <c:dLbl>
              <c:idx val="32"/>
              <c:tx>
                <c:strRef>
                  <c:f>Progress_Record!$U$38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{D86AF8D9-D185-41A8-BD98-FD26327DAEF3}</c15:txfldGUID>
                      <c15:f>Progress_Record!$U$38</c15:f>
                      <c15:dlblFieldTableCache>
                        <c:ptCount val="1"/>
                        <c:pt idx="0">
                          <c:v>#N/A</c:v>
                        </c:pt>
                      </c15:dlblFieldTableCache>
                    </c15:dlblFTEntry>
                  </c15:dlblFieldTable>
                  <c15:showDataLabelsRange val="0"/>
                </c:ext>
                <c:ext xmlns:c16="http://schemas.microsoft.com/office/drawing/2014/chart" uri="{C3380CC4-5D6E-409C-BE32-E72D297353CC}">
                  <c16:uniqueId val="{00000372-6533-4801-91F4-C60974D7FA9E}"/>
                </c:ext>
              </c:extLst>
            </c:dLbl>
            <c:dLbl>
              <c:idx val="33"/>
              <c:tx>
                <c:strRef>
                  <c:f>Progress_Record!$U$39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{C5119E45-22D1-4709-912D-4F365E3B14AB}</c15:txfldGUID>
                      <c15:f>Progress_Record!$U$39</c15:f>
                      <c15:dlblFieldTableCache>
                        <c:ptCount val="1"/>
                        <c:pt idx="0">
                          <c:v>#N/A</c:v>
                        </c:pt>
                      </c15:dlblFieldTableCache>
                    </c15:dlblFTEntry>
                  </c15:dlblFieldTable>
                  <c15:showDataLabelsRange val="0"/>
                </c:ext>
                <c:ext xmlns:c16="http://schemas.microsoft.com/office/drawing/2014/chart" uri="{C3380CC4-5D6E-409C-BE32-E72D297353CC}">
                  <c16:uniqueId val="{00000373-6533-4801-91F4-C60974D7FA9E}"/>
                </c:ext>
              </c:extLst>
            </c:dLbl>
            <c:dLbl>
              <c:idx val="34"/>
              <c:tx>
                <c:strRef>
                  <c:f>Progress_Record!$U$40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{5C3B86B0-2212-4A54-9A54-1B2C964D9E98}</c15:txfldGUID>
                      <c15:f>Progress_Record!$U$40</c15:f>
                      <c15:dlblFieldTableCache>
                        <c:ptCount val="1"/>
                        <c:pt idx="0">
                          <c:v>#N/A</c:v>
                        </c:pt>
                      </c15:dlblFieldTableCache>
                    </c15:dlblFTEntry>
                  </c15:dlblFieldTable>
                  <c15:showDataLabelsRange val="0"/>
                </c:ext>
                <c:ext xmlns:c16="http://schemas.microsoft.com/office/drawing/2014/chart" uri="{C3380CC4-5D6E-409C-BE32-E72D297353CC}">
                  <c16:uniqueId val="{00000374-6533-4801-91F4-C60974D7FA9E}"/>
                </c:ext>
              </c:extLst>
            </c:dLbl>
            <c:dLbl>
              <c:idx val="35"/>
              <c:tx>
                <c:strRef>
                  <c:f>Progress_Record!$U$41</c:f>
                  <c:strCache>
                    <c:ptCount val="1"/>
                    <c:pt idx="0">
                      <c:v>06/14/20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{8AF4F988-EBFD-4143-A677-BF724D4721BC}</c15:txfldGUID>
                      <c15:f>Progress_Record!$U$41</c15:f>
                      <c15:dlblFieldTableCache>
                        <c:ptCount val="1"/>
                        <c:pt idx="0">
                          <c:v>06/14/20</c:v>
                        </c:pt>
                      </c15:dlblFieldTableCache>
                    </c15:dlblFTEntry>
                  </c15:dlblFieldTable>
                  <c15:showDataLabelsRange val="0"/>
                </c:ext>
                <c:ext xmlns:c16="http://schemas.microsoft.com/office/drawing/2014/chart" uri="{C3380CC4-5D6E-409C-BE32-E72D297353CC}">
                  <c16:uniqueId val="{00000375-6533-4801-91F4-C60974D7FA9E}"/>
                </c:ext>
              </c:extLst>
            </c:dLbl>
            <c:dLbl>
              <c:idx val="36"/>
              <c:tx>
                <c:strRef>
                  <c:f>Progress_Record!$U$42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{8D987C74-C554-40E8-906D-AAE45236C7E1}</c15:txfldGUID>
                      <c15:f>Progress_Record!$U$42</c15:f>
                      <c15:dlblFieldTableCache>
                        <c:ptCount val="1"/>
                        <c:pt idx="0">
                          <c:v>#N/A</c:v>
                        </c:pt>
                      </c15:dlblFieldTableCache>
                    </c15:dlblFTEntry>
                  </c15:dlblFieldTable>
                  <c15:showDataLabelsRange val="0"/>
                </c:ext>
                <c:ext xmlns:c16="http://schemas.microsoft.com/office/drawing/2014/chart" uri="{C3380CC4-5D6E-409C-BE32-E72D297353CC}">
                  <c16:uniqueId val="{00000376-6533-4801-91F4-C60974D7FA9E}"/>
                </c:ext>
              </c:extLst>
            </c:dLbl>
            <c:dLbl>
              <c:idx val="37"/>
              <c:tx>
                <c:strRef>
                  <c:f>Progress_Record!$U$43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{5F19ECD0-148C-47D5-B171-B08A9CB7122D}</c15:txfldGUID>
                      <c15:f>Progress_Record!$U$43</c15:f>
                      <c15:dlblFieldTableCache>
                        <c:ptCount val="1"/>
                        <c:pt idx="0">
                          <c:v>#N/A</c:v>
                        </c:pt>
                      </c15:dlblFieldTableCache>
                    </c15:dlblFTEntry>
                  </c15:dlblFieldTable>
                  <c15:showDataLabelsRange val="0"/>
                </c:ext>
                <c:ext xmlns:c16="http://schemas.microsoft.com/office/drawing/2014/chart" uri="{C3380CC4-5D6E-409C-BE32-E72D297353CC}">
                  <c16:uniqueId val="{00000377-6533-4801-91F4-C60974D7FA9E}"/>
                </c:ext>
              </c:extLst>
            </c:dLbl>
            <c:dLbl>
              <c:idx val="38"/>
              <c:tx>
                <c:strRef>
                  <c:f>Progress_Record!$U$44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{7B7962D5-D59C-48E0-A1D3-28460329B28A}</c15:txfldGUID>
                      <c15:f>Progress_Record!$U$44</c15:f>
                      <c15:dlblFieldTableCache>
                        <c:ptCount val="1"/>
                        <c:pt idx="0">
                          <c:v>#N/A</c:v>
                        </c:pt>
                      </c15:dlblFieldTableCache>
                    </c15:dlblFTEntry>
                  </c15:dlblFieldTable>
                  <c15:showDataLabelsRange val="0"/>
                </c:ext>
                <c:ext xmlns:c16="http://schemas.microsoft.com/office/drawing/2014/chart" uri="{C3380CC4-5D6E-409C-BE32-E72D297353CC}">
                  <c16:uniqueId val="{00000378-6533-4801-91F4-C60974D7FA9E}"/>
                </c:ext>
              </c:extLst>
            </c:dLbl>
            <c:dLbl>
              <c:idx val="39"/>
              <c:tx>
                <c:strRef>
                  <c:f>Progress_Record!$U$45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{76BFB185-9959-4F94-8B41-4E5F2BA937AD}</c15:txfldGUID>
                      <c15:f>Progress_Record!$U$45</c15:f>
                      <c15:dlblFieldTableCache>
                        <c:ptCount val="1"/>
                        <c:pt idx="0">
                          <c:v>#N/A</c:v>
                        </c:pt>
                      </c15:dlblFieldTableCache>
                    </c15:dlblFTEntry>
                  </c15:dlblFieldTable>
                  <c15:showDataLabelsRange val="0"/>
                </c:ext>
                <c:ext xmlns:c16="http://schemas.microsoft.com/office/drawing/2014/chart" uri="{C3380CC4-5D6E-409C-BE32-E72D297353CC}">
                  <c16:uniqueId val="{00000379-6533-4801-91F4-C60974D7FA9E}"/>
                </c:ext>
              </c:extLst>
            </c:dLbl>
            <c:dLbl>
              <c:idx val="40"/>
              <c:tx>
                <c:strRef>
                  <c:f>Progress_Record!$U$46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{20323434-BA32-4AB1-A0FF-AA64C04546EB}</c15:txfldGUID>
                      <c15:f>Progress_Record!$U$46</c15:f>
                      <c15:dlblFieldTableCache>
                        <c:ptCount val="1"/>
                        <c:pt idx="0">
                          <c:v>#N/A</c:v>
                        </c:pt>
                      </c15:dlblFieldTableCache>
                    </c15:dlblFTEntry>
                  </c15:dlblFieldTable>
                  <c15:showDataLabelsRange val="0"/>
                </c:ext>
                <c:ext xmlns:c16="http://schemas.microsoft.com/office/drawing/2014/chart" uri="{C3380CC4-5D6E-409C-BE32-E72D297353CC}">
                  <c16:uniqueId val="{0000037A-6533-4801-91F4-C60974D7FA9E}"/>
                </c:ext>
              </c:extLst>
            </c:dLbl>
            <c:dLbl>
              <c:idx val="41"/>
              <c:tx>
                <c:strRef>
                  <c:f>Progress_Record!$U$47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{BA7B26AE-5CE0-498A-B02B-F0A32B40FDCE}</c15:txfldGUID>
                      <c15:f>Progress_Record!$U$47</c15:f>
                      <c15:dlblFieldTableCache>
                        <c:ptCount val="1"/>
                        <c:pt idx="0">
                          <c:v>#N/A</c:v>
                        </c:pt>
                      </c15:dlblFieldTableCache>
                    </c15:dlblFTEntry>
                  </c15:dlblFieldTable>
                  <c15:showDataLabelsRange val="0"/>
                </c:ext>
                <c:ext xmlns:c16="http://schemas.microsoft.com/office/drawing/2014/chart" uri="{C3380CC4-5D6E-409C-BE32-E72D297353CC}">
                  <c16:uniqueId val="{0000037B-6533-4801-91F4-C60974D7FA9E}"/>
                </c:ext>
              </c:extLst>
            </c:dLbl>
            <c:dLbl>
              <c:idx val="42"/>
              <c:tx>
                <c:strRef>
                  <c:f>Progress_Record!$U$48</c:f>
                  <c:strCache>
                    <c:ptCount val="1"/>
                    <c:pt idx="0">
                      <c:v>06/21/20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{BFF2C827-1A7A-4BCC-AEC7-A84C447AA1AA}</c15:txfldGUID>
                      <c15:f>Progress_Record!$U$48</c15:f>
                      <c15:dlblFieldTableCache>
                        <c:ptCount val="1"/>
                        <c:pt idx="0">
                          <c:v>06/21/20</c:v>
                        </c:pt>
                      </c15:dlblFieldTableCache>
                    </c15:dlblFTEntry>
                  </c15:dlblFieldTable>
                  <c15:showDataLabelsRange val="0"/>
                </c:ext>
                <c:ext xmlns:c16="http://schemas.microsoft.com/office/drawing/2014/chart" uri="{C3380CC4-5D6E-409C-BE32-E72D297353CC}">
                  <c16:uniqueId val="{0000037C-6533-4801-91F4-C60974D7FA9E}"/>
                </c:ext>
              </c:extLst>
            </c:dLbl>
            <c:dLbl>
              <c:idx val="43"/>
              <c:tx>
                <c:strRef>
                  <c:f>Progress_Record!$U$49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{71C592F7-300F-4E18-B239-858E93465586}</c15:txfldGUID>
                      <c15:f>Progress_Record!$U$49</c15:f>
                      <c15:dlblFieldTableCache>
                        <c:ptCount val="1"/>
                        <c:pt idx="0">
                          <c:v>#N/A</c:v>
                        </c:pt>
                      </c15:dlblFieldTableCache>
                    </c15:dlblFTEntry>
                  </c15:dlblFieldTable>
                  <c15:showDataLabelsRange val="0"/>
                </c:ext>
                <c:ext xmlns:c16="http://schemas.microsoft.com/office/drawing/2014/chart" uri="{C3380CC4-5D6E-409C-BE32-E72D297353CC}">
                  <c16:uniqueId val="{0000037D-6533-4801-91F4-C60974D7FA9E}"/>
                </c:ext>
              </c:extLst>
            </c:dLbl>
            <c:dLbl>
              <c:idx val="44"/>
              <c:tx>
                <c:strRef>
                  <c:f>Progress_Record!$U$50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{9E8D7A81-4924-4881-83AC-C46092939FC6}</c15:txfldGUID>
                      <c15:f>Progress_Record!$U$50</c15:f>
                      <c15:dlblFieldTableCache>
                        <c:ptCount val="1"/>
                        <c:pt idx="0">
                          <c:v>#N/A</c:v>
                        </c:pt>
                      </c15:dlblFieldTableCache>
                    </c15:dlblFTEntry>
                  </c15:dlblFieldTable>
                  <c15:showDataLabelsRange val="0"/>
                </c:ext>
                <c:ext xmlns:c16="http://schemas.microsoft.com/office/drawing/2014/chart" uri="{C3380CC4-5D6E-409C-BE32-E72D297353CC}">
                  <c16:uniqueId val="{0000037E-6533-4801-91F4-C60974D7FA9E}"/>
                </c:ext>
              </c:extLst>
            </c:dLbl>
            <c:dLbl>
              <c:idx val="45"/>
              <c:tx>
                <c:strRef>
                  <c:f>Progress_Record!$U$51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{19C81689-0342-4CE5-991B-6E78365260D2}</c15:txfldGUID>
                      <c15:f>Progress_Record!$U$51</c15:f>
                      <c15:dlblFieldTableCache>
                        <c:ptCount val="1"/>
                        <c:pt idx="0">
                          <c:v>#N/A</c:v>
                        </c:pt>
                      </c15:dlblFieldTableCache>
                    </c15:dlblFTEntry>
                  </c15:dlblFieldTable>
                  <c15:showDataLabelsRange val="0"/>
                </c:ext>
                <c:ext xmlns:c16="http://schemas.microsoft.com/office/drawing/2014/chart" uri="{C3380CC4-5D6E-409C-BE32-E72D297353CC}">
                  <c16:uniqueId val="{0000037F-6533-4801-91F4-C60974D7FA9E}"/>
                </c:ext>
              </c:extLst>
            </c:dLbl>
            <c:dLbl>
              <c:idx val="46"/>
              <c:tx>
                <c:strRef>
                  <c:f>Progress_Record!$U$52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{F1FD87BA-393E-476B-8DC8-57109A9A0B08}</c15:txfldGUID>
                      <c15:f>Progress_Record!$U$52</c15:f>
                      <c15:dlblFieldTableCache>
                        <c:ptCount val="1"/>
                        <c:pt idx="0">
                          <c:v>#N/A</c:v>
                        </c:pt>
                      </c15:dlblFieldTableCache>
                    </c15:dlblFTEntry>
                  </c15:dlblFieldTable>
                  <c15:showDataLabelsRange val="0"/>
                </c:ext>
                <c:ext xmlns:c16="http://schemas.microsoft.com/office/drawing/2014/chart" uri="{C3380CC4-5D6E-409C-BE32-E72D297353CC}">
                  <c16:uniqueId val="{00000380-6533-4801-91F4-C60974D7FA9E}"/>
                </c:ext>
              </c:extLst>
            </c:dLbl>
            <c:dLbl>
              <c:idx val="47"/>
              <c:tx>
                <c:strRef>
                  <c:f>Progress_Record!$U$53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{16CFB14B-FDDE-4D05-9E66-7ED8CB000C03}</c15:txfldGUID>
                      <c15:f>Progress_Record!$U$53</c15:f>
                      <c15:dlblFieldTableCache>
                        <c:ptCount val="1"/>
                        <c:pt idx="0">
                          <c:v>#N/A</c:v>
                        </c:pt>
                      </c15:dlblFieldTableCache>
                    </c15:dlblFTEntry>
                  </c15:dlblFieldTable>
                  <c15:showDataLabelsRange val="0"/>
                </c:ext>
                <c:ext xmlns:c16="http://schemas.microsoft.com/office/drawing/2014/chart" uri="{C3380CC4-5D6E-409C-BE32-E72D297353CC}">
                  <c16:uniqueId val="{00000381-6533-4801-91F4-C60974D7FA9E}"/>
                </c:ext>
              </c:extLst>
            </c:dLbl>
            <c:dLbl>
              <c:idx val="48"/>
              <c:tx>
                <c:strRef>
                  <c:f>Progress_Record!$U$54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{016AB53B-713A-450F-A4B0-7CA88876578C}</c15:txfldGUID>
                      <c15:f>Progress_Record!$U$54</c15:f>
                      <c15:dlblFieldTableCache>
                        <c:ptCount val="1"/>
                        <c:pt idx="0">
                          <c:v>#N/A</c:v>
                        </c:pt>
                      </c15:dlblFieldTableCache>
                    </c15:dlblFTEntry>
                  </c15:dlblFieldTable>
                  <c15:showDataLabelsRange val="0"/>
                </c:ext>
                <c:ext xmlns:c16="http://schemas.microsoft.com/office/drawing/2014/chart" uri="{C3380CC4-5D6E-409C-BE32-E72D297353CC}">
                  <c16:uniqueId val="{00000382-6533-4801-91F4-C60974D7FA9E}"/>
                </c:ext>
              </c:extLst>
            </c:dLbl>
            <c:dLbl>
              <c:idx val="49"/>
              <c:tx>
                <c:strRef>
                  <c:f>Progress_Record!$U$55</c:f>
                  <c:strCache>
                    <c:ptCount val="1"/>
                    <c:pt idx="0">
                      <c:v>06/28/20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{FDBAE640-7761-4D55-9CE1-EE45347D93F0}</c15:txfldGUID>
                      <c15:f>Progress_Record!$U$55</c15:f>
                      <c15:dlblFieldTableCache>
                        <c:ptCount val="1"/>
                        <c:pt idx="0">
                          <c:v>06/28/20</c:v>
                        </c:pt>
                      </c15:dlblFieldTableCache>
                    </c15:dlblFTEntry>
                  </c15:dlblFieldTable>
                  <c15:showDataLabelsRange val="0"/>
                </c:ext>
                <c:ext xmlns:c16="http://schemas.microsoft.com/office/drawing/2014/chart" uri="{C3380CC4-5D6E-409C-BE32-E72D297353CC}">
                  <c16:uniqueId val="{00000383-6533-4801-91F4-C60974D7FA9E}"/>
                </c:ext>
              </c:extLst>
            </c:dLbl>
            <c:dLbl>
              <c:idx val="50"/>
              <c:tx>
                <c:strRef>
                  <c:f>Progress_Record!$U$56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{09C0EE9B-445E-4E41-A5E4-957ECF88A5D2}</c15:txfldGUID>
                      <c15:f>Progress_Record!$U$56</c15:f>
                      <c15:dlblFieldTableCache>
                        <c:ptCount val="1"/>
                        <c:pt idx="0">
                          <c:v>#N/A</c:v>
                        </c:pt>
                      </c15:dlblFieldTableCache>
                    </c15:dlblFTEntry>
                  </c15:dlblFieldTable>
                  <c15:showDataLabelsRange val="0"/>
                </c:ext>
                <c:ext xmlns:c16="http://schemas.microsoft.com/office/drawing/2014/chart" uri="{C3380CC4-5D6E-409C-BE32-E72D297353CC}">
                  <c16:uniqueId val="{00000384-6533-4801-91F4-C60974D7FA9E}"/>
                </c:ext>
              </c:extLst>
            </c:dLbl>
            <c:dLbl>
              <c:idx val="51"/>
              <c:tx>
                <c:strRef>
                  <c:f>Progress_Record!$U$57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{0F19813E-6F9D-4519-BEE0-CE8AEDBF8025}</c15:txfldGUID>
                      <c15:f>Progress_Record!$U$57</c15:f>
                      <c15:dlblFieldTableCache>
                        <c:ptCount val="1"/>
                        <c:pt idx="0">
                          <c:v>#N/A</c:v>
                        </c:pt>
                      </c15:dlblFieldTableCache>
                    </c15:dlblFTEntry>
                  </c15:dlblFieldTable>
                  <c15:showDataLabelsRange val="0"/>
                </c:ext>
                <c:ext xmlns:c16="http://schemas.microsoft.com/office/drawing/2014/chart" uri="{C3380CC4-5D6E-409C-BE32-E72D297353CC}">
                  <c16:uniqueId val="{00000385-6533-4801-91F4-C60974D7FA9E}"/>
                </c:ext>
              </c:extLst>
            </c:dLbl>
            <c:dLbl>
              <c:idx val="52"/>
              <c:tx>
                <c:strRef>
                  <c:f>Progress_Record!$U$58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{70AC0A6F-2875-462C-BFF9-4A028AA32821}</c15:txfldGUID>
                      <c15:f>Progress_Record!$U$58</c15:f>
                      <c15:dlblFieldTableCache>
                        <c:ptCount val="1"/>
                        <c:pt idx="0">
                          <c:v>#N/A</c:v>
                        </c:pt>
                      </c15:dlblFieldTableCache>
                    </c15:dlblFTEntry>
                  </c15:dlblFieldTable>
                  <c15:showDataLabelsRange val="0"/>
                </c:ext>
                <c:ext xmlns:c16="http://schemas.microsoft.com/office/drawing/2014/chart" uri="{C3380CC4-5D6E-409C-BE32-E72D297353CC}">
                  <c16:uniqueId val="{00000386-6533-4801-91F4-C60974D7FA9E}"/>
                </c:ext>
              </c:extLst>
            </c:dLbl>
            <c:dLbl>
              <c:idx val="53"/>
              <c:tx>
                <c:strRef>
                  <c:f>Progress_Record!$U$59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{213199BB-D275-44F4-80A2-B3D8B4988544}</c15:txfldGUID>
                      <c15:f>Progress_Record!$U$59</c15:f>
                      <c15:dlblFieldTableCache>
                        <c:ptCount val="1"/>
                        <c:pt idx="0">
                          <c:v>#N/A</c:v>
                        </c:pt>
                      </c15:dlblFieldTableCache>
                    </c15:dlblFTEntry>
                  </c15:dlblFieldTable>
                  <c15:showDataLabelsRange val="0"/>
                </c:ext>
                <c:ext xmlns:c16="http://schemas.microsoft.com/office/drawing/2014/chart" uri="{C3380CC4-5D6E-409C-BE32-E72D297353CC}">
                  <c16:uniqueId val="{00000387-6533-4801-91F4-C60974D7FA9E}"/>
                </c:ext>
              </c:extLst>
            </c:dLbl>
            <c:dLbl>
              <c:idx val="54"/>
              <c:tx>
                <c:strRef>
                  <c:f>Progress_Record!$U$60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{465B77DE-F050-4CE2-A1F0-FF63ECD4A2E7}</c15:txfldGUID>
                      <c15:f>Progress_Record!$U$60</c15:f>
                      <c15:dlblFieldTableCache>
                        <c:ptCount val="1"/>
                        <c:pt idx="0">
                          <c:v>#N/A</c:v>
                        </c:pt>
                      </c15:dlblFieldTableCache>
                    </c15:dlblFTEntry>
                  </c15:dlblFieldTable>
                  <c15:showDataLabelsRange val="0"/>
                </c:ext>
                <c:ext xmlns:c16="http://schemas.microsoft.com/office/drawing/2014/chart" uri="{C3380CC4-5D6E-409C-BE32-E72D297353CC}">
                  <c16:uniqueId val="{00000388-6533-4801-91F4-C60974D7FA9E}"/>
                </c:ext>
              </c:extLst>
            </c:dLbl>
            <c:dLbl>
              <c:idx val="55"/>
              <c:tx>
                <c:strRef>
                  <c:f>Progress_Record!$U$61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{8E84CB24-6098-4954-B15F-39CC73C22E68}</c15:txfldGUID>
                      <c15:f>Progress_Record!$U$61</c15:f>
                      <c15:dlblFieldTableCache>
                        <c:ptCount val="1"/>
                        <c:pt idx="0">
                          <c:v>#N/A</c:v>
                        </c:pt>
                      </c15:dlblFieldTableCache>
                    </c15:dlblFTEntry>
                  </c15:dlblFieldTable>
                  <c15:showDataLabelsRange val="0"/>
                </c:ext>
                <c:ext xmlns:c16="http://schemas.microsoft.com/office/drawing/2014/chart" uri="{C3380CC4-5D6E-409C-BE32-E72D297353CC}">
                  <c16:uniqueId val="{00000389-6533-4801-91F4-C60974D7FA9E}"/>
                </c:ext>
              </c:extLst>
            </c:dLbl>
            <c:dLbl>
              <c:idx val="56"/>
              <c:tx>
                <c:strRef>
                  <c:f>Progress_Record!$U$62</c:f>
                  <c:strCache>
                    <c:ptCount val="1"/>
                    <c:pt idx="0">
                      <c:v>07/05/20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{858833B3-9160-4D40-ABB3-0CBD3780EF02}</c15:txfldGUID>
                      <c15:f>Progress_Record!$U$62</c15:f>
                      <c15:dlblFieldTableCache>
                        <c:ptCount val="1"/>
                        <c:pt idx="0">
                          <c:v>07/05/20</c:v>
                        </c:pt>
                      </c15:dlblFieldTableCache>
                    </c15:dlblFTEntry>
                  </c15:dlblFieldTable>
                  <c15:showDataLabelsRange val="0"/>
                </c:ext>
                <c:ext xmlns:c16="http://schemas.microsoft.com/office/drawing/2014/chart" uri="{C3380CC4-5D6E-409C-BE32-E72D297353CC}">
                  <c16:uniqueId val="{0000038A-6533-4801-91F4-C60974D7FA9E}"/>
                </c:ext>
              </c:extLst>
            </c:dLbl>
            <c:dLbl>
              <c:idx val="57"/>
              <c:tx>
                <c:strRef>
                  <c:f>Progress_Record!$U$63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{03BC6B5B-3958-4E7D-BAD8-9C08A917E6F4}</c15:txfldGUID>
                      <c15:f>Progress_Record!$U$63</c15:f>
                      <c15:dlblFieldTableCache>
                        <c:ptCount val="1"/>
                        <c:pt idx="0">
                          <c:v>#N/A</c:v>
                        </c:pt>
                      </c15:dlblFieldTableCache>
                    </c15:dlblFTEntry>
                  </c15:dlblFieldTable>
                  <c15:showDataLabelsRange val="0"/>
                </c:ext>
                <c:ext xmlns:c16="http://schemas.microsoft.com/office/drawing/2014/chart" uri="{C3380CC4-5D6E-409C-BE32-E72D297353CC}">
                  <c16:uniqueId val="{0000038B-6533-4801-91F4-C60974D7FA9E}"/>
                </c:ext>
              </c:extLst>
            </c:dLbl>
            <c:dLbl>
              <c:idx val="58"/>
              <c:tx>
                <c:strRef>
                  <c:f>Progress_Record!$U$64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{D76172C4-50BE-495E-AAB3-6E8A51235328}</c15:txfldGUID>
                      <c15:f>Progress_Record!$U$64</c15:f>
                      <c15:dlblFieldTableCache>
                        <c:ptCount val="1"/>
                        <c:pt idx="0">
                          <c:v>#N/A</c:v>
                        </c:pt>
                      </c15:dlblFieldTableCache>
                    </c15:dlblFTEntry>
                  </c15:dlblFieldTable>
                  <c15:showDataLabelsRange val="0"/>
                </c:ext>
                <c:ext xmlns:c16="http://schemas.microsoft.com/office/drawing/2014/chart" uri="{C3380CC4-5D6E-409C-BE32-E72D297353CC}">
                  <c16:uniqueId val="{0000038C-6533-4801-91F4-C60974D7FA9E}"/>
                </c:ext>
              </c:extLst>
            </c:dLbl>
            <c:dLbl>
              <c:idx val="59"/>
              <c:tx>
                <c:strRef>
                  <c:f>Progress_Record!$U$65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{0E61AC44-F3B0-451C-ADF0-D9D144192DB7}</c15:txfldGUID>
                      <c15:f>Progress_Record!$U$65</c15:f>
                      <c15:dlblFieldTableCache>
                        <c:ptCount val="1"/>
                        <c:pt idx="0">
                          <c:v>#N/A</c:v>
                        </c:pt>
                      </c15:dlblFieldTableCache>
                    </c15:dlblFTEntry>
                  </c15:dlblFieldTable>
                  <c15:showDataLabelsRange val="0"/>
                </c:ext>
                <c:ext xmlns:c16="http://schemas.microsoft.com/office/drawing/2014/chart" uri="{C3380CC4-5D6E-409C-BE32-E72D297353CC}">
                  <c16:uniqueId val="{0000038D-6533-4801-91F4-C60974D7FA9E}"/>
                </c:ext>
              </c:extLst>
            </c:dLbl>
            <c:dLbl>
              <c:idx val="60"/>
              <c:tx>
                <c:strRef>
                  <c:f>Progress_Record!$U$66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{E2C07F98-E0A6-41A9-B8A0-E0D1EA560333}</c15:txfldGUID>
                      <c15:f>Progress_Record!$U$66</c15:f>
                      <c15:dlblFieldTableCache>
                        <c:ptCount val="1"/>
                        <c:pt idx="0">
                          <c:v>#N/A</c:v>
                        </c:pt>
                      </c15:dlblFieldTableCache>
                    </c15:dlblFTEntry>
                  </c15:dlblFieldTable>
                  <c15:showDataLabelsRange val="0"/>
                </c:ext>
                <c:ext xmlns:c16="http://schemas.microsoft.com/office/drawing/2014/chart" uri="{C3380CC4-5D6E-409C-BE32-E72D297353CC}">
                  <c16:uniqueId val="{0000038E-6533-4801-91F4-C60974D7FA9E}"/>
                </c:ext>
              </c:extLst>
            </c:dLbl>
            <c:dLbl>
              <c:idx val="61"/>
              <c:tx>
                <c:strRef>
                  <c:f>Progress_Record!$U$67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{FF8CCD4D-B247-46F7-A230-049D6D6F4D61}</c15:txfldGUID>
                      <c15:f>Progress_Record!$U$67</c15:f>
                      <c15:dlblFieldTableCache>
                        <c:ptCount val="1"/>
                        <c:pt idx="0">
                          <c:v>#N/A</c:v>
                        </c:pt>
                      </c15:dlblFieldTableCache>
                    </c15:dlblFTEntry>
                  </c15:dlblFieldTable>
                  <c15:showDataLabelsRange val="0"/>
                </c:ext>
                <c:ext xmlns:c16="http://schemas.microsoft.com/office/drawing/2014/chart" uri="{C3380CC4-5D6E-409C-BE32-E72D297353CC}">
                  <c16:uniqueId val="{0000038F-6533-4801-91F4-C60974D7FA9E}"/>
                </c:ext>
              </c:extLst>
            </c:dLbl>
            <c:dLbl>
              <c:idx val="62"/>
              <c:tx>
                <c:strRef>
                  <c:f>Progress_Record!$U$68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{05C61E92-59F7-468C-9B96-4A36577A3D5F}</c15:txfldGUID>
                      <c15:f>Progress_Record!$U$68</c15:f>
                      <c15:dlblFieldTableCache>
                        <c:ptCount val="1"/>
                        <c:pt idx="0">
                          <c:v>#N/A</c:v>
                        </c:pt>
                      </c15:dlblFieldTableCache>
                    </c15:dlblFTEntry>
                  </c15:dlblFieldTable>
                  <c15:showDataLabelsRange val="0"/>
                </c:ext>
                <c:ext xmlns:c16="http://schemas.microsoft.com/office/drawing/2014/chart" uri="{C3380CC4-5D6E-409C-BE32-E72D297353CC}">
                  <c16:uniqueId val="{00000390-6533-4801-91F4-C60974D7FA9E}"/>
                </c:ext>
              </c:extLst>
            </c:dLbl>
            <c:dLbl>
              <c:idx val="63"/>
              <c:tx>
                <c:strRef>
                  <c:f>Progress_Record!$U$69</c:f>
                  <c:strCache>
                    <c:ptCount val="1"/>
                    <c:pt idx="0">
                      <c:v>07/12/20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{CE960209-DF81-467A-B00D-C3AE675F7B59}</c15:txfldGUID>
                      <c15:f>Progress_Record!$U$69</c15:f>
                      <c15:dlblFieldTableCache>
                        <c:ptCount val="1"/>
                        <c:pt idx="0">
                          <c:v>07/12/20</c:v>
                        </c:pt>
                      </c15:dlblFieldTableCache>
                    </c15:dlblFTEntry>
                  </c15:dlblFieldTable>
                  <c15:showDataLabelsRange val="0"/>
                </c:ext>
                <c:ext xmlns:c16="http://schemas.microsoft.com/office/drawing/2014/chart" uri="{C3380CC4-5D6E-409C-BE32-E72D297353CC}">
                  <c16:uniqueId val="{00000391-6533-4801-91F4-C60974D7FA9E}"/>
                </c:ext>
              </c:extLst>
            </c:dLbl>
            <c:dLbl>
              <c:idx val="64"/>
              <c:tx>
                <c:strRef>
                  <c:f>Progress_Record!$U$70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{388B9031-A6EF-4176-AB70-912EE9E7857A}</c15:txfldGUID>
                      <c15:f>Progress_Record!$U$70</c15:f>
                      <c15:dlblFieldTableCache>
                        <c:ptCount val="1"/>
                        <c:pt idx="0">
                          <c:v>#N/A</c:v>
                        </c:pt>
                      </c15:dlblFieldTableCache>
                    </c15:dlblFTEntry>
                  </c15:dlblFieldTable>
                  <c15:showDataLabelsRange val="0"/>
                </c:ext>
                <c:ext xmlns:c16="http://schemas.microsoft.com/office/drawing/2014/chart" uri="{C3380CC4-5D6E-409C-BE32-E72D297353CC}">
                  <c16:uniqueId val="{00000392-6533-4801-91F4-C60974D7FA9E}"/>
                </c:ext>
              </c:extLst>
            </c:dLbl>
            <c:dLbl>
              <c:idx val="65"/>
              <c:tx>
                <c:strRef>
                  <c:f>Progress_Record!$U$71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{C8E6C8D1-AAA1-4443-AA4F-9FB819FAB0BC}</c15:txfldGUID>
                      <c15:f>Progress_Record!$U$71</c15:f>
                      <c15:dlblFieldTableCache>
                        <c:ptCount val="1"/>
                        <c:pt idx="0">
                          <c:v>#N/A</c:v>
                        </c:pt>
                      </c15:dlblFieldTableCache>
                    </c15:dlblFTEntry>
                  </c15:dlblFieldTable>
                  <c15:showDataLabelsRange val="0"/>
                </c:ext>
                <c:ext xmlns:c16="http://schemas.microsoft.com/office/drawing/2014/chart" uri="{C3380CC4-5D6E-409C-BE32-E72D297353CC}">
                  <c16:uniqueId val="{00000393-6533-4801-91F4-C60974D7FA9E}"/>
                </c:ext>
              </c:extLst>
            </c:dLbl>
            <c:dLbl>
              <c:idx val="66"/>
              <c:tx>
                <c:strRef>
                  <c:f>Progress_Record!$U$72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{DAEF58AB-4B74-48B2-B5AA-8646EDCDBF9A}</c15:txfldGUID>
                      <c15:f>Progress_Record!$U$72</c15:f>
                      <c15:dlblFieldTableCache>
                        <c:ptCount val="1"/>
                        <c:pt idx="0">
                          <c:v>#N/A</c:v>
                        </c:pt>
                      </c15:dlblFieldTableCache>
                    </c15:dlblFTEntry>
                  </c15:dlblFieldTable>
                  <c15:showDataLabelsRange val="0"/>
                </c:ext>
                <c:ext xmlns:c16="http://schemas.microsoft.com/office/drawing/2014/chart" uri="{C3380CC4-5D6E-409C-BE32-E72D297353CC}">
                  <c16:uniqueId val="{00000394-6533-4801-91F4-C60974D7FA9E}"/>
                </c:ext>
              </c:extLst>
            </c:dLbl>
            <c:dLbl>
              <c:idx val="67"/>
              <c:tx>
                <c:strRef>
                  <c:f>Progress_Record!$U$73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{3407C5C8-6D17-4E25-A036-F9F7138CAF80}</c15:txfldGUID>
                      <c15:f>Progress_Record!$U$73</c15:f>
                      <c15:dlblFieldTableCache>
                        <c:ptCount val="1"/>
                        <c:pt idx="0">
                          <c:v>#N/A</c:v>
                        </c:pt>
                      </c15:dlblFieldTableCache>
                    </c15:dlblFTEntry>
                  </c15:dlblFieldTable>
                  <c15:showDataLabelsRange val="0"/>
                </c:ext>
                <c:ext xmlns:c16="http://schemas.microsoft.com/office/drawing/2014/chart" uri="{C3380CC4-5D6E-409C-BE32-E72D297353CC}">
                  <c16:uniqueId val="{00000395-6533-4801-91F4-C60974D7FA9E}"/>
                </c:ext>
              </c:extLst>
            </c:dLbl>
            <c:dLbl>
              <c:idx val="68"/>
              <c:tx>
                <c:strRef>
                  <c:f>Progress_Record!$U$74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{ADBF85CE-3A7E-4360-8165-7D442EE2C44B}</c15:txfldGUID>
                      <c15:f>Progress_Record!$U$74</c15:f>
                      <c15:dlblFieldTableCache>
                        <c:ptCount val="1"/>
                        <c:pt idx="0">
                          <c:v>#N/A</c:v>
                        </c:pt>
                      </c15:dlblFieldTableCache>
                    </c15:dlblFTEntry>
                  </c15:dlblFieldTable>
                  <c15:showDataLabelsRange val="0"/>
                </c:ext>
                <c:ext xmlns:c16="http://schemas.microsoft.com/office/drawing/2014/chart" uri="{C3380CC4-5D6E-409C-BE32-E72D297353CC}">
                  <c16:uniqueId val="{00000396-6533-4801-91F4-C60974D7FA9E}"/>
                </c:ext>
              </c:extLst>
            </c:dLbl>
            <c:dLbl>
              <c:idx val="69"/>
              <c:tx>
                <c:strRef>
                  <c:f>Progress_Record!$U$75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{B1AF14B3-4F5E-4651-8631-434510A1C102}</c15:txfldGUID>
                      <c15:f>Progress_Record!$U$75</c15:f>
                      <c15:dlblFieldTableCache>
                        <c:ptCount val="1"/>
                        <c:pt idx="0">
                          <c:v>#N/A</c:v>
                        </c:pt>
                      </c15:dlblFieldTableCache>
                    </c15:dlblFTEntry>
                  </c15:dlblFieldTable>
                  <c15:showDataLabelsRange val="0"/>
                </c:ext>
                <c:ext xmlns:c16="http://schemas.microsoft.com/office/drawing/2014/chart" uri="{C3380CC4-5D6E-409C-BE32-E72D297353CC}">
                  <c16:uniqueId val="{00000397-6533-4801-91F4-C60974D7FA9E}"/>
                </c:ext>
              </c:extLst>
            </c:dLbl>
            <c:dLbl>
              <c:idx val="70"/>
              <c:tx>
                <c:strRef>
                  <c:f>Progress_Record!$U$76</c:f>
                  <c:strCache>
                    <c:ptCount val="1"/>
                    <c:pt idx="0">
                      <c:v>07/19/20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{5012D703-820E-4566-BB89-0F7E8C0B1E88}</c15:txfldGUID>
                      <c15:f>Progress_Record!$U$76</c15:f>
                      <c15:dlblFieldTableCache>
                        <c:ptCount val="1"/>
                        <c:pt idx="0">
                          <c:v>07/19/20</c:v>
                        </c:pt>
                      </c15:dlblFieldTableCache>
                    </c15:dlblFTEntry>
                  </c15:dlblFieldTable>
                  <c15:showDataLabelsRange val="0"/>
                </c:ext>
                <c:ext xmlns:c16="http://schemas.microsoft.com/office/drawing/2014/chart" uri="{C3380CC4-5D6E-409C-BE32-E72D297353CC}">
                  <c16:uniqueId val="{00000398-6533-4801-91F4-C60974D7FA9E}"/>
                </c:ext>
              </c:extLst>
            </c:dLbl>
            <c:dLbl>
              <c:idx val="71"/>
              <c:tx>
                <c:strRef>
                  <c:f>Progress_Record!$U$77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{ECFD2003-F516-42EB-9499-A6AEF1651054}</c15:txfldGUID>
                      <c15:f>Progress_Record!$U$77</c15:f>
                      <c15:dlblFieldTableCache>
                        <c:ptCount val="1"/>
                        <c:pt idx="0">
                          <c:v>#N/A</c:v>
                        </c:pt>
                      </c15:dlblFieldTableCache>
                    </c15:dlblFTEntry>
                  </c15:dlblFieldTable>
                  <c15:showDataLabelsRange val="0"/>
                </c:ext>
                <c:ext xmlns:c16="http://schemas.microsoft.com/office/drawing/2014/chart" uri="{C3380CC4-5D6E-409C-BE32-E72D297353CC}">
                  <c16:uniqueId val="{00000399-6533-4801-91F4-C60974D7FA9E}"/>
                </c:ext>
              </c:extLst>
            </c:dLbl>
            <c:dLbl>
              <c:idx val="72"/>
              <c:tx>
                <c:strRef>
                  <c:f>Progress_Record!$U$78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{5B89E13B-FA30-4758-8A56-31E3DEE12E13}</c15:txfldGUID>
                      <c15:f>Progress_Record!$U$78</c15:f>
                      <c15:dlblFieldTableCache>
                        <c:ptCount val="1"/>
                        <c:pt idx="0">
                          <c:v>#N/A</c:v>
                        </c:pt>
                      </c15:dlblFieldTableCache>
                    </c15:dlblFTEntry>
                  </c15:dlblFieldTable>
                  <c15:showDataLabelsRange val="0"/>
                </c:ext>
                <c:ext xmlns:c16="http://schemas.microsoft.com/office/drawing/2014/chart" uri="{C3380CC4-5D6E-409C-BE32-E72D297353CC}">
                  <c16:uniqueId val="{0000039A-6533-4801-91F4-C60974D7FA9E}"/>
                </c:ext>
              </c:extLst>
            </c:dLbl>
            <c:dLbl>
              <c:idx val="73"/>
              <c:tx>
                <c:strRef>
                  <c:f>Progress_Record!$U$79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{31E28A23-F04F-4056-B2DB-1F230C1CF6EA}</c15:txfldGUID>
                      <c15:f>Progress_Record!$U$79</c15:f>
                      <c15:dlblFieldTableCache>
                        <c:ptCount val="1"/>
                        <c:pt idx="0">
                          <c:v>#N/A</c:v>
                        </c:pt>
                      </c15:dlblFieldTableCache>
                    </c15:dlblFTEntry>
                  </c15:dlblFieldTable>
                  <c15:showDataLabelsRange val="0"/>
                </c:ext>
                <c:ext xmlns:c16="http://schemas.microsoft.com/office/drawing/2014/chart" uri="{C3380CC4-5D6E-409C-BE32-E72D297353CC}">
                  <c16:uniqueId val="{0000039B-6533-4801-91F4-C60974D7FA9E}"/>
                </c:ext>
              </c:extLst>
            </c:dLbl>
            <c:dLbl>
              <c:idx val="74"/>
              <c:tx>
                <c:strRef>
                  <c:f>Progress_Record!$U$80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{E1C5D67A-CBF4-43DF-936A-5055672817E0}</c15:txfldGUID>
                      <c15:f>Progress_Record!$U$80</c15:f>
                      <c15:dlblFieldTableCache>
                        <c:ptCount val="1"/>
                        <c:pt idx="0">
                          <c:v>#N/A</c:v>
                        </c:pt>
                      </c15:dlblFieldTableCache>
                    </c15:dlblFTEntry>
                  </c15:dlblFieldTable>
                  <c15:showDataLabelsRange val="0"/>
                </c:ext>
                <c:ext xmlns:c16="http://schemas.microsoft.com/office/drawing/2014/chart" uri="{C3380CC4-5D6E-409C-BE32-E72D297353CC}">
                  <c16:uniqueId val="{0000039C-6533-4801-91F4-C60974D7FA9E}"/>
                </c:ext>
              </c:extLst>
            </c:dLbl>
            <c:dLbl>
              <c:idx val="75"/>
              <c:tx>
                <c:strRef>
                  <c:f>Progress_Record!$U$81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{F828BF39-C1D4-4BFE-A807-0A8B3291018F}</c15:txfldGUID>
                      <c15:f>Progress_Record!$U$81</c15:f>
                      <c15:dlblFieldTableCache>
                        <c:ptCount val="1"/>
                        <c:pt idx="0">
                          <c:v>#N/A</c:v>
                        </c:pt>
                      </c15:dlblFieldTableCache>
                    </c15:dlblFTEntry>
                  </c15:dlblFieldTable>
                  <c15:showDataLabelsRange val="0"/>
                </c:ext>
                <c:ext xmlns:c16="http://schemas.microsoft.com/office/drawing/2014/chart" uri="{C3380CC4-5D6E-409C-BE32-E72D297353CC}">
                  <c16:uniqueId val="{0000039D-6533-4801-91F4-C60974D7FA9E}"/>
                </c:ext>
              </c:extLst>
            </c:dLbl>
            <c:dLbl>
              <c:idx val="76"/>
              <c:tx>
                <c:strRef>
                  <c:f>Progress_Record!$U$82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{EA41D8C5-A0F4-4CD3-AE59-A2D5973D59B8}</c15:txfldGUID>
                      <c15:f>Progress_Record!$U$82</c15:f>
                      <c15:dlblFieldTableCache>
                        <c:ptCount val="1"/>
                        <c:pt idx="0">
                          <c:v>#N/A</c:v>
                        </c:pt>
                      </c15:dlblFieldTableCache>
                    </c15:dlblFTEntry>
                  </c15:dlblFieldTable>
                  <c15:showDataLabelsRange val="0"/>
                </c:ext>
                <c:ext xmlns:c16="http://schemas.microsoft.com/office/drawing/2014/chart" uri="{C3380CC4-5D6E-409C-BE32-E72D297353CC}">
                  <c16:uniqueId val="{0000039E-6533-4801-91F4-C60974D7FA9E}"/>
                </c:ext>
              </c:extLst>
            </c:dLbl>
            <c:dLbl>
              <c:idx val="77"/>
              <c:tx>
                <c:strRef>
                  <c:f>Progress_Record!$U$83</c:f>
                  <c:strCache>
                    <c:ptCount val="1"/>
                    <c:pt idx="0">
                      <c:v>07/26/20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{0938F10E-4114-4DF6-B6BC-C5EBA5682F8D}</c15:txfldGUID>
                      <c15:f>Progress_Record!$U$83</c15:f>
                      <c15:dlblFieldTableCache>
                        <c:ptCount val="1"/>
                        <c:pt idx="0">
                          <c:v>07/26/20</c:v>
                        </c:pt>
                      </c15:dlblFieldTableCache>
                    </c15:dlblFTEntry>
                  </c15:dlblFieldTable>
                  <c15:showDataLabelsRange val="0"/>
                </c:ext>
                <c:ext xmlns:c16="http://schemas.microsoft.com/office/drawing/2014/chart" uri="{C3380CC4-5D6E-409C-BE32-E72D297353CC}">
                  <c16:uniqueId val="{0000039F-6533-4801-91F4-C60974D7FA9E}"/>
                </c:ext>
              </c:extLst>
            </c:dLbl>
            <c:dLbl>
              <c:idx val="78"/>
              <c:tx>
                <c:strRef>
                  <c:f>Progress_Record!$U$84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{91B84298-3637-41F6-92D5-012FCD9886AF}</c15:txfldGUID>
                      <c15:f>Progress_Record!$U$84</c15:f>
                      <c15:dlblFieldTableCache>
                        <c:ptCount val="1"/>
                        <c:pt idx="0">
                          <c:v>#N/A</c:v>
                        </c:pt>
                      </c15:dlblFieldTableCache>
                    </c15:dlblFTEntry>
                  </c15:dlblFieldTable>
                  <c15:showDataLabelsRange val="0"/>
                </c:ext>
                <c:ext xmlns:c16="http://schemas.microsoft.com/office/drawing/2014/chart" uri="{C3380CC4-5D6E-409C-BE32-E72D297353CC}">
                  <c16:uniqueId val="{000003A0-6533-4801-91F4-C60974D7FA9E}"/>
                </c:ext>
              </c:extLst>
            </c:dLbl>
            <c:dLbl>
              <c:idx val="79"/>
              <c:tx>
                <c:strRef>
                  <c:f>Progress_Record!$U$85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{D5BB4136-49C8-4C6D-BF10-C99D2906F084}</c15:txfldGUID>
                      <c15:f>Progress_Record!$U$85</c15:f>
                      <c15:dlblFieldTableCache>
                        <c:ptCount val="1"/>
                        <c:pt idx="0">
                          <c:v>#N/A</c:v>
                        </c:pt>
                      </c15:dlblFieldTableCache>
                    </c15:dlblFTEntry>
                  </c15:dlblFieldTable>
                  <c15:showDataLabelsRange val="0"/>
                </c:ext>
                <c:ext xmlns:c16="http://schemas.microsoft.com/office/drawing/2014/chart" uri="{C3380CC4-5D6E-409C-BE32-E72D297353CC}">
                  <c16:uniqueId val="{000003A1-6533-4801-91F4-C60974D7FA9E}"/>
                </c:ext>
              </c:extLst>
            </c:dLbl>
            <c:dLbl>
              <c:idx val="80"/>
              <c:tx>
                <c:strRef>
                  <c:f>Progress_Record!$U$86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{D8C72871-8779-4E6A-AF99-6F5301EDB8C9}</c15:txfldGUID>
                      <c15:f>Progress_Record!$U$86</c15:f>
                      <c15:dlblFieldTableCache>
                        <c:ptCount val="1"/>
                        <c:pt idx="0">
                          <c:v>#N/A</c:v>
                        </c:pt>
                      </c15:dlblFieldTableCache>
                    </c15:dlblFTEntry>
                  </c15:dlblFieldTable>
                  <c15:showDataLabelsRange val="0"/>
                </c:ext>
                <c:ext xmlns:c16="http://schemas.microsoft.com/office/drawing/2014/chart" uri="{C3380CC4-5D6E-409C-BE32-E72D297353CC}">
                  <c16:uniqueId val="{000003A2-6533-4801-91F4-C60974D7FA9E}"/>
                </c:ext>
              </c:extLst>
            </c:dLbl>
            <c:dLbl>
              <c:idx val="81"/>
              <c:tx>
                <c:strRef>
                  <c:f>Progress_Record!$U$87</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{0159B47B-C43A-4578-A98B-DAA85ECCEC12}</c15:txfldGUID>
                      <c15:f>Progress_Record!$U$87</c15:f>
                      <c15:dlblFieldTableCache>
                        <c:ptCount val="1"/>
                        <c:pt idx="0">
                          <c:v>#N/A</c:v>
                        </c:pt>
                      </c15:dlblFieldTableCache>
                    </c15:dlblFTEntry>
                  </c15:dlblFieldTable>
                  <c15:showDataLabelsRange val="0"/>
                </c:ext>
                <c:ext xmlns:c16="http://schemas.microsoft.com/office/drawing/2014/chart" uri="{C3380CC4-5D6E-409C-BE32-E72D297353CC}">
                  <c16:uniqueId val="{000003A3-6533-4801-91F4-C60974D7FA9E}"/>
                </c:ext>
              </c:extLst>
            </c:dLbl>
            <c:dLbl>
              <c:idx val="82"/>
              <c:tx>
                <c:strRef>
                  <c:f>Progress_Record!$U$88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{135F5D82-896E-4DC7-BAB7-FAD2839559C2}</c15:txfldGUID>
                      <c15:f>Progress_Record!$U$88</c15:f>
                      <c15:dlblFieldTableCache>
                        <c:ptCount val="1"/>
                        <c:pt idx="0">
                          <c:v>#N/A</c:v>
                        </c:pt>
                      </c15:dlblFieldTableCache>
                    </c15:dlblFTEntry>
                  </c15:dlblFieldTable>
                  <c15:showDataLabelsRange val="0"/>
                </c:ext>
                <c:ext xmlns:c16="http://schemas.microsoft.com/office/drawing/2014/chart" uri="{C3380CC4-5D6E-409C-BE32-E72D297353CC}">
                  <c16:uniqueId val="{000003A4-6533-4801-91F4-C60974D7FA9E}"/>
                </c:ext>
              </c:extLst>
            </c:dLbl>
            <c:dLbl>
              <c:idx val="83"/>
              <c:tx>
                <c:strRef>
                  <c:f>Progress_Record!$U$89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{3599C631-15A8-41A1-A52A-9767954D8B27}</c15:txfldGUID>
                      <c15:f>Progress_Record!$U$89</c15:f>
                      <c15:dlblFieldTableCache>
                        <c:ptCount val="1"/>
                        <c:pt idx="0">
                          <c:v>#N/A</c:v>
                        </c:pt>
                      </c15:dlblFieldTableCache>
                    </c15:dlblFTEntry>
                  </c15:dlblFieldTable>
                  <c15:showDataLabelsRange val="0"/>
                </c:ext>
                <c:ext xmlns:c16="http://schemas.microsoft.com/office/drawing/2014/chart" uri="{C3380CC4-5D6E-409C-BE32-E72D297353CC}">
                  <c16:uniqueId val="{000003A5-6533-4801-91F4-C60974D7FA9E}"/>
                </c:ext>
              </c:extLst>
            </c:dLbl>
            <c:dLbl>
              <c:idx val="84"/>
              <c:tx>
                <c:strRef>
                  <c:f>Progress_Record!$U$90</c:f>
                  <c:strCache>
                    <c:ptCount val="1"/>
                    <c:pt idx="0">
                      <c:v>08/02/20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{1FFE3E27-8A35-430E-9B96-1342594F4FC5}</c15:txfldGUID>
                      <c15:f>Progress_Record!$U$90</c15:f>
                      <c15:dlblFieldTableCache>
                        <c:ptCount val="1"/>
                        <c:pt idx="0">
                          <c:v>08/02/20</c:v>
                        </c:pt>
                      </c15:dlblFieldTableCache>
                    </c15:dlblFTEntry>
                  </c15:dlblFieldTable>
                  <c15:showDataLabelsRange val="0"/>
                </c:ext>
                <c:ext xmlns:c16="http://schemas.microsoft.com/office/drawing/2014/chart" uri="{C3380CC4-5D6E-409C-BE32-E72D297353CC}">
                  <c16:uniqueId val="{000003A6-6533-4801-91F4-C60974D7FA9E}"/>
                </c:ext>
              </c:extLst>
            </c:dLbl>
            <c:dLbl>
              <c:idx val="85"/>
              <c:tx>
                <c:strRef>
                  <c:f>Progress_Record!$U$91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{80BB8D2D-12DA-4221-9896-3DD85A02B281}</c15:txfldGUID>
                      <c15:f>Progress_Record!$U$91</c15:f>
                      <c15:dlblFieldTableCache>
                        <c:ptCount val="1"/>
                        <c:pt idx="0">
                          <c:v>#N/A</c:v>
                        </c:pt>
                      </c15:dlblFieldTableCache>
                    </c15:dlblFTEntry>
                  </c15:dlblFieldTable>
                  <c15:showDataLabelsRange val="0"/>
                </c:ext>
                <c:ext xmlns:c16="http://schemas.microsoft.com/office/drawing/2014/chart" uri="{C3380CC4-5D6E-409C-BE32-E72D297353CC}">
                  <c16:uniqueId val="{000003A7-6533-4801-91F4-C60974D7FA9E}"/>
                </c:ext>
              </c:extLst>
            </c:dLbl>
            <c:dLbl>
              <c:idx val="86"/>
              <c:tx>
                <c:strRef>
                  <c:f>Progress_Record!$U$92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{915CFA0E-7DD9-4EE7-A6E3-A48850EE2276}</c15:txfldGUID>
                      <c15:f>Progress_Record!$U$92</c15:f>
                      <c15:dlblFieldTableCache>
                        <c:ptCount val="1"/>
                        <c:pt idx="0">
                          <c:v>#N/A</c:v>
                        </c:pt>
                      </c15:dlblFieldTableCache>
                    </c15:dlblFTEntry>
                  </c15:dlblFieldTable>
                  <c15:showDataLabelsRange val="0"/>
                </c:ext>
                <c:ext xmlns:c16="http://schemas.microsoft.com/office/drawing/2014/chart" uri="{C3380CC4-5D6E-409C-BE32-E72D297353CC}">
                  <c16:uniqueId val="{000003A8-6533-4801-91F4-C60974D7FA9E}"/>
                </c:ext>
              </c:extLst>
            </c:dLbl>
            <c:dLbl>
              <c:idx val="87"/>
              <c:tx>
                <c:strRef>
                  <c:f>Progress_Record!$U$93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{59D0232E-F302-4D85-87E2-D597697AB592}</c15:txfldGUID>
                      <c15:f>Progress_Record!$U$93</c15:f>
                      <c15:dlblFieldTableCache>
                        <c:ptCount val="1"/>
                        <c:pt idx="0">
                          <c:v>#N/A</c:v>
                        </c:pt>
                      </c15:dlblFieldTableCache>
                    </c15:dlblFTEntry>
                  </c15:dlblFieldTable>
                  <c15:showDataLabelsRange val="0"/>
                </c:ext>
                <c:ext xmlns:c16="http://schemas.microsoft.com/office/drawing/2014/chart" uri="{C3380CC4-5D6E-409C-BE32-E72D297353CC}">
                  <c16:uniqueId val="{000003A9-6533-4801-91F4-C60974D7FA9E}"/>
                </c:ext>
              </c:extLst>
            </c:dLbl>
            <c:dLbl>
              <c:idx val="88"/>
              <c:tx>
                <c:strRef>
                  <c:f>Progress_Record!$U$94</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{A173BC34-724A-4730-B947-30ED5117B0F1}</c15:txfldGUID>
                      <c15:f>Progress_Record!$U$94</c15:f>
                      <c15:dlblFieldTableCache>
                        <c:ptCount val="1"/>
                        <c:pt idx="0">
                          <c:v>#N/A</c:v>
                        </c:pt>
                      </c15:dlblFieldTableCache>
                    </c15:dlblFTEntry>
                  </c15:dlblFieldTable>
                  <c15:showDataLabelsRange val="0"/>
                </c:ext>
                <c:ext xmlns:c16="http://schemas.microsoft.com/office/drawing/2014/chart" uri="{C3380CC4-5D6E-409C-BE32-E72D297353CC}">
                  <c16:uniqueId val="{000003AA-6533-4801-91F4-C60974D7FA9E}"/>
                </c:ext>
              </c:extLst>
            </c:dLbl>
            <c:dLbl>
              <c:idx val="89"/>
              <c:tx>
                <c:strRef>
                  <c:f>Progress_Record!$U$95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{E39B277B-6890-4653-96B3-616D41A41DE9}</c15:txfldGUID>
                      <c15:f>Progress_Record!$U$95</c15:f>
                      <c15:dlblFieldTableCache>
                        <c:ptCount val="1"/>
                        <c:pt idx="0">
                          <c:v>#N/A</c:v>
                        </c:pt>
                      </c15:dlblFieldTableCache>
                    </c15:dlblFTEntry>
                  </c15:dlblFieldTable>
                  <c15:showDataLabelsRange val="0"/>
                </c:ext>
                <c:ext xmlns:c16="http://schemas.microsoft.com/office/drawing/2014/chart" uri="{C3380CC4-5D6E-409C-BE32-E72D297353CC}">
                  <c16:uniqueId val="{000003AB-6533-4801-91F4-C60974D7FA9E}"/>
                </c:ext>
              </c:extLst>
            </c:dLbl>
            <c:dLbl>
              <c:idx val="90"/>
              <c:tx>
                <c:strRef>
                  <c:f>Progress_Record!$U$96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{091F199C-D50C-4F6D-AFFF-16041224EFAB}</c15:txfldGUID>
                      <c15:f>Progress_Record!$U$96</c15:f>
                      <c15:dlblFieldTableCache>
                        <c:ptCount val="1"/>
                        <c:pt idx="0">
                          <c:v>#N/A</c:v>
                        </c:pt>
                      </c15:dlblFieldTableCache>
                    </c15:dlblFTEntry>
                  </c15:dlblFieldTable>
                  <c15:showDataLabelsRange val="0"/>
                </c:ext>
                <c:ext xmlns:c16="http://schemas.microsoft.com/office/drawing/2014/chart" uri="{C3380CC4-5D6E-409C-BE32-E72D297353CC}">
                  <c16:uniqueId val="{000003AC-6533-4801-91F4-C60974D7FA9E}"/>
                </c:ext>
              </c:extLst>
            </c:dLbl>
            <c:dLbl>
              <c:idx val="91"/>
              <c:tx>
                <c:strRef>
                  <c:f>Progress_Record!$U$97</c:f>
                  <c:strCache>
                    <c:ptCount val="1"/>
                    <c:pt idx="0">
                      <c:v>08/09/20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{947A822C-6D40-4F36-BF87-FD6D18341101}</c15:txfldGUID>
                      <c15:f>Progress_Record!$U$97</c15:f>
                      <c15:dlblFieldTableCache>
                        <c:ptCount val="1"/>
                        <c:pt idx="0">
                          <c:v>08/09/20</c:v>
                        </c:pt>
                      </c15:dlblFieldTableCache>
                    </c15:dlblFTEntry>
                  </c15:dlblFieldTable>
                  <c15:showDataLabelsRange val="0"/>
                </c:ext>
                <c:ext xmlns:c16="http://schemas.microsoft.com/office/drawing/2014/chart" uri="{C3380CC4-5D6E-409C-BE32-E72D297353CC}">
                  <c16:uniqueId val="{000003AD-6533-4801-91F4-C60974D7FA9E}"/>
                </c:ext>
              </c:extLst>
            </c:dLbl>
            <c:dLbl>
              <c:idx val="92"/>
              <c:tx>
                <c:strRef>
                  <c:f>Progress_Record!$U$98</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{13CA0BBE-7111-4827-86DA-407F39079F43}</c15:txfldGUID>
                      <c15:f>Progress_Record!$U$98</c15:f>
                      <c15:dlblFieldTableCache>
                        <c:ptCount val="1"/>
                        <c:pt idx="0">
                          <c:v>#N/A</c:v>
                        </c:pt>
                      </c15:dlblFieldTableCache>
                    </c15:dlblFTEntry>
                  </c15:dlblFieldTable>
                  <c15:showDataLabelsRange val="0"/>
                </c:ext>
                <c:ext xmlns:c16="http://schemas.microsoft.com/office/drawing/2014/chart" uri="{C3380CC4-5D6E-409C-BE32-E72D297353CC}">
                  <c16:uniqueId val="{000003AE-6533-4801-91F4-C60974D7FA9E}"/>
                </c:ext>
              </c:extLst>
            </c:dLbl>
            <c:dLbl>
              <c:idx val="93"/>
              <c:tx>
                <c:strRef>
                  <c:f>Progress_Record!$U$99</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{775BC320-E961-44E2-997E-4ABA6AD8A4E5}</c15:txfldGUID>
                      <c15:f>Progress_Record!$U$99</c15:f>
                      <c15:dlblFieldTableCache>
                        <c:ptCount val="1"/>
                        <c:pt idx="0">
                          <c:v>#N/A</c:v>
                        </c:pt>
                      </c15:dlblFieldTableCache>
                    </c15:dlblFTEntry>
                  </c15:dlblFieldTable>
                  <c15:showDataLabelsRange val="0"/>
                </c:ext>
                <c:ext xmlns:c16="http://schemas.microsoft.com/office/drawing/2014/chart" uri="{C3380CC4-5D6E-409C-BE32-E72D297353CC}">
                  <c16:uniqueId val="{000003AF-6533-4801-91F4-C60974D7FA9E}"/>
                </c:ext>
              </c:extLst>
            </c:dLbl>
            <c:dLbl>
              <c:idx val="94"/>
              <c:tx>
                <c:strRef>
                  <c:f>Progress_Record!$U$100</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{9A8A8A32-2A6C-4B5F-80E8-5D4600DA82BC}</c15:txfldGUID>
                      <c15:f>Progress_Record!$U$100</c15:f>
                      <c15:dlblFieldTableCache>
                        <c:ptCount val="1"/>
                        <c:pt idx="0">
                          <c:v>#N/A</c:v>
                        </c:pt>
                      </c15:dlblFieldTableCache>
                    </c15:dlblFTEntry>
                  </c15:dlblFieldTable>
                  <c15:showDataLabelsRange val="0"/>
                </c:ext>
                <c:ext xmlns:c16="http://schemas.microsoft.com/office/drawing/2014/chart" uri="{C3380CC4-5D6E-409C-BE32-E72D297353CC}">
                  <c16:uniqueId val="{000003B0-6533-4801-91F4-C60974D7FA9E}"/>
                </c:ext>
              </c:extLst>
            </c:dLbl>
            <c:dLbl>
              <c:idx val="95"/>
              <c:tx>
                <c:strRef>
                  <c:f>Progress_Record!$U$101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{0C4C14DC-FD34-4747-8104-9221FB64898A}</c15:txfldGUID>
                      <c15:f>Progress_Record!$U$101</c15:f>
                      <c15:dlblFieldTableCache>
                        <c:ptCount val="1"/>
                        <c:pt idx="0">
                          <c:v>#N/A</c:v>
                        </c:pt>
                      </c15:dlblFieldTableCache>
                    </c15:dlblFTEntry>
                  </c15:dlblFieldTable>
                  <c15:showDataLabelsRange val="0"/>
                </c:ext>
                <c:ext xmlns:c16="http://schemas.microsoft.com/office/drawing/2014/chart" uri="{C3380CC4-5D6E-409C-BE32-E72D297353CC}">
                  <c16:uniqueId val="{000003B1-6533-4801-91F4-C60974D7FA9E}"/>
                </c:ext>
              </c:extLst>
            </c:dLbl>
            <c:dLbl>
              <c:idx val="96"/>
              <c:tx>
                <c:strRef>
                  <c:f>Progress_Record!$U$102</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{F65D6AB9-7A93-45F5-A9EA-B16AE17D29F7}</c15:txfldGUID>
                      <c15:f>Progress_Record!$U$102</c15:f>
                      <c15:dlblFieldTableCache>
                        <c:ptCount val="1"/>
                        <c:pt idx="0">
                          <c:v>#N/A</c:v>
                        </c:pt>
                      </c15:dlblFieldTableCache>
                    </c15:dlblFTEntry>
                  </c15:dlblFieldTable>
                  <c15:showDataLabelsRange val="0"/>
                </c:ext>
                <c:ext xmlns:c16="http://schemas.microsoft.com/office/drawing/2014/chart" uri="{C3380CC4-5D6E-409C-BE32-E72D297353CC}">
                  <c16:uniqueId val="{000003B2-6533-4801-91F4-C60974D7FA9E}"/>
                </c:ext>
              </c:extLst>
            </c:dLbl>
            <c:dLbl>
              <c:idx val="97"/>
              <c:tx>
                <c:strRef>
                  <c:f>Progress_Record!$U$103</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{497B34C4-B3E0-40B5-BDF0-34841E52A72D}</c15:txfldGUID>
                      <c15:f>Progress_Record!$U$103</c15:f>
                      <c15:dlblFieldTableCache>
                        <c:ptCount val="1"/>
                        <c:pt idx="0">
                          <c:v>#N/A</c:v>
                        </c:pt>
                      </c15:dlblFieldTableCache>
                    </c15:dlblFTEntry>
                  </c15:dlblFieldTable>
                  <c15:showDataLabelsRange val="0"/>
                </c:ext>
                <c:ext xmlns:c16="http://schemas.microsoft.com/office/drawing/2014/chart" uri="{C3380CC4-5D6E-409C-BE32-E72D297353CC}">
                  <c16:uniqueId val="{000003B3-6533-4801-91F4-C60974D7FA9E}"/>
                </c:ext>
              </c:extLst>
            </c:dLbl>
            <c:dLbl>
              <c:idx val="98"/>
              <c:tx>
                <c:strRef>
                  <c:f>Progress_Record!$U$104</c:f>
                  <c:strCache>
                    <c:ptCount val="1"/>
                    <c:pt idx="0">
                      <c:v>08/16/20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{3FD24EE1-87E1-40D6-AB85-28F90A2223D0}</c15:txfldGUID>
                      <c15:f>Progress_Record!$U$104</c15:f>
                      <c15:dlblFieldTableCache>
                        <c:ptCount val="1"/>
                        <c:pt idx="0">
                          <c:v>08/16/20</c:v>
                        </c:pt>
                      </c15:dlblFieldTableCache>
                    </c15:dlblFTEntry>
                  </c15:dlblFieldTable>
                  <c15:showDataLabelsRange val="0"/>
                </c:ext>
                <c:ext xmlns:c16="http://schemas.microsoft.com/office/drawing/2014/chart" uri="{C3380CC4-5D6E-409C-BE32-E72D297353CC}">
                  <c16:uniqueId val="{000003B4-6533-4801-91F4-C60974D7FA9E}"/>
                </c:ext>
              </c:extLst>
            </c:dLbl>
            <c:dLbl>
              <c:idx val="99"/>
              <c:tx>
                <c:strRef>
                  <c:f>Progress_Record!$U$105</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{EB342172-A8FA-4A51-8839-1EC391A9CB9F}</c15:txfldGUID>
                      <c15:f>Progress_Record!$U$105</c15:f>
                      <c15:dlblFieldTableCache>
                        <c:ptCount val="1"/>
                        <c:pt idx="0">
                          <c:v>#N/A</c:v>
                        </c:pt>
                      </c15:dlblFieldTableCache>
                    </c15:dlblFTEntry>
                  </c15:dlblFieldTable>
                  <c15:showDataLabelsRange val="0"/>
                </c:ext>
                <c:ext xmlns:c16="http://schemas.microsoft.com/office/drawing/2014/chart" uri="{C3380CC4-5D6E-409C-BE32-E72D297353CC}">
                  <c16:uniqueId val="{000003B5-6533-4801-91F4-C60974D7FA9E}"/>
                </c:ext>
              </c:extLst>
            </c:dLbl>
            <c:dLbl>
              <c:idx val="100"/>
              <c:tx>
                <c:strRef>
                  <c:f>Progress_Record!$U$106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{EEC39EBE-7B23-40D2-9607-CFF444E1B99F}</c15:txfldGUID>
                      <c15:f>Progress_Record!$U$106</c15:f>
                      <c15:dlblFieldTableCache>
                        <c:ptCount val="1"/>
                        <c:pt idx="0">
                          <c:v>#N/A</c:v>
                        </c:pt>
                      </c15:dlblFieldTableCache>
                    </c15:dlblFTEntry>
                  </c15:dlblFieldTable>
                  <c15:showDataLabelsRange val="0"/>
                </c:ext>
                <c:ext xmlns:c16="http://schemas.microsoft.com/office/drawing/2014/chart" uri="{C3380CC4-5D6E-409C-BE32-E72D297353CC}">
                  <c16:uniqueId val="{000003B6-6533-4801-91F4-C60974D7FA9E}"/>
                </c:ext>
              </c:extLst>
            </c:dLbl>
            <c:dLbl>
              <c:idx val="102"/>
              <c:tx>
                <c:strRef>
                  <c:f>Progress_Record!$U$108</c:f>
                  <c:strCache>
                    <c:ptCount val="1"/>
                    <c:pt idx="0">
                      <c:v>#N/A</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{740BDBF2-8253-4C58-9C2E-B39D6C144FF3}</c15:txfldGUID>
                      <c15:f>Progress_Record!$U$108</c15:f>
                      <c15:dlblFieldTableCache>
                        <c:ptCount val="1"/>
                        <c:pt idx="0">
                          <c:v>#N/A</c:v>
                        </c:pt>
                      </c15:dlblFieldTableCache>
                    </c15:dlblFTEntry>
                  </c15:dlblFieldTable>
                  <c15:showDataLabelsRange val="0"/>
                </c:ext>
                <c:ext xmlns:c16="http://schemas.microsoft.com/office/drawing/2014/chart" uri="{C3380CC4-5D6E-409C-BE32-E72D297353CC}">
                  <c16:uniqueId val="{000003B7-6533-4801-91F4-C60974D7FA9E}"/>
                </c:ext>
              </c:extLst>
            </c:dLbl>
            <c:dLbl>
              <c:idx val="105"/>
              <c:tx>
                <c:strRef>
                  <c:f>Progress_Record!$U$111</c:f>
                  <c:strCache>
                    <c:ptCount val="1"/>
                    <c:pt idx="0">
                      <c:v>08/23/20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{CAE2649C-6B6E-4C83-801D-C6AA989C14E7}</c15:txfldGUID>
                      <c15:f>Progress_Record!$U$111</c15:f>
                      <c15:dlblFieldTableCache>
                        <c:ptCount val="1"/>
                        <c:pt idx="0">
                          <c:v>08/23/20</c:v>
                        </c:pt>
                      </c15:dlblFieldTableCache>
                    </c15:dlblFTEntry>
                  </c15:dlblFieldTable>
                  <c15:showDataLabelsRange val="0"/>
                </c:ext>
                <c:ext xmlns:c16="http://schemas.microsoft.com/office/drawing/2014/chart" uri="{C3380CC4-5D6E-409C-BE32-E72D297353CC}">
                  <c16:uniqueId val="{000003B8-6533-4801-91F4-C60974D7FA9E}"/>
                </c:ext>
              </c:extLst>
            </c:dLbl>
            <c:dLbl>
              <c:idx val="108"/>
              <c:tx>
                <c:strRef>
                  <c:f>Progress_Record!$U$114</c:f>
                  <c:strCache>
                    <c:ptCount val="1"/>
                    <c:pt idx="0">
                      <c:v>#N/A</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{40206B14-029E-4C29-A6ED-CADF0AD1AD65}</c15:txfldGUID>
                      <c15:f>Progress_Record!$U$114</c15:f>
                      <c15:dlblFieldTableCache>
                        <c:ptCount val="1"/>
                        <c:pt idx="0">
                          <c:v>#N/A</c:v>
                        </c:pt>
                      </c15:dlblFieldTableCache>
                    </c15:dlblFTEntry>
                  </c15:dlblFieldTable>
                  <c15:showDataLabelsRange val="0"/>
                </c:ext>
                <c:ext xmlns:c16="http://schemas.microsoft.com/office/drawing/2014/chart" uri="{C3380CC4-5D6E-409C-BE32-E72D297353CC}">
                  <c16:uniqueId val="{000003B9-6533-4801-91F4-C60974D7FA9E}"/>
                </c:ext>
              </c:extLst>
            </c:dLbl>
            <c:dLbl>
              <c:idx val="112"/>
              <c:tx>
                <c:strRef>
                  <c:f>Progress_Record!$U$118</c:f>
                  <c:strCache>
                    <c:ptCount val="1"/>
                    <c:pt idx="0">
                      <c:v>08/30/20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{D944CB28-C95A-4BA5-822B-8835AAF7DDC7}</c15:txfldGUID>
                      <c15:f>Progress_Record!$U$118</c15:f>
                      <c15:dlblFieldTableCache>
                        <c:ptCount val="1"/>
                        <c:pt idx="0">
                          <c:v>08/30/20</c:v>
                        </c:pt>
                      </c15:dlblFieldTableCache>
                    </c15:dlblFTEntry>
                  </c15:dlblFieldTable>
                  <c15:showDataLabelsRange val="0"/>
                </c:ext>
                <c:ext xmlns:c16="http://schemas.microsoft.com/office/drawing/2014/chart" uri="{C3380CC4-5D6E-409C-BE32-E72D297353CC}">
                  <c16:uniqueId val="{000003BA-6533-4801-91F4-C60974D7FA9E}"/>
                </c:ext>
              </c:extLst>
            </c:dLbl>
            <c:dLbl>
              <c:idx val="114"/>
              <c:tx>
                <c:strRef>
                  <c:f>Progress_Record!$U$120</c:f>
                  <c:strCache>
                    <c:ptCount val="1"/>
                    <c:pt idx="0">
                      <c:v>#N/A</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{A424E41C-DEB7-42B4-A50A-77DD28950D0E}</c15:txfldGUID>
                      <c15:f>Progress_Record!$U$120</c15:f>
                      <c15:dlblFieldTableCache>
                        <c:ptCount val="1"/>
                        <c:pt idx="0">
                          <c:v>#N/A</c:v>
                        </c:pt>
                      </c15:dlblFieldTableCache>
                    </c15:dlblFTEntry>
                  </c15:dlblFieldTable>
                  <c15:showDataLabelsRange val="0"/>
                </c:ext>
                <c:ext xmlns:c16="http://schemas.microsoft.com/office/drawing/2014/chart" uri="{C3380CC4-5D6E-409C-BE32-E72D297353CC}">
                  <c16:uniqueId val="{000003BB-6533-4801-91F4-C60974D7FA9E}"/>
                </c:ext>
              </c:extLst>
            </c:dLbl>
            <c:dLbl>
              <c:idx val="119"/>
              <c:tx>
                <c:strRef>
                  <c:f>Progress_Record!$U$125</c:f>
                  <c:strCache>
                    <c:ptCount val="1"/>
                    <c:pt idx="0">
                      <c:v>09/06/20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{90FFDCC2-1503-4139-B537-72D96F16CC87}</c15:txfldGUID>
                      <c15:f>Progress_Record!$U$125</c15:f>
                      <c15:dlblFieldTableCache>
                        <c:ptCount val="1"/>
                        <c:pt idx="0">
                          <c:v>09/06/20</c:v>
                        </c:pt>
                      </c15:dlblFieldTableCache>
                    </c15:dlblFTEntry>
                  </c15:dlblFieldTable>
                  <c15:showDataLabelsRange val="0"/>
                </c:ext>
                <c:ext xmlns:c16="http://schemas.microsoft.com/office/drawing/2014/chart" uri="{C3380CC4-5D6E-409C-BE32-E72D297353CC}">
                  <c16:uniqueId val="{000003BC-6533-4801-91F4-C60974D7FA9E}"/>
                </c:ext>
              </c:extLst>
            </c:dLbl>
            <c:dLbl>
              <c:idx val="120"/>
              <c:tx>
                <c:strRef>
                  <c:f>Progress_Record!$U$126</c:f>
                  <c:strCache>
                    <c:ptCount val="1"/>
                    <c:pt idx="0">
                      <c:v>#N/A</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{656BC4F3-6854-499F-9BBA-9F19C176714A}</c15:txfldGUID>
                      <c15:f>Progress_Record!$U$126</c15:f>
                      <c15:dlblFieldTableCache>
                        <c:ptCount val="1"/>
                        <c:pt idx="0">
                          <c:v>#N/A</c:v>
                        </c:pt>
                      </c15:dlblFieldTableCache>
                    </c15:dlblFTEntry>
                  </c15:dlblFieldTable>
                  <c15:showDataLabelsRange val="0"/>
                </c:ext>
                <c:ext xmlns:c16="http://schemas.microsoft.com/office/drawing/2014/chart" uri="{C3380CC4-5D6E-409C-BE32-E72D297353CC}">
                  <c16:uniqueId val="{000003BD-6533-4801-91F4-C60974D7FA9E}"/>
                </c:ext>
              </c:extLst>
            </c:dLbl>
            <c:dLbl>
              <c:idx val="126"/>
              <c:tx>
                <c:strRef>
                  <c:f>Progress_Record!$U$132</c:f>
                  <c:strCache>
                    <c:ptCount val="1"/>
                    <c:pt idx="0">
                      <c:v>09/13/20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{A8EB4FBB-C315-4FF1-8925-0EF14E9D7940}</c15:txfldGUID>
                      <c15:f>Progress_Record!$U$132</c15:f>
                      <c15:dlblFieldTableCache>
                        <c:ptCount val="1"/>
                        <c:pt idx="0">
                          <c:v>09/13/20</c:v>
                        </c:pt>
                      </c15:dlblFieldTableCache>
                    </c15:dlblFTEntry>
                  </c15:dlblFieldTable>
                  <c15:showDataLabelsRange val="0"/>
                </c:ext>
                <c:ext xmlns:c16="http://schemas.microsoft.com/office/drawing/2014/chart" uri="{C3380CC4-5D6E-409C-BE32-E72D297353CC}">
                  <c16:uniqueId val="{000003BE-6533-4801-91F4-C60974D7FA9E}"/>
                </c:ext>
              </c:extLst>
            </c:dLbl>
            <c:dLbl>
              <c:idx val="133"/>
              <c:tx>
                <c:strRef>
                  <c:f>Progress_Record!$U$139</c:f>
                  <c:strCache>
                    <c:ptCount val="1"/>
                    <c:pt idx="0">
                      <c:v>09/20/20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{30D17C7B-2DE4-4454-A826-B8942E07007F}</c15:txfldGUID>
                      <c15:f>Progress_Record!$U$139</c15:f>
                      <c15:dlblFieldTableCache>
                        <c:ptCount val="1"/>
                        <c:pt idx="0">
                          <c:v>09/20/20</c:v>
                        </c:pt>
                      </c15:dlblFieldTableCache>
                    </c15:dlblFTEntry>
                  </c15:dlblFieldTable>
                  <c15:showDataLabelsRange val="0"/>
                </c:ext>
                <c:ext xmlns:c16="http://schemas.microsoft.com/office/drawing/2014/chart" uri="{C3380CC4-5D6E-409C-BE32-E72D297353CC}">
                  <c16:uniqueId val="{000003BF-6533-4801-91F4-C60974D7FA9E}"/>
                </c:ext>
              </c:extLst>
            </c:dLbl>
            <c:dLbl>
              <c:idx val="140"/>
              <c:tx>
                <c:strRef>
                  <c:f>Progress_Record!$U$146</c:f>
                  <c:strCache>
                    <c:ptCount val="1"/>
                    <c:pt idx="0">
                      <c:v>09/27/20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{C0B7EE2B-3885-46B6-A23E-ABC534F6C29E}</c15:txfldGUID>
                      <c15:f>Progress_Record!$U$146</c15:f>
                      <c15:dlblFieldTableCache>
                        <c:ptCount val="1"/>
                        <c:pt idx="0">
                          <c:v>09/27/20</c:v>
                        </c:pt>
                      </c15:dlblFieldTableCache>
                    </c15:dlblFTEntry>
                  </c15:dlblFieldTable>
                  <c15:showDataLabelsRange val="0"/>
                </c:ext>
                <c:ext xmlns:c16="http://schemas.microsoft.com/office/drawing/2014/chart" uri="{C3380CC4-5D6E-409C-BE32-E72D297353CC}">
                  <c16:uniqueId val="{000003C0-6533-4801-91F4-C60974D7FA9E}"/>
                </c:ext>
              </c:extLst>
            </c:dLbl>
            <c:spPr>
              <a:noFill/>
              <a:ln w="25400">
                <a:noFill/>
              </a:ln>
            </c:spPr>
            <c:txPr>
              <a:bodyPr rot="-2700000" vert="horz"/>
              <a:lstStyle/>
              <a:p>
                <a:pPr algn="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[0]!Day_No</c:f>
              <c:numCache>
                <c:formatCode>General</c:formatCode>
                <c:ptCount val="14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numCache>
            </c:numRef>
          </c:xVal>
          <c:yVal>
            <c:numRef>
              <c:f>Progress_Record!$S$6:$S$146</c:f>
              <c:numCache>
                <c:formatCode>0.0</c:formatCode>
                <c:ptCount val="141"/>
                <c:pt idx="0">
                  <c:v>100000</c:v>
                </c:pt>
                <c:pt idx="1">
                  <c:v>#N/A</c:v>
                </c:pt>
                <c:pt idx="2">
                  <c:v>#N/A</c:v>
                </c:pt>
                <c:pt idx="3">
                  <c:v>#N/A</c:v>
                </c:pt>
                <c:pt idx="4">
                  <c:v>#N/A</c:v>
                </c:pt>
                <c:pt idx="5">
                  <c:v>#N/A</c:v>
                </c:pt>
                <c:pt idx="6">
                  <c:v>#N/A</c:v>
                </c:pt>
                <c:pt idx="7">
                  <c:v>100000</c:v>
                </c:pt>
                <c:pt idx="8">
                  <c:v>#N/A</c:v>
                </c:pt>
                <c:pt idx="9">
                  <c:v>#N/A</c:v>
                </c:pt>
                <c:pt idx="10">
                  <c:v>#N/A</c:v>
                </c:pt>
                <c:pt idx="11">
                  <c:v>#N/A</c:v>
                </c:pt>
                <c:pt idx="12">
                  <c:v>#N/A</c:v>
                </c:pt>
                <c:pt idx="13">
                  <c:v>#N/A</c:v>
                </c:pt>
                <c:pt idx="14">
                  <c:v>100000</c:v>
                </c:pt>
                <c:pt idx="15">
                  <c:v>#N/A</c:v>
                </c:pt>
                <c:pt idx="16">
                  <c:v>#N/A</c:v>
                </c:pt>
                <c:pt idx="17">
                  <c:v>#N/A</c:v>
                </c:pt>
                <c:pt idx="18">
                  <c:v>#N/A</c:v>
                </c:pt>
                <c:pt idx="19">
                  <c:v>#N/A</c:v>
                </c:pt>
                <c:pt idx="20">
                  <c:v>#N/A</c:v>
                </c:pt>
                <c:pt idx="21">
                  <c:v>100000</c:v>
                </c:pt>
                <c:pt idx="22">
                  <c:v>#N/A</c:v>
                </c:pt>
                <c:pt idx="23">
                  <c:v>#N/A</c:v>
                </c:pt>
                <c:pt idx="24">
                  <c:v>#N/A</c:v>
                </c:pt>
                <c:pt idx="25">
                  <c:v>#N/A</c:v>
                </c:pt>
                <c:pt idx="26">
                  <c:v>#N/A</c:v>
                </c:pt>
                <c:pt idx="27">
                  <c:v>#N/A</c:v>
                </c:pt>
                <c:pt idx="28">
                  <c:v>100000</c:v>
                </c:pt>
                <c:pt idx="29">
                  <c:v>#N/A</c:v>
                </c:pt>
                <c:pt idx="30">
                  <c:v>#N/A</c:v>
                </c:pt>
                <c:pt idx="31">
                  <c:v>#N/A</c:v>
                </c:pt>
                <c:pt idx="32">
                  <c:v>#N/A</c:v>
                </c:pt>
                <c:pt idx="33">
                  <c:v>#N/A</c:v>
                </c:pt>
                <c:pt idx="34">
                  <c:v>#N/A</c:v>
                </c:pt>
                <c:pt idx="35">
                  <c:v>100000</c:v>
                </c:pt>
                <c:pt idx="36">
                  <c:v>#N/A</c:v>
                </c:pt>
                <c:pt idx="37">
                  <c:v>#N/A</c:v>
                </c:pt>
                <c:pt idx="38">
                  <c:v>#N/A</c:v>
                </c:pt>
                <c:pt idx="39">
                  <c:v>#N/A</c:v>
                </c:pt>
                <c:pt idx="40">
                  <c:v>#N/A</c:v>
                </c:pt>
                <c:pt idx="41">
                  <c:v>#N/A</c:v>
                </c:pt>
                <c:pt idx="42">
                  <c:v>100000</c:v>
                </c:pt>
                <c:pt idx="43">
                  <c:v>#N/A</c:v>
                </c:pt>
                <c:pt idx="44">
                  <c:v>#N/A</c:v>
                </c:pt>
                <c:pt idx="45">
                  <c:v>#N/A</c:v>
                </c:pt>
                <c:pt idx="46">
                  <c:v>#N/A</c:v>
                </c:pt>
                <c:pt idx="47">
                  <c:v>#N/A</c:v>
                </c:pt>
                <c:pt idx="48">
                  <c:v>#N/A</c:v>
                </c:pt>
                <c:pt idx="49">
                  <c:v>100000</c:v>
                </c:pt>
                <c:pt idx="50">
                  <c:v>#N/A</c:v>
                </c:pt>
                <c:pt idx="51">
                  <c:v>#N/A</c:v>
                </c:pt>
                <c:pt idx="52">
                  <c:v>#N/A</c:v>
                </c:pt>
                <c:pt idx="53">
                  <c:v>#N/A</c:v>
                </c:pt>
                <c:pt idx="54">
                  <c:v>#N/A</c:v>
                </c:pt>
                <c:pt idx="55">
                  <c:v>#N/A</c:v>
                </c:pt>
                <c:pt idx="56">
                  <c:v>100000</c:v>
                </c:pt>
                <c:pt idx="57">
                  <c:v>#N/A</c:v>
                </c:pt>
                <c:pt idx="58">
                  <c:v>#N/A</c:v>
                </c:pt>
                <c:pt idx="59">
                  <c:v>#N/A</c:v>
                </c:pt>
                <c:pt idx="60">
                  <c:v>#N/A</c:v>
                </c:pt>
                <c:pt idx="61">
                  <c:v>#N/A</c:v>
                </c:pt>
                <c:pt idx="62">
                  <c:v>#N/A</c:v>
                </c:pt>
                <c:pt idx="63">
                  <c:v>100000</c:v>
                </c:pt>
                <c:pt idx="64">
                  <c:v>#N/A</c:v>
                </c:pt>
                <c:pt idx="65">
                  <c:v>#N/A</c:v>
                </c:pt>
                <c:pt idx="66">
                  <c:v>#N/A</c:v>
                </c:pt>
                <c:pt idx="67">
                  <c:v>#N/A</c:v>
                </c:pt>
                <c:pt idx="68">
                  <c:v>#N/A</c:v>
                </c:pt>
                <c:pt idx="69">
                  <c:v>#N/A</c:v>
                </c:pt>
                <c:pt idx="70">
                  <c:v>100000</c:v>
                </c:pt>
                <c:pt idx="71">
                  <c:v>#N/A</c:v>
                </c:pt>
                <c:pt idx="72">
                  <c:v>#N/A</c:v>
                </c:pt>
                <c:pt idx="73">
                  <c:v>#N/A</c:v>
                </c:pt>
                <c:pt idx="74">
                  <c:v>#N/A</c:v>
                </c:pt>
                <c:pt idx="75">
                  <c:v>#N/A</c:v>
                </c:pt>
                <c:pt idx="76">
                  <c:v>#N/A</c:v>
                </c:pt>
                <c:pt idx="77">
                  <c:v>100000</c:v>
                </c:pt>
                <c:pt idx="78">
                  <c:v>#N/A</c:v>
                </c:pt>
                <c:pt idx="79">
                  <c:v>#N/A</c:v>
                </c:pt>
                <c:pt idx="80">
                  <c:v>#N/A</c:v>
                </c:pt>
                <c:pt idx="81">
                  <c:v>#N/A</c:v>
                </c:pt>
                <c:pt idx="82">
                  <c:v>#N/A</c:v>
                </c:pt>
                <c:pt idx="83">
                  <c:v>#N/A</c:v>
                </c:pt>
                <c:pt idx="84">
                  <c:v>100000</c:v>
                </c:pt>
                <c:pt idx="85">
                  <c:v>#N/A</c:v>
                </c:pt>
                <c:pt idx="86">
                  <c:v>#N/A</c:v>
                </c:pt>
                <c:pt idx="87">
                  <c:v>#N/A</c:v>
                </c:pt>
                <c:pt idx="88">
                  <c:v>#N/A</c:v>
                </c:pt>
                <c:pt idx="89">
                  <c:v>#N/A</c:v>
                </c:pt>
                <c:pt idx="90">
                  <c:v>#N/A</c:v>
                </c:pt>
                <c:pt idx="91">
                  <c:v>100000</c:v>
                </c:pt>
                <c:pt idx="92">
                  <c:v>#N/A</c:v>
                </c:pt>
                <c:pt idx="93">
                  <c:v>#N/A</c:v>
                </c:pt>
                <c:pt idx="94">
                  <c:v>#N/A</c:v>
                </c:pt>
                <c:pt idx="95">
                  <c:v>#N/A</c:v>
                </c:pt>
                <c:pt idx="96">
                  <c:v>#N/A</c:v>
                </c:pt>
                <c:pt idx="97">
                  <c:v>#N/A</c:v>
                </c:pt>
                <c:pt idx="98">
                  <c:v>100000</c:v>
                </c:pt>
                <c:pt idx="99">
                  <c:v>#N/A</c:v>
                </c:pt>
                <c:pt idx="100">
                  <c:v>#N/A</c:v>
                </c:pt>
                <c:pt idx="101">
                  <c:v>#N/A</c:v>
                </c:pt>
                <c:pt idx="102">
                  <c:v>#N/A</c:v>
                </c:pt>
                <c:pt idx="103">
                  <c:v>#N/A</c:v>
                </c:pt>
                <c:pt idx="104">
                  <c:v>#N/A</c:v>
                </c:pt>
                <c:pt idx="105">
                  <c:v>100000</c:v>
                </c:pt>
                <c:pt idx="106">
                  <c:v>#N/A</c:v>
                </c:pt>
                <c:pt idx="107">
                  <c:v>#N/A</c:v>
                </c:pt>
                <c:pt idx="108">
                  <c:v>#N/A</c:v>
                </c:pt>
                <c:pt idx="109">
                  <c:v>#N/A</c:v>
                </c:pt>
                <c:pt idx="110">
                  <c:v>#N/A</c:v>
                </c:pt>
                <c:pt idx="111">
                  <c:v>#N/A</c:v>
                </c:pt>
                <c:pt idx="112">
                  <c:v>100000</c:v>
                </c:pt>
                <c:pt idx="113">
                  <c:v>#N/A</c:v>
                </c:pt>
                <c:pt idx="114">
                  <c:v>#N/A</c:v>
                </c:pt>
                <c:pt idx="115">
                  <c:v>#N/A</c:v>
                </c:pt>
                <c:pt idx="116">
                  <c:v>#N/A</c:v>
                </c:pt>
                <c:pt idx="117">
                  <c:v>#N/A</c:v>
                </c:pt>
                <c:pt idx="118">
                  <c:v>#N/A</c:v>
                </c:pt>
                <c:pt idx="119">
                  <c:v>100000</c:v>
                </c:pt>
                <c:pt idx="120">
                  <c:v>#N/A</c:v>
                </c:pt>
                <c:pt idx="121">
                  <c:v>#N/A</c:v>
                </c:pt>
                <c:pt idx="122">
                  <c:v>#N/A</c:v>
                </c:pt>
                <c:pt idx="123">
                  <c:v>#N/A</c:v>
                </c:pt>
                <c:pt idx="124">
                  <c:v>#N/A</c:v>
                </c:pt>
                <c:pt idx="125">
                  <c:v>#N/A</c:v>
                </c:pt>
                <c:pt idx="126">
                  <c:v>100000</c:v>
                </c:pt>
                <c:pt idx="127">
                  <c:v>#N/A</c:v>
                </c:pt>
                <c:pt idx="128">
                  <c:v>#N/A</c:v>
                </c:pt>
                <c:pt idx="129">
                  <c:v>#N/A</c:v>
                </c:pt>
                <c:pt idx="130">
                  <c:v>#N/A</c:v>
                </c:pt>
                <c:pt idx="131">
                  <c:v>#N/A</c:v>
                </c:pt>
                <c:pt idx="132">
                  <c:v>#N/A</c:v>
                </c:pt>
                <c:pt idx="133">
                  <c:v>100000</c:v>
                </c:pt>
                <c:pt idx="134">
                  <c:v>#N/A</c:v>
                </c:pt>
                <c:pt idx="135">
                  <c:v>#N/A</c:v>
                </c:pt>
                <c:pt idx="136">
                  <c:v>#N/A</c:v>
                </c:pt>
                <c:pt idx="137">
                  <c:v>#N/A</c:v>
                </c:pt>
                <c:pt idx="138">
                  <c:v>#N/A</c:v>
                </c:pt>
                <c:pt idx="139">
                  <c:v>#N/A</c:v>
                </c:pt>
                <c:pt idx="140">
                  <c:v>100000</c:v>
                </c:pt>
              </c:numCache>
            </c:numRef>
          </c:yVal>
          <c:smooth val="0"/>
          <c:extLst>
            <c:ext xmlns:c16="http://schemas.microsoft.com/office/drawing/2014/chart" uri="{C3380CC4-5D6E-409C-BE32-E72D297353CC}">
              <c16:uniqueId val="{000003C1-6533-4801-91F4-C60974D7FA9E}"/>
            </c:ext>
          </c:extLst>
        </c:ser>
        <c:ser>
          <c:idx val="72"/>
          <c:order val="5"/>
          <c:tx>
            <c:v>cel_acc_1</c:v>
          </c:tx>
          <c:spPr>
            <a:ln w="12700">
              <a:solidFill>
                <a:srgbClr val="0000D4"/>
              </a:solidFill>
              <a:prstDash val="solid"/>
            </a:ln>
          </c:spPr>
          <c:marker>
            <c:symbol val="none"/>
          </c:marker>
          <c:xVal>
            <c:numRef>
              <c:f>'Celeration lines'!$D$3:$D$4</c:f>
              <c:numCache>
                <c:formatCode>General</c:formatCode>
                <c:ptCount val="2"/>
              </c:numCache>
            </c:numRef>
          </c:xVal>
          <c:yVal>
            <c:numRef>
              <c:f>'Celeration lines'!$E$3:$E$4</c:f>
              <c:numCache>
                <c:formatCode>0.00</c:formatCode>
                <c:ptCount val="2"/>
              </c:numCache>
            </c:numRef>
          </c:yVal>
          <c:smooth val="0"/>
          <c:extLst>
            <c:ext xmlns:c16="http://schemas.microsoft.com/office/drawing/2014/chart" uri="{C3380CC4-5D6E-409C-BE32-E72D297353CC}">
              <c16:uniqueId val="{000003C2-6533-4801-91F4-C60974D7FA9E}"/>
            </c:ext>
          </c:extLst>
        </c:ser>
        <c:ser>
          <c:idx val="75"/>
          <c:order val="6"/>
          <c:tx>
            <c:v>cel_acc_1_ext</c:v>
          </c:tx>
          <c:spPr>
            <a:ln w="12700">
              <a:solidFill>
                <a:schemeClr val="tx2"/>
              </a:solidFill>
              <a:prstDash val="sysDash"/>
            </a:ln>
          </c:spPr>
          <c:marker>
            <c:symbol val="none"/>
          </c:marker>
          <c:dPt>
            <c:idx val="0"/>
            <c:bubble3D val="0"/>
            <c:extLst>
              <c:ext xmlns:c16="http://schemas.microsoft.com/office/drawing/2014/chart" uri="{C3380CC4-5D6E-409C-BE32-E72D297353CC}">
                <c16:uniqueId val="{000003C3-6533-4801-91F4-C60974D7FA9E}"/>
              </c:ext>
            </c:extLst>
          </c:dPt>
          <c:dPt>
            <c:idx val="1"/>
            <c:bubble3D val="0"/>
            <c:extLst>
              <c:ext xmlns:c16="http://schemas.microsoft.com/office/drawing/2014/chart" uri="{C3380CC4-5D6E-409C-BE32-E72D297353CC}">
                <c16:uniqueId val="{000003C4-6533-4801-91F4-C60974D7FA9E}"/>
              </c:ext>
            </c:extLst>
          </c:dPt>
          <c:dLbls>
            <c:dLbl>
              <c:idx val="1"/>
              <c:layout>
                <c:manualLayout>
                  <c:x val="1.7483252819374347E-2"/>
                  <c:y val="-3.7124072362241848E-3"/>
                </c:manualLayout>
              </c:layout>
              <c:tx>
                <c:strRef>
                  <c:f>'Celeration lines'!$L$3</c:f>
                  <c:strCache>
                    <c:ptCount val="1"/>
                  </c:strCache>
                </c:strRef>
              </c:tx>
              <c:spPr>
                <a:solidFill>
                  <a:srgbClr val="FFFFFF"/>
                </a:solidFill>
                <a:ln w="25400">
                  <a:noFill/>
                </a:ln>
              </c:spPr>
              <c:txPr>
                <a:bodyPr/>
                <a:lstStyle/>
                <a:p>
                  <a:pPr>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{96FA8EC2-ED0D-4DD2-9E6C-9D484002AF58}</c15:txfldGUID>
                      <c15:f>'Celeration lines'!$L$3</c15:f>
                      <c15:dlblFieldTableCache>
                        <c:ptCount val="1"/>
                      </c15:dlblFieldTableCache>
                    </c15:dlblFTEntry>
                  </c15:dlblFieldTable>
                  <c15:showDataLabelsRange val="0"/>
                </c:ext>
                <c:ext xmlns:c16="http://schemas.microsoft.com/office/drawing/2014/chart" uri="{C3380CC4-5D6E-409C-BE32-E72D297353CC}">
                  <c16:uniqueId val="{000003C4-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lines'!$F$3:$F$4</c:f>
              <c:numCache>
                <c:formatCode>0</c:formatCode>
                <c:ptCount val="2"/>
              </c:numCache>
            </c:numRef>
          </c:xVal>
          <c:yVal>
            <c:numRef>
              <c:f>'Celeration lines'!$G$3:$G$4</c:f>
              <c:numCache>
                <c:formatCode>0.00</c:formatCode>
                <c:ptCount val="2"/>
              </c:numCache>
            </c:numRef>
          </c:yVal>
          <c:smooth val="0"/>
          <c:extLst>
            <c:ext xmlns:c16="http://schemas.microsoft.com/office/drawing/2014/chart" uri="{C3380CC4-5D6E-409C-BE32-E72D297353CC}">
              <c16:uniqueId val="{000003C5-6533-4801-91F4-C60974D7FA9E}"/>
            </c:ext>
          </c:extLst>
        </c:ser>
        <c:ser>
          <c:idx val="105"/>
          <c:order val="7"/>
          <c:tx>
            <c:v>bounce_up_1</c:v>
          </c:tx>
          <c:spPr>
            <a:ln w="12700">
              <a:solidFill>
                <a:srgbClr val="0000D4"/>
              </a:solidFill>
              <a:prstDash val="sysDash"/>
            </a:ln>
          </c:spPr>
          <c:marker>
            <c:symbol val="none"/>
          </c:marker>
          <c:xVal>
            <c:numRef>
              <c:f>'Celeration lines'!$H$3:$H$4</c:f>
              <c:numCache>
                <c:formatCode>0</c:formatCode>
                <c:ptCount val="2"/>
              </c:numCache>
            </c:numRef>
          </c:xVal>
          <c:yVal>
            <c:numRef>
              <c:f>'Celeration lines'!$I$3:$I$4</c:f>
              <c:numCache>
                <c:formatCode>0.00</c:formatCode>
                <c:ptCount val="2"/>
              </c:numCache>
            </c:numRef>
          </c:yVal>
          <c:smooth val="0"/>
          <c:extLst>
            <c:ext xmlns:c16="http://schemas.microsoft.com/office/drawing/2014/chart" uri="{C3380CC4-5D6E-409C-BE32-E72D297353CC}">
              <c16:uniqueId val="{000003C6-6533-4801-91F4-C60974D7FA9E}"/>
            </c:ext>
          </c:extLst>
        </c:ser>
        <c:ser>
          <c:idx val="80"/>
          <c:order val="8"/>
          <c:tx>
            <c:v>bounce_down_1</c:v>
          </c:tx>
          <c:spPr>
            <a:ln w="12700">
              <a:solidFill>
                <a:srgbClr val="0033CC"/>
              </a:solidFill>
              <a:prstDash val="sysDash"/>
            </a:ln>
          </c:spPr>
          <c:marker>
            <c:symbol val="none"/>
          </c:marker>
          <c:dPt>
            <c:idx val="0"/>
            <c:bubble3D val="0"/>
            <c:extLst>
              <c:ext xmlns:c16="http://schemas.microsoft.com/office/drawing/2014/chart" uri="{C3380CC4-5D6E-409C-BE32-E72D297353CC}">
                <c16:uniqueId val="{000003C7-6533-4801-91F4-C60974D7FA9E}"/>
              </c:ext>
            </c:extLst>
          </c:dPt>
          <c:dPt>
            <c:idx val="1"/>
            <c:bubble3D val="0"/>
            <c:extLst>
              <c:ext xmlns:c16="http://schemas.microsoft.com/office/drawing/2014/chart" uri="{C3380CC4-5D6E-409C-BE32-E72D297353CC}">
                <c16:uniqueId val="{000003C8-6533-4801-91F4-C60974D7FA9E}"/>
              </c:ext>
            </c:extLst>
          </c:dPt>
          <c:xVal>
            <c:numRef>
              <c:f>'Celeration lines'!$J$3:$J$4</c:f>
              <c:numCache>
                <c:formatCode>0</c:formatCode>
                <c:ptCount val="2"/>
              </c:numCache>
            </c:numRef>
          </c:xVal>
          <c:yVal>
            <c:numRef>
              <c:f>'Celeration lines'!$K$3:$K$4</c:f>
              <c:numCache>
                <c:formatCode>0.00</c:formatCode>
                <c:ptCount val="2"/>
              </c:numCache>
            </c:numRef>
          </c:yVal>
          <c:smooth val="0"/>
          <c:extLst>
            <c:ext xmlns:c16="http://schemas.microsoft.com/office/drawing/2014/chart" uri="{C3380CC4-5D6E-409C-BE32-E72D297353CC}">
              <c16:uniqueId val="{000003C9-6533-4801-91F4-C60974D7FA9E}"/>
            </c:ext>
          </c:extLst>
        </c:ser>
        <c:ser>
          <c:idx val="73"/>
          <c:order val="9"/>
          <c:tx>
            <c:v>cel_dec_2</c:v>
          </c:tx>
          <c:spPr>
            <a:ln w="12700">
              <a:solidFill>
                <a:srgbClr val="0000D4"/>
              </a:solidFill>
              <a:prstDash val="solid"/>
            </a:ln>
          </c:spPr>
          <c:marker>
            <c:symbol val="none"/>
          </c:marker>
          <c:xVal>
            <c:numRef>
              <c:f>'Celeration lines'!$D$5:$D$6</c:f>
              <c:numCache>
                <c:formatCode>General</c:formatCode>
                <c:ptCount val="2"/>
              </c:numCache>
            </c:numRef>
          </c:xVal>
          <c:yVal>
            <c:numRef>
              <c:f>'Celeration lines'!$E$5:$E$6</c:f>
              <c:numCache>
                <c:formatCode>0.00</c:formatCode>
                <c:ptCount val="2"/>
              </c:numCache>
            </c:numRef>
          </c:yVal>
          <c:smooth val="0"/>
          <c:extLst>
            <c:ext xmlns:c16="http://schemas.microsoft.com/office/drawing/2014/chart" uri="{C3380CC4-5D6E-409C-BE32-E72D297353CC}">
              <c16:uniqueId val="{000003CA-6533-4801-91F4-C60974D7FA9E}"/>
            </c:ext>
          </c:extLst>
        </c:ser>
        <c:ser>
          <c:idx val="81"/>
          <c:order val="10"/>
          <c:tx>
            <c:v>cel_dec_2_ext</c:v>
          </c:tx>
          <c:spPr>
            <a:ln w="12700">
              <a:solidFill>
                <a:srgbClr val="0000D4"/>
              </a:solidFill>
              <a:prstDash val="sysDash"/>
            </a:ln>
          </c:spPr>
          <c:marker>
            <c:symbol val="none"/>
          </c:marker>
          <c:dLbls>
            <c:dLbl>
              <c:idx val="1"/>
              <c:layout>
                <c:manualLayout>
                  <c:x val="1.0055126424930781E-2"/>
                  <c:y val="-7.2307298221386384E-3"/>
                </c:manualLayout>
              </c:layout>
              <c:tx>
                <c:strRef>
                  <c:f>'Celeration lines'!$L$5</c:f>
                  <c:strCache>
                    <c:ptCount val="1"/>
                  </c:strCache>
                </c:strRef>
              </c:tx>
              <c:spPr>
                <a:solidFill>
                  <a:srgbClr val="FFFFFF"/>
                </a:solidFill>
                <a:ln w="25400">
                  <a:noFill/>
                </a:ln>
              </c:spPr>
              <c:txPr>
                <a:bodyPr/>
                <a:lstStyle/>
                <a:p>
                  <a:pPr>
                    <a:defRPr>
                      <a:solidFill>
                        <a:srgbClr val="0033CC"/>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{E5EAC1E2-5A2C-47FE-A4CB-79D17FFACDCE}</c15:txfldGUID>
                      <c15:f>'Celeration lines'!$L$5</c15:f>
                      <c15:dlblFieldTableCache>
                        <c:ptCount val="1"/>
                      </c15:dlblFieldTableCache>
                    </c15:dlblFTEntry>
                  </c15:dlblFieldTable>
                  <c15:showDataLabelsRange val="0"/>
                </c:ext>
                <c:ext xmlns:c16="http://schemas.microsoft.com/office/drawing/2014/chart" uri="{C3380CC4-5D6E-409C-BE32-E72D297353CC}">
                  <c16:uniqueId val="{000003CB-6533-4801-91F4-C60974D7FA9E}"/>
                </c:ext>
              </c:extLst>
            </c:dLbl>
            <c:spPr>
              <a:noFill/>
              <a:ln>
                <a:noFill/>
              </a:ln>
              <a:effectLst/>
            </c:spPr>
            <c:txPr>
              <a:bodyPr wrap="square" lIns="38100" tIns="19050" rIns="38100" bIns="19050" anchor="ctr">
                <a:spAutoFit/>
              </a:bodyPr>
              <a:lstStyle/>
              <a:p>
                <a:pPr>
                  <a:defRPr>
                    <a:solidFill>
                      <a:srgbClr val="0033CC"/>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lines'!$F$5:$F$6</c:f>
              <c:numCache>
                <c:formatCode>0</c:formatCode>
                <c:ptCount val="2"/>
              </c:numCache>
            </c:numRef>
          </c:xVal>
          <c:yVal>
            <c:numRef>
              <c:f>'Celeration lines'!$G$5:$G$6</c:f>
              <c:numCache>
                <c:formatCode>0.00</c:formatCode>
                <c:ptCount val="2"/>
              </c:numCache>
            </c:numRef>
          </c:yVal>
          <c:smooth val="0"/>
          <c:extLst>
            <c:ext xmlns:c16="http://schemas.microsoft.com/office/drawing/2014/chart" uri="{C3380CC4-5D6E-409C-BE32-E72D297353CC}">
              <c16:uniqueId val="{000003CC-6533-4801-91F4-C60974D7FA9E}"/>
            </c:ext>
          </c:extLst>
        </c:ser>
        <c:ser>
          <c:idx val="74"/>
          <c:order val="11"/>
          <c:tx>
            <c:v>bounce_up_2</c:v>
          </c:tx>
          <c:spPr>
            <a:ln w="12700">
              <a:solidFill>
                <a:srgbClr val="0000D4"/>
              </a:solidFill>
              <a:prstDash val="sysDash"/>
            </a:ln>
          </c:spPr>
          <c:marker>
            <c:symbol val="none"/>
          </c:marker>
          <c:xVal>
            <c:numRef>
              <c:f>'Celeration lines'!$H$5:$H$6</c:f>
              <c:numCache>
                <c:formatCode>0</c:formatCode>
                <c:ptCount val="2"/>
              </c:numCache>
            </c:numRef>
          </c:xVal>
          <c:yVal>
            <c:numRef>
              <c:f>'Celeration lines'!$I$5:$I$6</c:f>
              <c:numCache>
                <c:formatCode>0.00</c:formatCode>
                <c:ptCount val="2"/>
              </c:numCache>
            </c:numRef>
          </c:yVal>
          <c:smooth val="0"/>
          <c:extLst>
            <c:ext xmlns:c16="http://schemas.microsoft.com/office/drawing/2014/chart" uri="{C3380CC4-5D6E-409C-BE32-E72D297353CC}">
              <c16:uniqueId val="{000003CD-6533-4801-91F4-C60974D7FA9E}"/>
            </c:ext>
          </c:extLst>
        </c:ser>
        <c:ser>
          <c:idx val="82"/>
          <c:order val="12"/>
          <c:tx>
            <c:v>bounce_down_2</c:v>
          </c:tx>
          <c:spPr>
            <a:ln w="12700">
              <a:solidFill>
                <a:srgbClr val="0000D4"/>
              </a:solidFill>
              <a:prstDash val="sysDash"/>
            </a:ln>
          </c:spPr>
          <c:marker>
            <c:symbol val="none"/>
          </c:marker>
          <c:xVal>
            <c:numRef>
              <c:f>'Celeration lines'!$J$5:$J$6</c:f>
              <c:numCache>
                <c:formatCode>0</c:formatCode>
                <c:ptCount val="2"/>
              </c:numCache>
            </c:numRef>
          </c:xVal>
          <c:yVal>
            <c:numRef>
              <c:f>'Celeration lines'!$K$5:$K$6</c:f>
              <c:numCache>
                <c:formatCode>0.00</c:formatCode>
                <c:ptCount val="2"/>
              </c:numCache>
            </c:numRef>
          </c:yVal>
          <c:smooth val="0"/>
          <c:extLst>
            <c:ext xmlns:c16="http://schemas.microsoft.com/office/drawing/2014/chart" uri="{C3380CC4-5D6E-409C-BE32-E72D297353CC}">
              <c16:uniqueId val="{000003CE-6533-4801-91F4-C60974D7FA9E}"/>
            </c:ext>
          </c:extLst>
        </c:ser>
        <c:ser>
          <c:idx val="83"/>
          <c:order val="13"/>
          <c:tx>
            <c:v>cel_acc_3</c:v>
          </c:tx>
          <c:spPr>
            <a:ln w="12700">
              <a:solidFill>
                <a:srgbClr val="0000D4"/>
              </a:solidFill>
              <a:prstDash val="solid"/>
            </a:ln>
          </c:spPr>
          <c:marker>
            <c:symbol val="none"/>
          </c:marker>
          <c:xVal>
            <c:numRef>
              <c:f>'Celeration lines'!$D$7:$D$8</c:f>
              <c:numCache>
                <c:formatCode>General</c:formatCode>
                <c:ptCount val="2"/>
              </c:numCache>
            </c:numRef>
          </c:xVal>
          <c:yVal>
            <c:numRef>
              <c:f>'Celeration lines'!$E$7:$E$8</c:f>
              <c:numCache>
                <c:formatCode>0.00</c:formatCode>
                <c:ptCount val="2"/>
              </c:numCache>
            </c:numRef>
          </c:yVal>
          <c:smooth val="0"/>
          <c:extLst>
            <c:ext xmlns:c16="http://schemas.microsoft.com/office/drawing/2014/chart" uri="{C3380CC4-5D6E-409C-BE32-E72D297353CC}">
              <c16:uniqueId val="{000003CF-6533-4801-91F4-C60974D7FA9E}"/>
            </c:ext>
          </c:extLst>
        </c:ser>
        <c:ser>
          <c:idx val="85"/>
          <c:order val="14"/>
          <c:tx>
            <c:v>cel_acc_3_ext</c:v>
          </c:tx>
          <c:spPr>
            <a:ln w="12700">
              <a:solidFill>
                <a:srgbClr val="0000D4"/>
              </a:solidFill>
              <a:prstDash val="sysDash"/>
            </a:ln>
          </c:spPr>
          <c:marker>
            <c:symbol val="none"/>
          </c:marker>
          <c:dLbls>
            <c:dLbl>
              <c:idx val="1"/>
              <c:layout>
                <c:manualLayout>
                  <c:x val="1.1636803055373094E-2"/>
                  <c:y val="-5.6577086280055885E-3"/>
                </c:manualLayout>
              </c:layout>
              <c:tx>
                <c:strRef>
                  <c:f>'Celeration lines'!$L$7</c:f>
                  <c:strCache>
                    <c:ptCount val="1"/>
                  </c:strCache>
                </c:strRef>
              </c:tx>
              <c:spPr>
                <a:solidFill>
                  <a:schemeClr val="bg1"/>
                </a:solidFill>
                <a:ln w="25400">
                  <a:noFill/>
                </a:ln>
              </c:spPr>
              <c:txPr>
                <a:bodyPr/>
                <a:lstStyle/>
                <a:p>
                  <a:pPr>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{ABD89D26-FEC3-4653-B61E-A67126425DBE}</c15:txfldGUID>
                      <c15:f>'Celeration lines'!$L$7</c15:f>
                      <c15:dlblFieldTableCache>
                        <c:ptCount val="1"/>
                      </c15:dlblFieldTableCache>
                    </c15:dlblFTEntry>
                  </c15:dlblFieldTable>
                  <c15:showDataLabelsRange val="0"/>
                </c:ext>
                <c:ext xmlns:c16="http://schemas.microsoft.com/office/drawing/2014/chart" uri="{C3380CC4-5D6E-409C-BE32-E72D297353CC}">
                  <c16:uniqueId val="{000003D0-6533-4801-91F4-C60974D7FA9E}"/>
                </c:ext>
              </c:extLst>
            </c:dLbl>
            <c:spPr>
              <a:noFill/>
              <a:ln>
                <a:noFill/>
              </a:ln>
              <a:effectLst/>
            </c:sp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lines'!$F$7:$F$8</c:f>
              <c:numCache>
                <c:formatCode>0</c:formatCode>
                <c:ptCount val="2"/>
              </c:numCache>
            </c:numRef>
          </c:xVal>
          <c:yVal>
            <c:numRef>
              <c:f>'Celeration lines'!$G$7:$G$8</c:f>
              <c:numCache>
                <c:formatCode>0.00</c:formatCode>
                <c:ptCount val="2"/>
              </c:numCache>
            </c:numRef>
          </c:yVal>
          <c:smooth val="0"/>
          <c:extLst>
            <c:ext xmlns:c16="http://schemas.microsoft.com/office/drawing/2014/chart" uri="{C3380CC4-5D6E-409C-BE32-E72D297353CC}">
              <c16:uniqueId val="{000003D1-6533-4801-91F4-C60974D7FA9E}"/>
            </c:ext>
          </c:extLst>
        </c:ser>
        <c:ser>
          <c:idx val="84"/>
          <c:order val="15"/>
          <c:tx>
            <c:v>bounce_up_3</c:v>
          </c:tx>
          <c:spPr>
            <a:ln w="12700">
              <a:solidFill>
                <a:srgbClr val="0000D4"/>
              </a:solidFill>
              <a:prstDash val="sysDash"/>
            </a:ln>
          </c:spPr>
          <c:marker>
            <c:symbol val="none"/>
          </c:marker>
          <c:xVal>
            <c:numRef>
              <c:f>'Celeration lines'!$H$7:$H$8</c:f>
              <c:numCache>
                <c:formatCode>0</c:formatCode>
                <c:ptCount val="2"/>
              </c:numCache>
            </c:numRef>
          </c:xVal>
          <c:yVal>
            <c:numRef>
              <c:f>'Celeration lines'!$I$7:$I$8</c:f>
              <c:numCache>
                <c:formatCode>0.00</c:formatCode>
                <c:ptCount val="2"/>
              </c:numCache>
            </c:numRef>
          </c:yVal>
          <c:smooth val="0"/>
          <c:extLst>
            <c:ext xmlns:c16="http://schemas.microsoft.com/office/drawing/2014/chart" uri="{C3380CC4-5D6E-409C-BE32-E72D297353CC}">
              <c16:uniqueId val="{000003D2-6533-4801-91F4-C60974D7FA9E}"/>
            </c:ext>
          </c:extLst>
        </c:ser>
        <c:ser>
          <c:idx val="86"/>
          <c:order val="16"/>
          <c:tx>
            <c:v>bounce_down_3</c:v>
          </c:tx>
          <c:spPr>
            <a:ln w="12700">
              <a:solidFill>
                <a:srgbClr val="0000D4"/>
              </a:solidFill>
              <a:prstDash val="sysDash"/>
            </a:ln>
          </c:spPr>
          <c:marker>
            <c:symbol val="none"/>
          </c:marker>
          <c:xVal>
            <c:numRef>
              <c:f>'Celeration lines'!$J$7:$J$8</c:f>
              <c:numCache>
                <c:formatCode>0</c:formatCode>
                <c:ptCount val="2"/>
              </c:numCache>
            </c:numRef>
          </c:xVal>
          <c:yVal>
            <c:numRef>
              <c:f>'Celeration lines'!$K$7:$K$8</c:f>
              <c:numCache>
                <c:formatCode>0.00</c:formatCode>
                <c:ptCount val="2"/>
              </c:numCache>
            </c:numRef>
          </c:yVal>
          <c:smooth val="0"/>
          <c:extLst>
            <c:ext xmlns:c16="http://schemas.microsoft.com/office/drawing/2014/chart" uri="{C3380CC4-5D6E-409C-BE32-E72D297353CC}">
              <c16:uniqueId val="{000003D3-6533-4801-91F4-C60974D7FA9E}"/>
            </c:ext>
          </c:extLst>
        </c:ser>
        <c:ser>
          <c:idx val="70"/>
          <c:order val="17"/>
          <c:tx>
            <c:v>cel_dec_4</c:v>
          </c:tx>
          <c:spPr>
            <a:ln w="12700">
              <a:solidFill>
                <a:srgbClr val="0000D4"/>
              </a:solidFill>
              <a:prstDash val="solid"/>
            </a:ln>
          </c:spPr>
          <c:marker>
            <c:symbol val="none"/>
          </c:marker>
          <c:xVal>
            <c:numRef>
              <c:f>'Celeration lines'!$D$9:$D$10</c:f>
              <c:numCache>
                <c:formatCode>General</c:formatCode>
                <c:ptCount val="2"/>
              </c:numCache>
            </c:numRef>
          </c:xVal>
          <c:yVal>
            <c:numRef>
              <c:f>'Celeration lines'!$E$9:$E$10</c:f>
              <c:numCache>
                <c:formatCode>0.00</c:formatCode>
                <c:ptCount val="2"/>
              </c:numCache>
            </c:numRef>
          </c:yVal>
          <c:smooth val="0"/>
          <c:extLst>
            <c:ext xmlns:c16="http://schemas.microsoft.com/office/drawing/2014/chart" uri="{C3380CC4-5D6E-409C-BE32-E72D297353CC}">
              <c16:uniqueId val="{000003D4-6533-4801-91F4-C60974D7FA9E}"/>
            </c:ext>
          </c:extLst>
        </c:ser>
        <c:ser>
          <c:idx val="87"/>
          <c:order val="18"/>
          <c:tx>
            <c:v>cel_dec_4_ext</c:v>
          </c:tx>
          <c:spPr>
            <a:ln w="12700">
              <a:solidFill>
                <a:srgbClr val="0000D4"/>
              </a:solidFill>
              <a:prstDash val="sysDash"/>
            </a:ln>
          </c:spPr>
          <c:marker>
            <c:symbol val="none"/>
          </c:marker>
          <c:dLbls>
            <c:dLbl>
              <c:idx val="1"/>
              <c:layout>
                <c:manualLayout>
                  <c:x val="-1.4079549454417458E-3"/>
                  <c:y val="-3.7718057520038407E-3"/>
                </c:manualLayout>
              </c:layout>
              <c:tx>
                <c:strRef>
                  <c:f>'Celeration lines'!$L$9</c:f>
                  <c:strCache>
                    <c:ptCount val="1"/>
                  </c:strCache>
                </c:strRef>
              </c:tx>
              <c:spPr>
                <a:solidFill>
                  <a:schemeClr val="bg1"/>
                </a:solidFill>
                <a:ln w="25400">
                  <a:noFill/>
                </a:ln>
              </c:spPr>
              <c:txPr>
                <a:bodyPr/>
                <a:lstStyle/>
                <a:p>
                  <a:pPr>
                    <a:defRPr/>
                  </a:pPr>
                  <a:endParaRPr lang="en-US"/>
                </a:p>
              </c:txPr>
              <c:dLblPos val="r"/>
              <c:showLegendKey val="0"/>
              <c:showVal val="0"/>
              <c:showCatName val="0"/>
              <c:showSerName val="0"/>
              <c:showPercent val="0"/>
              <c:showBubbleSize val="0"/>
              <c:extLst>
                <c:ext xmlns:c15="http://schemas.microsoft.com/office/drawing/2012/chart" uri="{CE6537A1-D6FC-4f65-9D91-7224C49458BB}">
                  <c15:layout>
                    <c:manualLayout>
                      <c:w val="0.10982747008788632"/>
                      <c:h val="2.7845430212312571E-2"/>
                    </c:manualLayout>
                  </c15:layout>
                  <c15:dlblFieldTable>
                    <c15:dlblFTEntry>
                      <c15:txfldGUID>{AD4D4472-0194-4BD8-8EF6-DA4F69FA1FB2}</c15:txfldGUID>
                      <c15:f>'Celeration lines'!$L$9</c15:f>
                      <c15:dlblFieldTableCache>
                        <c:ptCount val="1"/>
                      </c15:dlblFieldTableCache>
                    </c15:dlblFTEntry>
                  </c15:dlblFieldTable>
                  <c15:showDataLabelsRange val="0"/>
                </c:ext>
                <c:ext xmlns:c16="http://schemas.microsoft.com/office/drawing/2014/chart" uri="{C3380CC4-5D6E-409C-BE32-E72D297353CC}">
                  <c16:uniqueId val="{000003D5-6533-4801-91F4-C60974D7FA9E}"/>
                </c:ext>
              </c:extLst>
            </c:dLbl>
            <c:spPr>
              <a:solidFill>
                <a:schemeClr val="bg1"/>
              </a:solidFill>
            </c:sp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lines'!$F$9:$F$10</c:f>
              <c:numCache>
                <c:formatCode>0</c:formatCode>
                <c:ptCount val="2"/>
              </c:numCache>
            </c:numRef>
          </c:xVal>
          <c:yVal>
            <c:numRef>
              <c:f>'Celeration lines'!$G$9:$G$10</c:f>
              <c:numCache>
                <c:formatCode>0.00</c:formatCode>
                <c:ptCount val="2"/>
              </c:numCache>
            </c:numRef>
          </c:yVal>
          <c:smooth val="0"/>
          <c:extLst>
            <c:ext xmlns:c16="http://schemas.microsoft.com/office/drawing/2014/chart" uri="{C3380CC4-5D6E-409C-BE32-E72D297353CC}">
              <c16:uniqueId val="{000003D6-6533-4801-91F4-C60974D7FA9E}"/>
            </c:ext>
          </c:extLst>
        </c:ser>
        <c:ser>
          <c:idx val="71"/>
          <c:order val="19"/>
          <c:tx>
            <c:v>bounce_up_4</c:v>
          </c:tx>
          <c:spPr>
            <a:ln w="12700">
              <a:solidFill>
                <a:srgbClr val="0000D4"/>
              </a:solidFill>
              <a:prstDash val="sysDash"/>
            </a:ln>
          </c:spPr>
          <c:marker>
            <c:symbol val="none"/>
          </c:marker>
          <c:xVal>
            <c:numRef>
              <c:f>'Celeration lines'!$H$9:$H$10</c:f>
              <c:numCache>
                <c:formatCode>0</c:formatCode>
                <c:ptCount val="2"/>
              </c:numCache>
            </c:numRef>
          </c:xVal>
          <c:yVal>
            <c:numRef>
              <c:f>'Celeration lines'!$I$9:$I$10</c:f>
              <c:numCache>
                <c:formatCode>0.00</c:formatCode>
                <c:ptCount val="2"/>
              </c:numCache>
            </c:numRef>
          </c:yVal>
          <c:smooth val="0"/>
          <c:extLst>
            <c:ext xmlns:c16="http://schemas.microsoft.com/office/drawing/2014/chart" uri="{C3380CC4-5D6E-409C-BE32-E72D297353CC}">
              <c16:uniqueId val="{000003D7-6533-4801-91F4-C60974D7FA9E}"/>
            </c:ext>
          </c:extLst>
        </c:ser>
        <c:ser>
          <c:idx val="88"/>
          <c:order val="20"/>
          <c:tx>
            <c:v>bounce_down_4</c:v>
          </c:tx>
          <c:spPr>
            <a:ln w="12700">
              <a:solidFill>
                <a:srgbClr val="0000D4"/>
              </a:solidFill>
              <a:prstDash val="sysDash"/>
            </a:ln>
          </c:spPr>
          <c:marker>
            <c:symbol val="none"/>
          </c:marker>
          <c:xVal>
            <c:numRef>
              <c:f>'Celeration lines'!$J$9:$J$10</c:f>
              <c:numCache>
                <c:formatCode>0</c:formatCode>
                <c:ptCount val="2"/>
              </c:numCache>
            </c:numRef>
          </c:xVal>
          <c:yVal>
            <c:numRef>
              <c:f>'Celeration lines'!$K$9:$K$10</c:f>
              <c:numCache>
                <c:formatCode>0.00</c:formatCode>
                <c:ptCount val="2"/>
              </c:numCache>
            </c:numRef>
          </c:yVal>
          <c:smooth val="0"/>
          <c:extLst>
            <c:ext xmlns:c16="http://schemas.microsoft.com/office/drawing/2014/chart" uri="{C3380CC4-5D6E-409C-BE32-E72D297353CC}">
              <c16:uniqueId val="{000003D8-6533-4801-91F4-C60974D7FA9E}"/>
            </c:ext>
          </c:extLst>
        </c:ser>
        <c:ser>
          <c:idx val="89"/>
          <c:order val="21"/>
          <c:tx>
            <c:v>cel_acc_5</c:v>
          </c:tx>
          <c:spPr>
            <a:ln w="12700">
              <a:solidFill>
                <a:srgbClr val="0000D4"/>
              </a:solidFill>
              <a:prstDash val="solid"/>
            </a:ln>
          </c:spPr>
          <c:marker>
            <c:symbol val="none"/>
          </c:marker>
          <c:xVal>
            <c:numRef>
              <c:f>'Celeration lines'!$D$11:$D$12</c:f>
              <c:numCache>
                <c:formatCode>General</c:formatCode>
                <c:ptCount val="2"/>
              </c:numCache>
            </c:numRef>
          </c:xVal>
          <c:yVal>
            <c:numRef>
              <c:f>'Celeration lines'!$E$11:$E$12</c:f>
              <c:numCache>
                <c:formatCode>0.00</c:formatCode>
                <c:ptCount val="2"/>
              </c:numCache>
            </c:numRef>
          </c:yVal>
          <c:smooth val="0"/>
          <c:extLst>
            <c:ext xmlns:c16="http://schemas.microsoft.com/office/drawing/2014/chart" uri="{C3380CC4-5D6E-409C-BE32-E72D297353CC}">
              <c16:uniqueId val="{000003D9-6533-4801-91F4-C60974D7FA9E}"/>
            </c:ext>
          </c:extLst>
        </c:ser>
        <c:ser>
          <c:idx val="76"/>
          <c:order val="22"/>
          <c:tx>
            <c:v>cel_acc_5_ext</c:v>
          </c:tx>
          <c:spPr>
            <a:ln w="12700">
              <a:solidFill>
                <a:srgbClr val="0000D4"/>
              </a:solidFill>
              <a:prstDash val="sysDash"/>
            </a:ln>
          </c:spPr>
          <c:marker>
            <c:symbol val="none"/>
          </c:marker>
          <c:dLbls>
            <c:dLbl>
              <c:idx val="1"/>
              <c:layout>
                <c:manualLayout>
                  <c:x val="1.4668451554432044E-2"/>
                  <c:y val="-1.5234234334570947E-3"/>
                </c:manualLayout>
              </c:layout>
              <c:tx>
                <c:strRef>
                  <c:f>'Celeration lines'!$L$11</c:f>
                  <c:strCache>
                    <c:ptCount val="1"/>
                  </c:strCache>
                </c:strRef>
              </c:tx>
              <c:spPr>
                <a:solidFill>
                  <a:schemeClr val="bg1"/>
                </a:solidFill>
                <a:ln w="25400">
                  <a:noFill/>
                </a:ln>
              </c:spPr>
              <c:txPr>
                <a:bodyPr/>
                <a:lstStyle/>
                <a:p>
                  <a:pPr>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{1E1DF2BB-5113-449E-A241-42243A9EF53C}</c15:txfldGUID>
                      <c15:f>'Celeration lines'!$L$11</c15:f>
                      <c15:dlblFieldTableCache>
                        <c:ptCount val="1"/>
                      </c15:dlblFieldTableCache>
                    </c15:dlblFTEntry>
                  </c15:dlblFieldTable>
                  <c15:showDataLabelsRange val="0"/>
                </c:ext>
                <c:ext xmlns:c16="http://schemas.microsoft.com/office/drawing/2014/chart" uri="{C3380CC4-5D6E-409C-BE32-E72D297353CC}">
                  <c16:uniqueId val="{000003DA-6533-4801-91F4-C60974D7FA9E}"/>
                </c:ext>
              </c:extLst>
            </c:dLbl>
            <c:spPr>
              <a:solidFill>
                <a:schemeClr val="bg1"/>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lines'!$F$11:$F$12</c:f>
              <c:numCache>
                <c:formatCode>0</c:formatCode>
                <c:ptCount val="2"/>
              </c:numCache>
            </c:numRef>
          </c:xVal>
          <c:yVal>
            <c:numRef>
              <c:f>'Celeration lines'!$G$11:$G$12</c:f>
              <c:numCache>
                <c:formatCode>0.00</c:formatCode>
                <c:ptCount val="2"/>
              </c:numCache>
            </c:numRef>
          </c:yVal>
          <c:smooth val="0"/>
          <c:extLst>
            <c:ext xmlns:c16="http://schemas.microsoft.com/office/drawing/2014/chart" uri="{C3380CC4-5D6E-409C-BE32-E72D297353CC}">
              <c16:uniqueId val="{000003DB-6533-4801-91F4-C60974D7FA9E}"/>
            </c:ext>
          </c:extLst>
        </c:ser>
        <c:ser>
          <c:idx val="90"/>
          <c:order val="23"/>
          <c:tx>
            <c:v>bounce_up_5</c:v>
          </c:tx>
          <c:spPr>
            <a:ln w="12700">
              <a:solidFill>
                <a:srgbClr val="0000D4"/>
              </a:solidFill>
              <a:prstDash val="sysDash"/>
            </a:ln>
          </c:spPr>
          <c:marker>
            <c:symbol val="none"/>
          </c:marker>
          <c:xVal>
            <c:numRef>
              <c:f>'Celeration lines'!$H$11:$H$12</c:f>
              <c:numCache>
                <c:formatCode>0</c:formatCode>
                <c:ptCount val="2"/>
              </c:numCache>
            </c:numRef>
          </c:xVal>
          <c:yVal>
            <c:numRef>
              <c:f>'Celeration lines'!$I$11:$I$12</c:f>
              <c:numCache>
                <c:formatCode>0.00</c:formatCode>
                <c:ptCount val="2"/>
              </c:numCache>
            </c:numRef>
          </c:yVal>
          <c:smooth val="0"/>
          <c:extLst>
            <c:ext xmlns:c16="http://schemas.microsoft.com/office/drawing/2014/chart" uri="{C3380CC4-5D6E-409C-BE32-E72D297353CC}">
              <c16:uniqueId val="{000003DC-6533-4801-91F4-C60974D7FA9E}"/>
            </c:ext>
          </c:extLst>
        </c:ser>
        <c:ser>
          <c:idx val="77"/>
          <c:order val="24"/>
          <c:tx>
            <c:v>bounce_down_5</c:v>
          </c:tx>
          <c:spPr>
            <a:ln w="12700">
              <a:solidFill>
                <a:srgbClr val="0000D4"/>
              </a:solidFill>
              <a:prstDash val="sysDash"/>
            </a:ln>
          </c:spPr>
          <c:marker>
            <c:symbol val="none"/>
          </c:marker>
          <c:xVal>
            <c:numRef>
              <c:f>'Celeration lines'!$J$11:$J$12</c:f>
              <c:numCache>
                <c:formatCode>0</c:formatCode>
                <c:ptCount val="2"/>
              </c:numCache>
            </c:numRef>
          </c:xVal>
          <c:yVal>
            <c:numRef>
              <c:f>'Celeration lines'!$K$11:$K$12</c:f>
              <c:numCache>
                <c:formatCode>0.00</c:formatCode>
                <c:ptCount val="2"/>
              </c:numCache>
            </c:numRef>
          </c:yVal>
          <c:smooth val="0"/>
          <c:extLst>
            <c:ext xmlns:c16="http://schemas.microsoft.com/office/drawing/2014/chart" uri="{C3380CC4-5D6E-409C-BE32-E72D297353CC}">
              <c16:uniqueId val="{000003DD-6533-4801-91F4-C60974D7FA9E}"/>
            </c:ext>
          </c:extLst>
        </c:ser>
        <c:ser>
          <c:idx val="91"/>
          <c:order val="25"/>
          <c:tx>
            <c:v>cel_dec_6</c:v>
          </c:tx>
          <c:spPr>
            <a:ln w="12700">
              <a:solidFill>
                <a:srgbClr val="0000D4"/>
              </a:solidFill>
              <a:prstDash val="solid"/>
            </a:ln>
          </c:spPr>
          <c:marker>
            <c:symbol val="none"/>
          </c:marker>
          <c:xVal>
            <c:numRef>
              <c:f>'Celeration lines'!$D$13:$D$14</c:f>
              <c:numCache>
                <c:formatCode>General</c:formatCode>
                <c:ptCount val="2"/>
              </c:numCache>
            </c:numRef>
          </c:xVal>
          <c:yVal>
            <c:numRef>
              <c:f>'Celeration lines'!$E$13:$E$14</c:f>
              <c:numCache>
                <c:formatCode>0.00</c:formatCode>
                <c:ptCount val="2"/>
              </c:numCache>
            </c:numRef>
          </c:yVal>
          <c:smooth val="0"/>
          <c:extLst>
            <c:ext xmlns:c16="http://schemas.microsoft.com/office/drawing/2014/chart" uri="{C3380CC4-5D6E-409C-BE32-E72D297353CC}">
              <c16:uniqueId val="{000003DE-6533-4801-91F4-C60974D7FA9E}"/>
            </c:ext>
          </c:extLst>
        </c:ser>
        <c:ser>
          <c:idx val="78"/>
          <c:order val="26"/>
          <c:tx>
            <c:v>cel_dec_6_ext</c:v>
          </c:tx>
          <c:spPr>
            <a:ln w="12700">
              <a:solidFill>
                <a:srgbClr val="0000D4"/>
              </a:solidFill>
              <a:prstDash val="sysDash"/>
            </a:ln>
          </c:spPr>
          <c:marker>
            <c:symbol val="none"/>
          </c:marker>
          <c:dLbls>
            <c:dLbl>
              <c:idx val="1"/>
              <c:layout>
                <c:manualLayout>
                  <c:x val="9.5243163242398291E-3"/>
                  <c:y val="-5.4750581919834973E-3"/>
                </c:manualLayout>
              </c:layout>
              <c:tx>
                <c:strRef>
                  <c:f>'Celeration lines'!$L$13</c:f>
                  <c:strCache>
                    <c:ptCount val="1"/>
                  </c:strCache>
                </c:strRef>
              </c:tx>
              <c:spPr>
                <a:solidFill>
                  <a:schemeClr val="bg1">
                    <a:lumMod val="95000"/>
                  </a:schemeClr>
                </a:solidFill>
                <a:ln w="25400">
                  <a:noFill/>
                </a:ln>
              </c:spPr>
              <c:txPr>
                <a:bodyPr/>
                <a:lstStyle/>
                <a:p>
                  <a:pPr>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{0375CED8-E4A1-4291-A271-476C695F1EE1}</c15:txfldGUID>
                      <c15:f>'Celeration lines'!$L$13</c15:f>
                      <c15:dlblFieldTableCache>
                        <c:ptCount val="1"/>
                      </c15:dlblFieldTableCache>
                    </c15:dlblFTEntry>
                  </c15:dlblFieldTable>
                  <c15:showDataLabelsRange val="0"/>
                </c:ext>
                <c:ext xmlns:c16="http://schemas.microsoft.com/office/drawing/2014/chart" uri="{C3380CC4-5D6E-409C-BE32-E72D297353CC}">
                  <c16:uniqueId val="{000003DF-6533-4801-91F4-C60974D7FA9E}"/>
                </c:ext>
              </c:extLst>
            </c:dLbl>
            <c:spPr>
              <a:solidFill>
                <a:schemeClr val="bg1">
                  <a:lumMod val="95000"/>
                </a:schemeClr>
              </a:solid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lines'!$F$13:$F$14</c:f>
              <c:numCache>
                <c:formatCode>0</c:formatCode>
                <c:ptCount val="2"/>
              </c:numCache>
            </c:numRef>
          </c:xVal>
          <c:yVal>
            <c:numRef>
              <c:f>'Celeration lines'!$G$13:$G$14</c:f>
              <c:numCache>
                <c:formatCode>0.00</c:formatCode>
                <c:ptCount val="2"/>
              </c:numCache>
            </c:numRef>
          </c:yVal>
          <c:smooth val="0"/>
          <c:extLst>
            <c:ext xmlns:c16="http://schemas.microsoft.com/office/drawing/2014/chart" uri="{C3380CC4-5D6E-409C-BE32-E72D297353CC}">
              <c16:uniqueId val="{000003E0-6533-4801-91F4-C60974D7FA9E}"/>
            </c:ext>
          </c:extLst>
        </c:ser>
        <c:ser>
          <c:idx val="92"/>
          <c:order val="27"/>
          <c:tx>
            <c:v>bounce_up_6</c:v>
          </c:tx>
          <c:spPr>
            <a:ln w="12700">
              <a:solidFill>
                <a:srgbClr val="0000D4"/>
              </a:solidFill>
              <a:prstDash val="sysDash"/>
            </a:ln>
          </c:spPr>
          <c:marker>
            <c:symbol val="none"/>
          </c:marker>
          <c:xVal>
            <c:numRef>
              <c:f>'Celeration lines'!$H$13:$H$14</c:f>
              <c:numCache>
                <c:formatCode>0</c:formatCode>
                <c:ptCount val="2"/>
              </c:numCache>
            </c:numRef>
          </c:xVal>
          <c:yVal>
            <c:numRef>
              <c:f>'Celeration lines'!$I$13:$I$14</c:f>
              <c:numCache>
                <c:formatCode>0.00</c:formatCode>
                <c:ptCount val="2"/>
              </c:numCache>
            </c:numRef>
          </c:yVal>
          <c:smooth val="0"/>
          <c:extLst>
            <c:ext xmlns:c16="http://schemas.microsoft.com/office/drawing/2014/chart" uri="{C3380CC4-5D6E-409C-BE32-E72D297353CC}">
              <c16:uniqueId val="{000003E1-6533-4801-91F4-C60974D7FA9E}"/>
            </c:ext>
          </c:extLst>
        </c:ser>
        <c:ser>
          <c:idx val="79"/>
          <c:order val="28"/>
          <c:tx>
            <c:v>bounce_down_6</c:v>
          </c:tx>
          <c:spPr>
            <a:ln w="12700">
              <a:solidFill>
                <a:srgbClr val="0000D4"/>
              </a:solidFill>
              <a:prstDash val="sysDash"/>
            </a:ln>
          </c:spPr>
          <c:marker>
            <c:symbol val="none"/>
          </c:marker>
          <c:xVal>
            <c:numRef>
              <c:f>'Celeration lines'!$J$13:$J$14</c:f>
              <c:numCache>
                <c:formatCode>0</c:formatCode>
                <c:ptCount val="2"/>
              </c:numCache>
            </c:numRef>
          </c:xVal>
          <c:yVal>
            <c:numRef>
              <c:f>'Celeration lines'!$K$13:$K$14</c:f>
              <c:numCache>
                <c:formatCode>0.00</c:formatCode>
                <c:ptCount val="2"/>
              </c:numCache>
            </c:numRef>
          </c:yVal>
          <c:smooth val="0"/>
          <c:extLst>
            <c:ext xmlns:c16="http://schemas.microsoft.com/office/drawing/2014/chart" uri="{C3380CC4-5D6E-409C-BE32-E72D297353CC}">
              <c16:uniqueId val="{000003E2-6533-4801-91F4-C60974D7FA9E}"/>
            </c:ext>
          </c:extLst>
        </c:ser>
        <c:ser>
          <c:idx val="93"/>
          <c:order val="29"/>
          <c:tx>
            <c:v>cel_acc_7</c:v>
          </c:tx>
          <c:spPr>
            <a:ln w="12700">
              <a:solidFill>
                <a:srgbClr val="0000D4"/>
              </a:solidFill>
              <a:prstDash val="solid"/>
            </a:ln>
          </c:spPr>
          <c:marker>
            <c:symbol val="none"/>
          </c:marker>
          <c:xVal>
            <c:numRef>
              <c:f>'Celeration lines'!$D$15:$D$16</c:f>
              <c:numCache>
                <c:formatCode>General</c:formatCode>
                <c:ptCount val="2"/>
              </c:numCache>
            </c:numRef>
          </c:xVal>
          <c:yVal>
            <c:numRef>
              <c:f>'Celeration lines'!$E$15:$E$16</c:f>
              <c:numCache>
                <c:formatCode>0.00</c:formatCode>
                <c:ptCount val="2"/>
              </c:numCache>
            </c:numRef>
          </c:yVal>
          <c:smooth val="0"/>
          <c:extLst>
            <c:ext xmlns:c16="http://schemas.microsoft.com/office/drawing/2014/chart" uri="{C3380CC4-5D6E-409C-BE32-E72D297353CC}">
              <c16:uniqueId val="{000003E3-6533-4801-91F4-C60974D7FA9E}"/>
            </c:ext>
          </c:extLst>
        </c:ser>
        <c:ser>
          <c:idx val="95"/>
          <c:order val="30"/>
          <c:tx>
            <c:v>cel_acc_7_ext</c:v>
          </c:tx>
          <c:spPr>
            <a:ln w="12700">
              <a:solidFill>
                <a:srgbClr val="0000D4"/>
              </a:solidFill>
              <a:prstDash val="sysDash"/>
            </a:ln>
          </c:spPr>
          <c:marker>
            <c:symbol val="none"/>
          </c:marker>
          <c:dLbls>
            <c:dLbl>
              <c:idx val="1"/>
              <c:layout>
                <c:manualLayout>
                  <c:x val="6.5739301066775309E-3"/>
                  <c:y val="4.7147571900047147E-4"/>
                </c:manualLayout>
              </c:layout>
              <c:tx>
                <c:strRef>
                  <c:f>'Celeration lines'!$L$15</c:f>
                  <c:strCache>
                    <c:ptCount val="1"/>
                  </c:strCache>
                </c:strRef>
              </c:tx>
              <c:spPr>
                <a:solidFill>
                  <a:schemeClr val="bg1"/>
                </a:solidFill>
                <a:ln w="25400">
                  <a:noFill/>
                </a:ln>
              </c:spPr>
              <c:txPr>
                <a:bodyPr/>
                <a:lstStyle/>
                <a:p>
                  <a:pPr>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{8C5C4E56-B0CF-4B6B-A022-F00FC5561F45}</c15:txfldGUID>
                      <c15:f>'Celeration lines'!$L$15</c15:f>
                      <c15:dlblFieldTableCache>
                        <c:ptCount val="1"/>
                      </c15:dlblFieldTableCache>
                    </c15:dlblFTEntry>
                  </c15:dlblFieldTable>
                  <c15:showDataLabelsRange val="0"/>
                </c:ext>
                <c:ext xmlns:c16="http://schemas.microsoft.com/office/drawing/2014/chart" uri="{C3380CC4-5D6E-409C-BE32-E72D297353CC}">
                  <c16:uniqueId val="{000003E4-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lines'!$F$15:$F$16</c:f>
              <c:numCache>
                <c:formatCode>0</c:formatCode>
                <c:ptCount val="2"/>
              </c:numCache>
            </c:numRef>
          </c:xVal>
          <c:yVal>
            <c:numRef>
              <c:f>'Celeration lines'!$G$15:$G$16</c:f>
              <c:numCache>
                <c:formatCode>0.00</c:formatCode>
                <c:ptCount val="2"/>
              </c:numCache>
            </c:numRef>
          </c:yVal>
          <c:smooth val="0"/>
          <c:extLst>
            <c:ext xmlns:c16="http://schemas.microsoft.com/office/drawing/2014/chart" uri="{C3380CC4-5D6E-409C-BE32-E72D297353CC}">
              <c16:uniqueId val="{000003E5-6533-4801-91F4-C60974D7FA9E}"/>
            </c:ext>
          </c:extLst>
        </c:ser>
        <c:ser>
          <c:idx val="94"/>
          <c:order val="31"/>
          <c:tx>
            <c:v>bounce_up_7</c:v>
          </c:tx>
          <c:spPr>
            <a:ln w="12700">
              <a:solidFill>
                <a:srgbClr val="0000D4"/>
              </a:solidFill>
              <a:prstDash val="sysDash"/>
            </a:ln>
          </c:spPr>
          <c:marker>
            <c:symbol val="none"/>
          </c:marker>
          <c:xVal>
            <c:numRef>
              <c:f>'Celeration lines'!$H$15:$H$16</c:f>
              <c:numCache>
                <c:formatCode>0</c:formatCode>
                <c:ptCount val="2"/>
              </c:numCache>
            </c:numRef>
          </c:xVal>
          <c:yVal>
            <c:numRef>
              <c:f>'Celeration lines'!$I$15:$I$16</c:f>
              <c:numCache>
                <c:formatCode>0.00</c:formatCode>
                <c:ptCount val="2"/>
              </c:numCache>
            </c:numRef>
          </c:yVal>
          <c:smooth val="0"/>
          <c:extLst>
            <c:ext xmlns:c16="http://schemas.microsoft.com/office/drawing/2014/chart" uri="{C3380CC4-5D6E-409C-BE32-E72D297353CC}">
              <c16:uniqueId val="{000003E6-6533-4801-91F4-C60974D7FA9E}"/>
            </c:ext>
          </c:extLst>
        </c:ser>
        <c:ser>
          <c:idx val="96"/>
          <c:order val="32"/>
          <c:tx>
            <c:v>bounce_down_7</c:v>
          </c:tx>
          <c:spPr>
            <a:ln w="12700">
              <a:solidFill>
                <a:srgbClr val="0000D4"/>
              </a:solidFill>
              <a:prstDash val="sysDash"/>
            </a:ln>
          </c:spPr>
          <c:marker>
            <c:symbol val="none"/>
          </c:marker>
          <c:xVal>
            <c:numRef>
              <c:f>'Celeration lines'!$J$15:$J$16</c:f>
              <c:numCache>
                <c:formatCode>0</c:formatCode>
                <c:ptCount val="2"/>
              </c:numCache>
            </c:numRef>
          </c:xVal>
          <c:yVal>
            <c:numRef>
              <c:f>'Celeration lines'!$K$15:$K$16</c:f>
              <c:numCache>
                <c:formatCode>0.00</c:formatCode>
                <c:ptCount val="2"/>
              </c:numCache>
            </c:numRef>
          </c:yVal>
          <c:smooth val="0"/>
          <c:extLst>
            <c:ext xmlns:c16="http://schemas.microsoft.com/office/drawing/2014/chart" uri="{C3380CC4-5D6E-409C-BE32-E72D297353CC}">
              <c16:uniqueId val="{000003E7-6533-4801-91F4-C60974D7FA9E}"/>
            </c:ext>
          </c:extLst>
        </c:ser>
        <c:ser>
          <c:idx val="97"/>
          <c:order val="33"/>
          <c:tx>
            <c:v>cel_dec_8</c:v>
          </c:tx>
          <c:spPr>
            <a:ln w="12700">
              <a:solidFill>
                <a:srgbClr val="0000D4"/>
              </a:solidFill>
              <a:prstDash val="solid"/>
            </a:ln>
          </c:spPr>
          <c:marker>
            <c:symbol val="none"/>
          </c:marker>
          <c:xVal>
            <c:numRef>
              <c:f>'Celeration lines'!$D$17:$D$18</c:f>
              <c:numCache>
                <c:formatCode>General</c:formatCode>
                <c:ptCount val="2"/>
              </c:numCache>
            </c:numRef>
          </c:xVal>
          <c:yVal>
            <c:numRef>
              <c:f>'Celeration lines'!$E$17:$E$18</c:f>
              <c:numCache>
                <c:formatCode>0.00</c:formatCode>
                <c:ptCount val="2"/>
              </c:numCache>
            </c:numRef>
          </c:yVal>
          <c:smooth val="0"/>
          <c:extLst>
            <c:ext xmlns:c16="http://schemas.microsoft.com/office/drawing/2014/chart" uri="{C3380CC4-5D6E-409C-BE32-E72D297353CC}">
              <c16:uniqueId val="{000003E8-6533-4801-91F4-C60974D7FA9E}"/>
            </c:ext>
          </c:extLst>
        </c:ser>
        <c:ser>
          <c:idx val="99"/>
          <c:order val="34"/>
          <c:tx>
            <c:v>cel_dec_8_ext</c:v>
          </c:tx>
          <c:spPr>
            <a:ln w="12700">
              <a:solidFill>
                <a:srgbClr val="0000D4"/>
              </a:solidFill>
              <a:prstDash val="sysDash"/>
            </a:ln>
          </c:spPr>
          <c:marker>
            <c:symbol val="none"/>
          </c:marker>
          <c:dLbls>
            <c:dLbl>
              <c:idx val="1"/>
              <c:layout>
                <c:manualLayout>
                  <c:x val="4.5019082224014503E-3"/>
                  <c:y val="-7.736953672870168E-3"/>
                </c:manualLayout>
              </c:layout>
              <c:tx>
                <c:strRef>
                  <c:f>'Celeration lines'!$L$17</c:f>
                  <c:strCache>
                    <c:ptCount val="1"/>
                  </c:strCache>
                </c:strRef>
              </c:tx>
              <c:spPr>
                <a:solidFill>
                  <a:schemeClr val="bg1">
                    <a:lumMod val="95000"/>
                  </a:schemeClr>
                </a:solidFill>
                <a:ln w="25400">
                  <a:noFill/>
                </a:ln>
              </c:spPr>
              <c:txPr>
                <a:bodyPr/>
                <a:lstStyle/>
                <a:p>
                  <a:pPr>
                    <a:defRPr sz="800"/>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{A82A7A3B-7A1E-45B5-849F-EE5A66990170}</c15:txfldGUID>
                      <c15:f>'Celeration lines'!$L$17</c15:f>
                      <c15:dlblFieldTableCache>
                        <c:ptCount val="1"/>
                      </c15:dlblFieldTableCache>
                    </c15:dlblFTEntry>
                  </c15:dlblFieldTable>
                  <c15:showDataLabelsRange val="0"/>
                </c:ext>
                <c:ext xmlns:c16="http://schemas.microsoft.com/office/drawing/2014/chart" uri="{C3380CC4-5D6E-409C-BE32-E72D297353CC}">
                  <c16:uniqueId val="{000003E9-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lines'!$F$17:$F$18</c:f>
              <c:numCache>
                <c:formatCode>0</c:formatCode>
                <c:ptCount val="2"/>
              </c:numCache>
            </c:numRef>
          </c:xVal>
          <c:yVal>
            <c:numRef>
              <c:f>'Celeration lines'!$G$17:$G$18</c:f>
              <c:numCache>
                <c:formatCode>0.00</c:formatCode>
                <c:ptCount val="2"/>
              </c:numCache>
            </c:numRef>
          </c:yVal>
          <c:smooth val="0"/>
          <c:extLst>
            <c:ext xmlns:c16="http://schemas.microsoft.com/office/drawing/2014/chart" uri="{C3380CC4-5D6E-409C-BE32-E72D297353CC}">
              <c16:uniqueId val="{000003EA-6533-4801-91F4-C60974D7FA9E}"/>
            </c:ext>
          </c:extLst>
        </c:ser>
        <c:ser>
          <c:idx val="98"/>
          <c:order val="35"/>
          <c:tx>
            <c:v>bounce_up_8</c:v>
          </c:tx>
          <c:spPr>
            <a:ln w="12700">
              <a:solidFill>
                <a:srgbClr val="0000D4"/>
              </a:solidFill>
              <a:prstDash val="sysDash"/>
            </a:ln>
          </c:spPr>
          <c:marker>
            <c:symbol val="none"/>
          </c:marker>
          <c:xVal>
            <c:numRef>
              <c:f>'Celeration lines'!$H$17:$H$18</c:f>
              <c:numCache>
                <c:formatCode>0</c:formatCode>
                <c:ptCount val="2"/>
              </c:numCache>
            </c:numRef>
          </c:xVal>
          <c:yVal>
            <c:numRef>
              <c:f>'Celeration lines'!$I$17:$I$18</c:f>
              <c:numCache>
                <c:formatCode>0.00</c:formatCode>
                <c:ptCount val="2"/>
              </c:numCache>
            </c:numRef>
          </c:yVal>
          <c:smooth val="0"/>
          <c:extLst>
            <c:ext xmlns:c16="http://schemas.microsoft.com/office/drawing/2014/chart" uri="{C3380CC4-5D6E-409C-BE32-E72D297353CC}">
              <c16:uniqueId val="{000003EB-6533-4801-91F4-C60974D7FA9E}"/>
            </c:ext>
          </c:extLst>
        </c:ser>
        <c:ser>
          <c:idx val="100"/>
          <c:order val="36"/>
          <c:tx>
            <c:v>bounce_down_8</c:v>
          </c:tx>
          <c:spPr>
            <a:ln w="12700">
              <a:solidFill>
                <a:srgbClr val="0000D4"/>
              </a:solidFill>
              <a:prstDash val="sysDash"/>
            </a:ln>
          </c:spPr>
          <c:marker>
            <c:symbol val="none"/>
          </c:marker>
          <c:xVal>
            <c:numRef>
              <c:f>'Celeration lines'!$J$17:$J$18</c:f>
              <c:numCache>
                <c:formatCode>0</c:formatCode>
                <c:ptCount val="2"/>
              </c:numCache>
            </c:numRef>
          </c:xVal>
          <c:yVal>
            <c:numRef>
              <c:f>'Celeration lines'!$K$17:$K$18</c:f>
              <c:numCache>
                <c:formatCode>0.00</c:formatCode>
                <c:ptCount val="2"/>
              </c:numCache>
            </c:numRef>
          </c:yVal>
          <c:smooth val="0"/>
          <c:extLst>
            <c:ext xmlns:c16="http://schemas.microsoft.com/office/drawing/2014/chart" uri="{C3380CC4-5D6E-409C-BE32-E72D297353CC}">
              <c16:uniqueId val="{000003EC-6533-4801-91F4-C60974D7FA9E}"/>
            </c:ext>
          </c:extLst>
        </c:ser>
        <c:ser>
          <c:idx val="101"/>
          <c:order val="37"/>
          <c:tx>
            <c:v>cel_acc_9</c:v>
          </c:tx>
          <c:spPr>
            <a:ln w="12700">
              <a:solidFill>
                <a:srgbClr val="0000D4"/>
              </a:solidFill>
              <a:prstDash val="solid"/>
            </a:ln>
          </c:spPr>
          <c:marker>
            <c:symbol val="none"/>
          </c:marker>
          <c:xVal>
            <c:numRef>
              <c:f>'Celeration lines'!$D$19:$D$20</c:f>
              <c:numCache>
                <c:formatCode>General</c:formatCode>
                <c:ptCount val="2"/>
              </c:numCache>
            </c:numRef>
          </c:xVal>
          <c:yVal>
            <c:numRef>
              <c:f>'Celeration lines'!$E$19:$E$20</c:f>
              <c:numCache>
                <c:formatCode>0.00</c:formatCode>
                <c:ptCount val="2"/>
              </c:numCache>
            </c:numRef>
          </c:yVal>
          <c:smooth val="0"/>
          <c:extLst>
            <c:ext xmlns:c16="http://schemas.microsoft.com/office/drawing/2014/chart" uri="{C3380CC4-5D6E-409C-BE32-E72D297353CC}">
              <c16:uniqueId val="{000003ED-6533-4801-91F4-C60974D7FA9E}"/>
            </c:ext>
          </c:extLst>
        </c:ser>
        <c:ser>
          <c:idx val="103"/>
          <c:order val="38"/>
          <c:tx>
            <c:v>cel_acc_9_ext</c:v>
          </c:tx>
          <c:spPr>
            <a:ln w="12700">
              <a:solidFill>
                <a:srgbClr val="0000D4"/>
              </a:solidFill>
              <a:prstDash val="sysDash"/>
            </a:ln>
          </c:spPr>
          <c:marker>
            <c:symbol val="none"/>
          </c:marker>
          <c:dLbls>
            <c:dLbl>
              <c:idx val="1"/>
              <c:layout>
                <c:manualLayout>
                  <c:x val="3.0939532769596011E-3"/>
                  <c:y val="-1.1508759424873871E-2"/>
                </c:manualLayout>
              </c:layout>
              <c:tx>
                <c:strRef>
                  <c:f>'Celeration lines'!$L$19</c:f>
                  <c:strCache>
                    <c:ptCount val="1"/>
                  </c:strCache>
                </c:strRef>
              </c:tx>
              <c:spPr>
                <a:solidFill>
                  <a:schemeClr val="bg1">
                    <a:lumMod val="95000"/>
                  </a:schemeClr>
                </a:solidFill>
                <a:ln w="25400">
                  <a:noFill/>
                </a:ln>
              </c:spPr>
              <c:txPr>
                <a:bodyPr/>
                <a:lstStyle/>
                <a:p>
                  <a:pPr>
                    <a:defRPr sz="800">
                      <a:solidFill>
                        <a:srgbClr val="0033CC"/>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{FFB8899C-6B90-4844-8314-B528C6DC50B4}</c15:txfldGUID>
                      <c15:f>'Celeration lines'!$L$19</c15:f>
                      <c15:dlblFieldTableCache>
                        <c:ptCount val="1"/>
                      </c15:dlblFieldTableCache>
                    </c15:dlblFTEntry>
                  </c15:dlblFieldTable>
                  <c15:showDataLabelsRange val="0"/>
                </c:ext>
                <c:ext xmlns:c16="http://schemas.microsoft.com/office/drawing/2014/chart" uri="{C3380CC4-5D6E-409C-BE32-E72D297353CC}">
                  <c16:uniqueId val="{000003EE-6533-4801-91F4-C60974D7FA9E}"/>
                </c:ext>
              </c:extLst>
            </c:dLbl>
            <c:spPr>
              <a:noFill/>
              <a:ln>
                <a:noFill/>
              </a:ln>
              <a:effectLst/>
            </c:spPr>
            <c:txPr>
              <a:bodyPr wrap="square" lIns="38100" tIns="19050" rIns="38100" bIns="19050" anchor="ctr">
                <a:spAutoFit/>
              </a:bodyPr>
              <a:lstStyle/>
              <a:p>
                <a:pPr>
                  <a:defRPr>
                    <a:solidFill>
                      <a:srgbClr val="0033CC"/>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lines'!$F$19:$F$20</c:f>
              <c:numCache>
                <c:formatCode>0</c:formatCode>
                <c:ptCount val="2"/>
              </c:numCache>
            </c:numRef>
          </c:xVal>
          <c:yVal>
            <c:numRef>
              <c:f>'Celeration lines'!$G$19:$G$20</c:f>
              <c:numCache>
                <c:formatCode>0.00</c:formatCode>
                <c:ptCount val="2"/>
              </c:numCache>
            </c:numRef>
          </c:yVal>
          <c:smooth val="0"/>
          <c:extLst>
            <c:ext xmlns:c16="http://schemas.microsoft.com/office/drawing/2014/chart" uri="{C3380CC4-5D6E-409C-BE32-E72D297353CC}">
              <c16:uniqueId val="{000003EF-6533-4801-91F4-C60974D7FA9E}"/>
            </c:ext>
          </c:extLst>
        </c:ser>
        <c:ser>
          <c:idx val="102"/>
          <c:order val="39"/>
          <c:tx>
            <c:v>bounce_up_9</c:v>
          </c:tx>
          <c:spPr>
            <a:ln w="12700">
              <a:solidFill>
                <a:srgbClr val="0000D4"/>
              </a:solidFill>
              <a:prstDash val="sysDash"/>
            </a:ln>
          </c:spPr>
          <c:marker>
            <c:symbol val="none"/>
          </c:marker>
          <c:xVal>
            <c:numRef>
              <c:f>'Celeration lines'!$H$19:$H$20</c:f>
              <c:numCache>
                <c:formatCode>0</c:formatCode>
                <c:ptCount val="2"/>
              </c:numCache>
            </c:numRef>
          </c:xVal>
          <c:yVal>
            <c:numRef>
              <c:f>'Celeration lines'!$I$19:$I$20</c:f>
              <c:numCache>
                <c:formatCode>0.00</c:formatCode>
                <c:ptCount val="2"/>
              </c:numCache>
            </c:numRef>
          </c:yVal>
          <c:smooth val="0"/>
          <c:extLst>
            <c:ext xmlns:c16="http://schemas.microsoft.com/office/drawing/2014/chart" uri="{C3380CC4-5D6E-409C-BE32-E72D297353CC}">
              <c16:uniqueId val="{000003F0-6533-4801-91F4-C60974D7FA9E}"/>
            </c:ext>
          </c:extLst>
        </c:ser>
        <c:ser>
          <c:idx val="104"/>
          <c:order val="40"/>
          <c:tx>
            <c:v>bounce_down_9</c:v>
          </c:tx>
          <c:spPr>
            <a:ln w="12700">
              <a:solidFill>
                <a:srgbClr val="0000D4"/>
              </a:solidFill>
              <a:prstDash val="sysDash"/>
            </a:ln>
          </c:spPr>
          <c:marker>
            <c:symbol val="none"/>
          </c:marker>
          <c:xVal>
            <c:numRef>
              <c:f>'Celeration lines'!$J$19:$J$20</c:f>
              <c:numCache>
                <c:formatCode>0</c:formatCode>
                <c:ptCount val="2"/>
              </c:numCache>
            </c:numRef>
          </c:xVal>
          <c:yVal>
            <c:numRef>
              <c:f>'Celeration lines'!$K$19:$K$20</c:f>
              <c:numCache>
                <c:formatCode>0.00</c:formatCode>
                <c:ptCount val="2"/>
              </c:numCache>
            </c:numRef>
          </c:yVal>
          <c:smooth val="0"/>
          <c:extLst>
            <c:ext xmlns:c16="http://schemas.microsoft.com/office/drawing/2014/chart" uri="{C3380CC4-5D6E-409C-BE32-E72D297353CC}">
              <c16:uniqueId val="{000003F1-6533-4801-91F4-C60974D7FA9E}"/>
            </c:ext>
          </c:extLst>
        </c:ser>
        <c:ser>
          <c:idx val="106"/>
          <c:order val="41"/>
          <c:tx>
            <c:v>cel_dec_10</c:v>
          </c:tx>
          <c:spPr>
            <a:ln w="12700">
              <a:solidFill>
                <a:srgbClr val="0000D4"/>
              </a:solidFill>
              <a:prstDash val="solid"/>
            </a:ln>
          </c:spPr>
          <c:marker>
            <c:symbol val="none"/>
          </c:marker>
          <c:xVal>
            <c:numRef>
              <c:f>'Celeration lines'!$D$21:$D$22</c:f>
              <c:numCache>
                <c:formatCode>General</c:formatCode>
                <c:ptCount val="2"/>
              </c:numCache>
            </c:numRef>
          </c:xVal>
          <c:yVal>
            <c:numRef>
              <c:f>'Celeration lines'!$E$21:$E$22</c:f>
              <c:numCache>
                <c:formatCode>0.00</c:formatCode>
                <c:ptCount val="2"/>
              </c:numCache>
            </c:numRef>
          </c:yVal>
          <c:smooth val="0"/>
          <c:extLst>
            <c:ext xmlns:c16="http://schemas.microsoft.com/office/drawing/2014/chart" uri="{C3380CC4-5D6E-409C-BE32-E72D297353CC}">
              <c16:uniqueId val="{000003F2-6533-4801-91F4-C60974D7FA9E}"/>
            </c:ext>
          </c:extLst>
        </c:ser>
        <c:ser>
          <c:idx val="108"/>
          <c:order val="42"/>
          <c:tx>
            <c:v>cel_dec_10_ext</c:v>
          </c:tx>
          <c:spPr>
            <a:ln w="12700">
              <a:solidFill>
                <a:srgbClr val="0000D4"/>
              </a:solidFill>
              <a:prstDash val="sysDash"/>
            </a:ln>
          </c:spPr>
          <c:marker>
            <c:symbol val="none"/>
          </c:marker>
          <c:dLbls>
            <c:dLbl>
              <c:idx val="1"/>
              <c:layout>
                <c:manualLayout>
                  <c:x val="7.3178181132849416E-3"/>
                  <c:y val="-3.9651479208663966E-3"/>
                </c:manualLayout>
              </c:layout>
              <c:tx>
                <c:strRef>
                  <c:f>'Celeration lines'!$L$21</c:f>
                  <c:strCache>
                    <c:ptCount val="1"/>
                  </c:strCache>
                </c:strRef>
              </c:tx>
              <c:spPr>
                <a:solidFill>
                  <a:schemeClr val="bg1">
                    <a:lumMod val="95000"/>
                  </a:schemeClr>
                </a:solidFill>
                <a:ln w="25400">
                  <a:noFill/>
                </a:ln>
              </c:spPr>
              <c:txPr>
                <a:bodyPr/>
                <a:lstStyle/>
                <a:p>
                  <a:pPr>
                    <a:defRPr sz="800"/>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{4E6633F4-BC84-4F6F-BAB6-2BD2920DBCF2}</c15:txfldGUID>
                      <c15:f>'Celeration lines'!$L$21</c15:f>
                      <c15:dlblFieldTableCache>
                        <c:ptCount val="1"/>
                      </c15:dlblFieldTableCache>
                    </c15:dlblFTEntry>
                  </c15:dlblFieldTable>
                  <c15:showDataLabelsRange val="0"/>
                </c:ext>
                <c:ext xmlns:c16="http://schemas.microsoft.com/office/drawing/2014/chart" uri="{C3380CC4-5D6E-409C-BE32-E72D297353CC}">
                  <c16:uniqueId val="{000003F3-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lines'!$F$21:$F$22</c:f>
              <c:numCache>
                <c:formatCode>0</c:formatCode>
                <c:ptCount val="2"/>
              </c:numCache>
            </c:numRef>
          </c:xVal>
          <c:yVal>
            <c:numRef>
              <c:f>'Celeration lines'!$G$21:$G$22</c:f>
              <c:numCache>
                <c:formatCode>0.00</c:formatCode>
                <c:ptCount val="2"/>
              </c:numCache>
            </c:numRef>
          </c:yVal>
          <c:smooth val="0"/>
          <c:extLst>
            <c:ext xmlns:c16="http://schemas.microsoft.com/office/drawing/2014/chart" uri="{C3380CC4-5D6E-409C-BE32-E72D297353CC}">
              <c16:uniqueId val="{000003F4-6533-4801-91F4-C60974D7FA9E}"/>
            </c:ext>
          </c:extLst>
        </c:ser>
        <c:ser>
          <c:idx val="107"/>
          <c:order val="43"/>
          <c:tx>
            <c:v>bounce_up_10</c:v>
          </c:tx>
          <c:spPr>
            <a:ln w="12700">
              <a:solidFill>
                <a:srgbClr val="0000D4"/>
              </a:solidFill>
              <a:prstDash val="sysDash"/>
            </a:ln>
          </c:spPr>
          <c:marker>
            <c:symbol val="none"/>
          </c:marker>
          <c:xVal>
            <c:numRef>
              <c:f>'Celeration lines'!$H$21:$H$22</c:f>
              <c:numCache>
                <c:formatCode>0</c:formatCode>
                <c:ptCount val="2"/>
              </c:numCache>
            </c:numRef>
          </c:xVal>
          <c:yVal>
            <c:numRef>
              <c:f>'Celeration lines'!$I$21:$I$22</c:f>
              <c:numCache>
                <c:formatCode>0.00</c:formatCode>
                <c:ptCount val="2"/>
              </c:numCache>
            </c:numRef>
          </c:yVal>
          <c:smooth val="0"/>
          <c:extLst>
            <c:ext xmlns:c16="http://schemas.microsoft.com/office/drawing/2014/chart" uri="{C3380CC4-5D6E-409C-BE32-E72D297353CC}">
              <c16:uniqueId val="{000003F5-6533-4801-91F4-C60974D7FA9E}"/>
            </c:ext>
          </c:extLst>
        </c:ser>
        <c:ser>
          <c:idx val="109"/>
          <c:order val="44"/>
          <c:tx>
            <c:v>bounce_down_10</c:v>
          </c:tx>
          <c:spPr>
            <a:ln w="12700">
              <a:solidFill>
                <a:srgbClr val="0000D4"/>
              </a:solidFill>
              <a:prstDash val="sysDash"/>
            </a:ln>
          </c:spPr>
          <c:marker>
            <c:symbol val="none"/>
          </c:marker>
          <c:xVal>
            <c:numRef>
              <c:f>'Celeration lines'!$J$21:$J$22</c:f>
              <c:numCache>
                <c:formatCode>0</c:formatCode>
                <c:ptCount val="2"/>
              </c:numCache>
            </c:numRef>
          </c:xVal>
          <c:yVal>
            <c:numRef>
              <c:f>'Celeration lines'!$K$21:$K$22</c:f>
              <c:numCache>
                <c:formatCode>0.00</c:formatCode>
                <c:ptCount val="2"/>
              </c:numCache>
            </c:numRef>
          </c:yVal>
          <c:smooth val="0"/>
          <c:extLst>
            <c:ext xmlns:c16="http://schemas.microsoft.com/office/drawing/2014/chart" uri="{C3380CC4-5D6E-409C-BE32-E72D297353CC}">
              <c16:uniqueId val="{000003F6-6533-4801-91F4-C60974D7FA9E}"/>
            </c:ext>
          </c:extLst>
        </c:ser>
        <c:ser>
          <c:idx val="110"/>
          <c:order val="45"/>
          <c:tx>
            <c:v>cel_acc_11</c:v>
          </c:tx>
          <c:spPr>
            <a:ln w="12700">
              <a:solidFill>
                <a:srgbClr val="C00000"/>
              </a:solidFill>
              <a:prstDash val="solid"/>
              <a:tailEnd type="none"/>
            </a:ln>
          </c:spPr>
          <c:marker>
            <c:symbol val="none"/>
          </c:marker>
          <c:xVal>
            <c:numRef>
              <c:f>'Celeration lines'!$D$25:$D$26</c:f>
              <c:numCache>
                <c:formatCode>General</c:formatCode>
                <c:ptCount val="2"/>
              </c:numCache>
            </c:numRef>
          </c:xVal>
          <c:yVal>
            <c:numRef>
              <c:f>'Celeration lines'!$E$25:$E$26</c:f>
              <c:numCache>
                <c:formatCode>0.00</c:formatCode>
                <c:ptCount val="2"/>
              </c:numCache>
            </c:numRef>
          </c:yVal>
          <c:smooth val="0"/>
          <c:extLst>
            <c:ext xmlns:c16="http://schemas.microsoft.com/office/drawing/2014/chart" uri="{C3380CC4-5D6E-409C-BE32-E72D297353CC}">
              <c16:uniqueId val="{000003F7-6533-4801-91F4-C60974D7FA9E}"/>
            </c:ext>
          </c:extLst>
        </c:ser>
        <c:ser>
          <c:idx val="112"/>
          <c:order val="46"/>
          <c:tx>
            <c:v>cel_acc_11_ext</c:v>
          </c:tx>
          <c:spPr>
            <a:ln w="12700">
              <a:solidFill>
                <a:srgbClr val="C00000"/>
              </a:solidFill>
              <a:prstDash val="sysDash"/>
            </a:ln>
          </c:spPr>
          <c:marker>
            <c:symbol val="none"/>
          </c:marker>
          <c:dLbls>
            <c:dLbl>
              <c:idx val="1"/>
              <c:layout>
                <c:manualLayout>
                  <c:x val="7.5159295689939494E-3"/>
                  <c:y val="-7.5220201435216641E-2"/>
                </c:manualLayout>
              </c:layout>
              <c:tx>
                <c:strRef>
                  <c:f>'Celeration lines'!$L$25</c:f>
                  <c:strCache>
                    <c:ptCount val="1"/>
                  </c:strCache>
                </c:strRef>
              </c:tx>
              <c:spPr>
                <a:solidFill>
                  <a:srgbClr val="FFFFFF"/>
                </a:solidFill>
                <a:ln w="25400">
                  <a:noFill/>
                </a:ln>
              </c:spPr>
              <c:txPr>
                <a:bodyPr/>
                <a:lstStyle/>
                <a:p>
                  <a:pPr>
                    <a:defRPr>
                      <a:solidFill>
                        <a:srgbClr val="008000"/>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{E2E66829-4B6C-4400-AD75-EDABF488A220}</c15:txfldGUID>
                      <c15:f>'Celeration lines'!$L$25</c15:f>
                      <c15:dlblFieldTableCache>
                        <c:ptCount val="1"/>
                      </c15:dlblFieldTableCache>
                    </c15:dlblFTEntry>
                  </c15:dlblFieldTable>
                  <c15:showDataLabelsRange val="0"/>
                </c:ext>
                <c:ext xmlns:c16="http://schemas.microsoft.com/office/drawing/2014/chart" uri="{C3380CC4-5D6E-409C-BE32-E72D297353CC}">
                  <c16:uniqueId val="{000003F8-6533-4801-91F4-C60974D7FA9E}"/>
                </c:ext>
              </c:extLst>
            </c:dLbl>
            <c:spPr>
              <a:noFill/>
              <a:ln>
                <a:noFill/>
              </a:ln>
              <a:effectLst/>
            </c:spPr>
            <c:txPr>
              <a:bodyPr wrap="square" lIns="38100" tIns="19050" rIns="38100" bIns="19050" anchor="ctr">
                <a:spAutoFit/>
              </a:bodyPr>
              <a:lstStyle/>
              <a:p>
                <a:pPr>
                  <a:defRPr>
                    <a:solidFill>
                      <a:srgbClr val="008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lines'!$F$25:$F$26</c:f>
              <c:numCache>
                <c:formatCode>0</c:formatCode>
                <c:ptCount val="2"/>
              </c:numCache>
            </c:numRef>
          </c:xVal>
          <c:yVal>
            <c:numRef>
              <c:f>'Celeration lines'!$G$25:$G$26</c:f>
              <c:numCache>
                <c:formatCode>0.00</c:formatCode>
                <c:ptCount val="2"/>
              </c:numCache>
            </c:numRef>
          </c:yVal>
          <c:smooth val="0"/>
          <c:extLst>
            <c:ext xmlns:c16="http://schemas.microsoft.com/office/drawing/2014/chart" uri="{C3380CC4-5D6E-409C-BE32-E72D297353CC}">
              <c16:uniqueId val="{000003F9-6533-4801-91F4-C60974D7FA9E}"/>
            </c:ext>
          </c:extLst>
        </c:ser>
        <c:ser>
          <c:idx val="113"/>
          <c:order val="47"/>
          <c:tx>
            <c:v>bounce_up_11</c:v>
          </c:tx>
          <c:spPr>
            <a:ln w="12700">
              <a:solidFill>
                <a:srgbClr val="C00000"/>
              </a:solidFill>
              <a:prstDash val="sysDash"/>
            </a:ln>
          </c:spPr>
          <c:marker>
            <c:symbol val="none"/>
          </c:marker>
          <c:xVal>
            <c:numRef>
              <c:f>'Celeration lines'!$H$25:$H$26</c:f>
              <c:numCache>
                <c:formatCode>0</c:formatCode>
                <c:ptCount val="2"/>
              </c:numCache>
            </c:numRef>
          </c:xVal>
          <c:yVal>
            <c:numRef>
              <c:f>'Celeration lines'!$I$25:$I$26</c:f>
              <c:numCache>
                <c:formatCode>0.00</c:formatCode>
                <c:ptCount val="2"/>
              </c:numCache>
            </c:numRef>
          </c:yVal>
          <c:smooth val="0"/>
          <c:extLst>
            <c:ext xmlns:c16="http://schemas.microsoft.com/office/drawing/2014/chart" uri="{C3380CC4-5D6E-409C-BE32-E72D297353CC}">
              <c16:uniqueId val="{000003FA-6533-4801-91F4-C60974D7FA9E}"/>
            </c:ext>
          </c:extLst>
        </c:ser>
        <c:ser>
          <c:idx val="114"/>
          <c:order val="48"/>
          <c:tx>
            <c:v>bounce_down_11</c:v>
          </c:tx>
          <c:spPr>
            <a:ln w="12700">
              <a:solidFill>
                <a:srgbClr val="C00000"/>
              </a:solidFill>
              <a:prstDash val="sysDash"/>
            </a:ln>
          </c:spPr>
          <c:marker>
            <c:symbol val="none"/>
          </c:marker>
          <c:xVal>
            <c:numRef>
              <c:f>'Celeration lines'!$J$25:$J$26</c:f>
              <c:numCache>
                <c:formatCode>0</c:formatCode>
                <c:ptCount val="2"/>
              </c:numCache>
            </c:numRef>
          </c:xVal>
          <c:yVal>
            <c:numRef>
              <c:f>'Celeration lines'!$K$25:$K$26</c:f>
              <c:numCache>
                <c:formatCode>0.00</c:formatCode>
                <c:ptCount val="2"/>
              </c:numCache>
            </c:numRef>
          </c:yVal>
          <c:smooth val="0"/>
          <c:extLst>
            <c:ext xmlns:c16="http://schemas.microsoft.com/office/drawing/2014/chart" uri="{C3380CC4-5D6E-409C-BE32-E72D297353CC}">
              <c16:uniqueId val="{000003FB-6533-4801-91F4-C60974D7FA9E}"/>
            </c:ext>
          </c:extLst>
        </c:ser>
        <c:ser>
          <c:idx val="115"/>
          <c:order val="49"/>
          <c:tx>
            <c:v>cel_dec_12</c:v>
          </c:tx>
          <c:spPr>
            <a:ln w="12700">
              <a:solidFill>
                <a:srgbClr val="C00000"/>
              </a:solidFill>
              <a:prstDash val="solid"/>
            </a:ln>
          </c:spPr>
          <c:marker>
            <c:symbol val="none"/>
          </c:marker>
          <c:xVal>
            <c:numRef>
              <c:f>'Celeration lines'!$D$27:$D$28</c:f>
              <c:numCache>
                <c:formatCode>General</c:formatCode>
                <c:ptCount val="2"/>
              </c:numCache>
            </c:numRef>
          </c:xVal>
          <c:yVal>
            <c:numRef>
              <c:f>'Celeration lines'!$E$27:$E$28</c:f>
              <c:numCache>
                <c:formatCode>0.00</c:formatCode>
                <c:ptCount val="2"/>
              </c:numCache>
            </c:numRef>
          </c:yVal>
          <c:smooth val="0"/>
          <c:extLst>
            <c:ext xmlns:c16="http://schemas.microsoft.com/office/drawing/2014/chart" uri="{C3380CC4-5D6E-409C-BE32-E72D297353CC}">
              <c16:uniqueId val="{000003FC-6533-4801-91F4-C60974D7FA9E}"/>
            </c:ext>
          </c:extLst>
        </c:ser>
        <c:ser>
          <c:idx val="116"/>
          <c:order val="50"/>
          <c:tx>
            <c:v>cel_dec_12_ext</c:v>
          </c:tx>
          <c:spPr>
            <a:ln w="12700">
              <a:solidFill>
                <a:srgbClr val="DD0806"/>
              </a:solidFill>
              <a:prstDash val="sysDash"/>
            </a:ln>
          </c:spPr>
          <c:marker>
            <c:symbol val="none"/>
          </c:marker>
          <c:dLbls>
            <c:dLbl>
              <c:idx val="1"/>
              <c:layout>
                <c:manualLayout>
                  <c:x val="7.0397747272087294E-3"/>
                  <c:y val="-7.7214803595095235E-2"/>
                </c:manualLayout>
              </c:layout>
              <c:tx>
                <c:strRef>
                  <c:f>'Celeration lines'!$L$27</c:f>
                  <c:strCache>
                    <c:ptCount val="1"/>
                  </c:strCache>
                </c:strRef>
              </c:tx>
              <c:spPr>
                <a:solidFill>
                  <a:schemeClr val="bg1"/>
                </a:solidFill>
                <a:ln w="3175">
                  <a:noFill/>
                  <a:prstDash val="solid"/>
                </a:ln>
              </c:spPr>
              <c:txPr>
                <a:bodyPr/>
                <a:lstStyle/>
                <a:p>
                  <a:pPr>
                    <a:defRPr>
                      <a:solidFill>
                        <a:srgbClr val="008000"/>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{44AF3005-4E00-446F-B3D4-8C0447F45304}</c15:txfldGUID>
                      <c15:f>'Celeration lines'!$L$27</c15:f>
                      <c15:dlblFieldTableCache>
                        <c:ptCount val="1"/>
                      </c15:dlblFieldTableCache>
                    </c15:dlblFTEntry>
                  </c15:dlblFieldTable>
                  <c15:showDataLabelsRange val="0"/>
                </c:ext>
                <c:ext xmlns:c16="http://schemas.microsoft.com/office/drawing/2014/chart" uri="{C3380CC4-5D6E-409C-BE32-E72D297353CC}">
                  <c16:uniqueId val="{000003FD-6533-4801-91F4-C60974D7FA9E}"/>
                </c:ext>
              </c:extLst>
            </c:dLbl>
            <c:spPr>
              <a:noFill/>
              <a:ln>
                <a:noFill/>
              </a:ln>
              <a:effectLst/>
            </c:spPr>
            <c:txPr>
              <a:bodyPr wrap="square" lIns="38100" tIns="19050" rIns="38100" bIns="19050" anchor="ctr">
                <a:spAutoFit/>
              </a:bodyPr>
              <a:lstStyle/>
              <a:p>
                <a:pPr>
                  <a:defRPr>
                    <a:solidFill>
                      <a:srgbClr val="008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lines'!$F$27:$F$28</c:f>
              <c:numCache>
                <c:formatCode>0</c:formatCode>
                <c:ptCount val="2"/>
              </c:numCache>
            </c:numRef>
          </c:xVal>
          <c:yVal>
            <c:numRef>
              <c:f>'Celeration lines'!$G$27:$G$28</c:f>
              <c:numCache>
                <c:formatCode>0.00</c:formatCode>
                <c:ptCount val="2"/>
              </c:numCache>
            </c:numRef>
          </c:yVal>
          <c:smooth val="0"/>
          <c:extLst>
            <c:ext xmlns:c16="http://schemas.microsoft.com/office/drawing/2014/chart" uri="{C3380CC4-5D6E-409C-BE32-E72D297353CC}">
              <c16:uniqueId val="{000003FE-6533-4801-91F4-C60974D7FA9E}"/>
            </c:ext>
          </c:extLst>
        </c:ser>
        <c:ser>
          <c:idx val="119"/>
          <c:order val="51"/>
          <c:tx>
            <c:v>bounce_up_12</c:v>
          </c:tx>
          <c:spPr>
            <a:ln w="12700">
              <a:solidFill>
                <a:srgbClr val="C00000"/>
              </a:solidFill>
              <a:prstDash val="sysDash"/>
            </a:ln>
          </c:spPr>
          <c:marker>
            <c:symbol val="none"/>
          </c:marker>
          <c:xVal>
            <c:numRef>
              <c:f>'Celeration lines'!$H$27:$H$28</c:f>
              <c:numCache>
                <c:formatCode>0</c:formatCode>
                <c:ptCount val="2"/>
              </c:numCache>
            </c:numRef>
          </c:xVal>
          <c:yVal>
            <c:numRef>
              <c:f>'Celeration lines'!$I$27:$I$28</c:f>
              <c:numCache>
                <c:formatCode>0.00</c:formatCode>
                <c:ptCount val="2"/>
              </c:numCache>
            </c:numRef>
          </c:yVal>
          <c:smooth val="0"/>
          <c:extLst>
            <c:ext xmlns:c16="http://schemas.microsoft.com/office/drawing/2014/chart" uri="{C3380CC4-5D6E-409C-BE32-E72D297353CC}">
              <c16:uniqueId val="{000003FF-6533-4801-91F4-C60974D7FA9E}"/>
            </c:ext>
          </c:extLst>
        </c:ser>
        <c:ser>
          <c:idx val="120"/>
          <c:order val="52"/>
          <c:tx>
            <c:v>bounce_down_12</c:v>
          </c:tx>
          <c:spPr>
            <a:ln w="12700">
              <a:solidFill>
                <a:srgbClr val="C00000"/>
              </a:solidFill>
              <a:prstDash val="sysDash"/>
            </a:ln>
          </c:spPr>
          <c:marker>
            <c:symbol val="none"/>
          </c:marker>
          <c:xVal>
            <c:numRef>
              <c:f>'Celeration lines'!$J$27:$J$28</c:f>
              <c:numCache>
                <c:formatCode>0</c:formatCode>
                <c:ptCount val="2"/>
              </c:numCache>
            </c:numRef>
          </c:xVal>
          <c:yVal>
            <c:numRef>
              <c:f>'Celeration lines'!$K$27:$K$28</c:f>
              <c:numCache>
                <c:formatCode>0.00</c:formatCode>
                <c:ptCount val="2"/>
              </c:numCache>
            </c:numRef>
          </c:yVal>
          <c:smooth val="0"/>
          <c:extLst>
            <c:ext xmlns:c16="http://schemas.microsoft.com/office/drawing/2014/chart" uri="{C3380CC4-5D6E-409C-BE32-E72D297353CC}">
              <c16:uniqueId val="{00000400-6533-4801-91F4-C60974D7FA9E}"/>
            </c:ext>
          </c:extLst>
        </c:ser>
        <c:ser>
          <c:idx val="121"/>
          <c:order val="53"/>
          <c:tx>
            <c:v>cel_acc_13</c:v>
          </c:tx>
          <c:spPr>
            <a:ln w="12700">
              <a:solidFill>
                <a:srgbClr val="C00000"/>
              </a:solidFill>
              <a:prstDash val="solid"/>
            </a:ln>
          </c:spPr>
          <c:marker>
            <c:symbol val="none"/>
          </c:marker>
          <c:xVal>
            <c:numRef>
              <c:f>'Celeration lines'!$D$29:$D$30</c:f>
              <c:numCache>
                <c:formatCode>General</c:formatCode>
                <c:ptCount val="2"/>
              </c:numCache>
            </c:numRef>
          </c:xVal>
          <c:yVal>
            <c:numRef>
              <c:f>'Celeration lines'!$E$29:$E$30</c:f>
              <c:numCache>
                <c:formatCode>0.00</c:formatCode>
                <c:ptCount val="2"/>
              </c:numCache>
            </c:numRef>
          </c:yVal>
          <c:smooth val="0"/>
          <c:extLst>
            <c:ext xmlns:c16="http://schemas.microsoft.com/office/drawing/2014/chart" uri="{C3380CC4-5D6E-409C-BE32-E72D297353CC}">
              <c16:uniqueId val="{00000401-6533-4801-91F4-C60974D7FA9E}"/>
            </c:ext>
          </c:extLst>
        </c:ser>
        <c:ser>
          <c:idx val="122"/>
          <c:order val="54"/>
          <c:tx>
            <c:v>cel_acc_13_ext</c:v>
          </c:tx>
          <c:spPr>
            <a:ln w="12700">
              <a:solidFill>
                <a:srgbClr val="C00000"/>
              </a:solidFill>
              <a:prstDash val="sysDash"/>
            </a:ln>
          </c:spPr>
          <c:marker>
            <c:symbol val="none"/>
          </c:marker>
          <c:dLbls>
            <c:dLbl>
              <c:idx val="1"/>
              <c:layout>
                <c:manualLayout>
                  <c:x val="1.1621614879977383E-2"/>
                  <c:y val="-5.4824830064558764E-3"/>
                </c:manualLayout>
              </c:layout>
              <c:tx>
                <c:strRef>
                  <c:f>'Celeration lines'!$L$29</c:f>
                  <c:strCache>
                    <c:ptCount val="1"/>
                  </c:strCache>
                </c:strRef>
              </c:tx>
              <c:spPr>
                <a:solidFill>
                  <a:schemeClr val="bg1">
                    <a:lumMod val="95000"/>
                  </a:schemeClr>
                </a:solidFill>
                <a:ln w="25400">
                  <a:noFill/>
                </a:ln>
              </c:spPr>
              <c:txPr>
                <a:bodyPr/>
                <a:lstStyle/>
                <a:p>
                  <a:pPr>
                    <a:defRPr>
                      <a:solidFill>
                        <a:srgbClr val="C00000"/>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{7B062A63-9E37-48E8-8D24-E7D7C158E6ED}</c15:txfldGUID>
                      <c15:f>'Celeration lines'!$L$29</c15:f>
                      <c15:dlblFieldTableCache>
                        <c:ptCount val="1"/>
                      </c15:dlblFieldTableCache>
                    </c15:dlblFTEntry>
                  </c15:dlblFieldTable>
                  <c15:showDataLabelsRange val="0"/>
                </c:ext>
                <c:ext xmlns:c16="http://schemas.microsoft.com/office/drawing/2014/chart" uri="{C3380CC4-5D6E-409C-BE32-E72D297353CC}">
                  <c16:uniqueId val="{00000402-6533-4801-91F4-C60974D7FA9E}"/>
                </c:ext>
              </c:extLst>
            </c:dLbl>
            <c:spPr>
              <a:solidFill>
                <a:schemeClr val="bg1">
                  <a:lumMod val="95000"/>
                </a:schemeClr>
              </a:solidFill>
              <a:ln>
                <a:noFill/>
              </a:ln>
              <a:effectLst/>
            </c:spPr>
            <c:txPr>
              <a:bodyPr wrap="square" lIns="38100" tIns="19050" rIns="38100" bIns="19050" anchor="ctr">
                <a:spAutoFit/>
              </a:bodyPr>
              <a:lstStyle/>
              <a:p>
                <a:pPr>
                  <a:defRPr>
                    <a:solidFill>
                      <a:srgbClr val="C00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lines'!$F$29:$F$30</c:f>
              <c:numCache>
                <c:formatCode>0</c:formatCode>
                <c:ptCount val="2"/>
              </c:numCache>
            </c:numRef>
          </c:xVal>
          <c:yVal>
            <c:numRef>
              <c:f>'Celeration lines'!$G$29:$G$30</c:f>
              <c:numCache>
                <c:formatCode>0.00</c:formatCode>
                <c:ptCount val="2"/>
              </c:numCache>
            </c:numRef>
          </c:yVal>
          <c:smooth val="0"/>
          <c:extLst>
            <c:ext xmlns:c16="http://schemas.microsoft.com/office/drawing/2014/chart" uri="{C3380CC4-5D6E-409C-BE32-E72D297353CC}">
              <c16:uniqueId val="{00000403-6533-4801-91F4-C60974D7FA9E}"/>
            </c:ext>
          </c:extLst>
        </c:ser>
        <c:ser>
          <c:idx val="123"/>
          <c:order val="55"/>
          <c:tx>
            <c:v>bounce_up_13</c:v>
          </c:tx>
          <c:spPr>
            <a:ln w="12700">
              <a:solidFill>
                <a:srgbClr val="C00000"/>
              </a:solidFill>
              <a:prstDash val="sysDash"/>
            </a:ln>
          </c:spPr>
          <c:marker>
            <c:symbol val="none"/>
          </c:marker>
          <c:xVal>
            <c:numRef>
              <c:f>'Celeration lines'!$H$29:$H$30</c:f>
              <c:numCache>
                <c:formatCode>0</c:formatCode>
                <c:ptCount val="2"/>
              </c:numCache>
            </c:numRef>
          </c:xVal>
          <c:yVal>
            <c:numRef>
              <c:f>'Celeration lines'!$I$29:$I$30</c:f>
              <c:numCache>
                <c:formatCode>0.00</c:formatCode>
                <c:ptCount val="2"/>
              </c:numCache>
            </c:numRef>
          </c:yVal>
          <c:smooth val="0"/>
          <c:extLst>
            <c:ext xmlns:c16="http://schemas.microsoft.com/office/drawing/2014/chart" uri="{C3380CC4-5D6E-409C-BE32-E72D297353CC}">
              <c16:uniqueId val="{00000404-6533-4801-91F4-C60974D7FA9E}"/>
            </c:ext>
          </c:extLst>
        </c:ser>
        <c:ser>
          <c:idx val="124"/>
          <c:order val="56"/>
          <c:tx>
            <c:v>bounce_down_13</c:v>
          </c:tx>
          <c:spPr>
            <a:ln w="12700">
              <a:solidFill>
                <a:srgbClr val="C00000"/>
              </a:solidFill>
              <a:prstDash val="sysDash"/>
            </a:ln>
          </c:spPr>
          <c:marker>
            <c:symbol val="none"/>
          </c:marker>
          <c:xVal>
            <c:numRef>
              <c:f>'Celeration lines'!$J$29:$J$30</c:f>
              <c:numCache>
                <c:formatCode>0</c:formatCode>
                <c:ptCount val="2"/>
              </c:numCache>
            </c:numRef>
          </c:xVal>
          <c:yVal>
            <c:numRef>
              <c:f>'Celeration lines'!$K$29:$K$30</c:f>
              <c:numCache>
                <c:formatCode>0.00</c:formatCode>
                <c:ptCount val="2"/>
              </c:numCache>
            </c:numRef>
          </c:yVal>
          <c:smooth val="0"/>
          <c:extLst>
            <c:ext xmlns:c16="http://schemas.microsoft.com/office/drawing/2014/chart" uri="{C3380CC4-5D6E-409C-BE32-E72D297353CC}">
              <c16:uniqueId val="{00000405-6533-4801-91F4-C60974D7FA9E}"/>
            </c:ext>
          </c:extLst>
        </c:ser>
        <c:ser>
          <c:idx val="125"/>
          <c:order val="57"/>
          <c:tx>
            <c:v>cel_dec_14</c:v>
          </c:tx>
          <c:spPr>
            <a:ln w="12700">
              <a:solidFill>
                <a:srgbClr val="C00000"/>
              </a:solidFill>
              <a:prstDash val="solid"/>
            </a:ln>
          </c:spPr>
          <c:marker>
            <c:symbol val="none"/>
          </c:marker>
          <c:xVal>
            <c:numRef>
              <c:f>'Celeration lines'!$D$31:$D$32</c:f>
              <c:numCache>
                <c:formatCode>General</c:formatCode>
                <c:ptCount val="2"/>
              </c:numCache>
            </c:numRef>
          </c:xVal>
          <c:yVal>
            <c:numRef>
              <c:f>'Celeration lines'!$E$31:$E$32</c:f>
              <c:numCache>
                <c:formatCode>0.00</c:formatCode>
                <c:ptCount val="2"/>
              </c:numCache>
            </c:numRef>
          </c:yVal>
          <c:smooth val="0"/>
          <c:extLst>
            <c:ext xmlns:c16="http://schemas.microsoft.com/office/drawing/2014/chart" uri="{C3380CC4-5D6E-409C-BE32-E72D297353CC}">
              <c16:uniqueId val="{00000406-6533-4801-91F4-C60974D7FA9E}"/>
            </c:ext>
          </c:extLst>
        </c:ser>
        <c:ser>
          <c:idx val="126"/>
          <c:order val="58"/>
          <c:tx>
            <c:v>cel_dec_14_ext</c:v>
          </c:tx>
          <c:spPr>
            <a:ln w="12700">
              <a:solidFill>
                <a:srgbClr val="DD0806"/>
              </a:solidFill>
              <a:prstDash val="sysDash"/>
            </a:ln>
          </c:spPr>
          <c:marker>
            <c:symbol val="none"/>
          </c:marker>
          <c:dLbls>
            <c:dLbl>
              <c:idx val="1"/>
              <c:layout>
                <c:manualLayout>
                  <c:x val="7.0397747272087294E-3"/>
                  <c:y val="6.914897330522882E-17"/>
                </c:manualLayout>
              </c:layout>
              <c:tx>
                <c:strRef>
                  <c:f>'Celeration lines'!$L$31</c:f>
                  <c:strCache>
                    <c:ptCount val="1"/>
                  </c:strCache>
                </c:strRef>
              </c:tx>
              <c:spPr>
                <a:solidFill>
                  <a:schemeClr val="bg1"/>
                </a:solidFill>
                <a:ln w="25400">
                  <a:noFill/>
                </a:ln>
              </c:spPr>
              <c:txPr>
                <a:bodyPr/>
                <a:lstStyle/>
                <a:p>
                  <a:pPr>
                    <a:defRPr>
                      <a:solidFill>
                        <a:srgbClr val="C00000"/>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{2D32A70A-B9E6-47F3-9617-990D3DEE9E09}</c15:txfldGUID>
                      <c15:f>'Celeration lines'!$L$31</c15:f>
                      <c15:dlblFieldTableCache>
                        <c:ptCount val="1"/>
                      </c15:dlblFieldTableCache>
                    </c15:dlblFTEntry>
                  </c15:dlblFieldTable>
                  <c15:showDataLabelsRange val="0"/>
                </c:ext>
                <c:ext xmlns:c16="http://schemas.microsoft.com/office/drawing/2014/chart" uri="{C3380CC4-5D6E-409C-BE32-E72D297353CC}">
                  <c16:uniqueId val="{00000407-6533-4801-91F4-C60974D7FA9E}"/>
                </c:ext>
              </c:extLst>
            </c:dLbl>
            <c:spPr>
              <a:solidFill>
                <a:schemeClr val="bg1"/>
              </a:solidFill>
              <a:ln>
                <a:noFill/>
              </a:ln>
              <a:effectLst/>
            </c:spPr>
            <c:txPr>
              <a:bodyPr wrap="square" lIns="38100" tIns="19050" rIns="38100" bIns="19050" anchor="ctr">
                <a:spAutoFit/>
              </a:bodyPr>
              <a:lstStyle/>
              <a:p>
                <a:pPr>
                  <a:defRPr>
                    <a:solidFill>
                      <a:srgbClr val="C00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lines'!$F$31:$F$32</c:f>
              <c:numCache>
                <c:formatCode>0</c:formatCode>
                <c:ptCount val="2"/>
              </c:numCache>
            </c:numRef>
          </c:xVal>
          <c:yVal>
            <c:numRef>
              <c:f>'Celeration lines'!$G$31:$G$32</c:f>
              <c:numCache>
                <c:formatCode>0.00</c:formatCode>
                <c:ptCount val="2"/>
              </c:numCache>
            </c:numRef>
          </c:yVal>
          <c:smooth val="0"/>
          <c:extLst>
            <c:ext xmlns:c16="http://schemas.microsoft.com/office/drawing/2014/chart" uri="{C3380CC4-5D6E-409C-BE32-E72D297353CC}">
              <c16:uniqueId val="{00000408-6533-4801-91F4-C60974D7FA9E}"/>
            </c:ext>
          </c:extLst>
        </c:ser>
        <c:ser>
          <c:idx val="127"/>
          <c:order val="59"/>
          <c:tx>
            <c:v>bounce_up_14</c:v>
          </c:tx>
          <c:spPr>
            <a:ln w="12700">
              <a:solidFill>
                <a:srgbClr val="C00000"/>
              </a:solidFill>
              <a:prstDash val="sysDash"/>
            </a:ln>
          </c:spPr>
          <c:marker>
            <c:symbol val="none"/>
          </c:marker>
          <c:xVal>
            <c:numRef>
              <c:f>'Celeration lines'!$H$31:$H$32</c:f>
              <c:numCache>
                <c:formatCode>0</c:formatCode>
                <c:ptCount val="2"/>
              </c:numCache>
            </c:numRef>
          </c:xVal>
          <c:yVal>
            <c:numRef>
              <c:f>'Celeration lines'!$I$31:$I$32</c:f>
              <c:numCache>
                <c:formatCode>0.00</c:formatCode>
                <c:ptCount val="2"/>
              </c:numCache>
            </c:numRef>
          </c:yVal>
          <c:smooth val="0"/>
          <c:extLst>
            <c:ext xmlns:c16="http://schemas.microsoft.com/office/drawing/2014/chart" uri="{C3380CC4-5D6E-409C-BE32-E72D297353CC}">
              <c16:uniqueId val="{00000409-6533-4801-91F4-C60974D7FA9E}"/>
            </c:ext>
          </c:extLst>
        </c:ser>
        <c:ser>
          <c:idx val="128"/>
          <c:order val="60"/>
          <c:tx>
            <c:v>bounce_down_14</c:v>
          </c:tx>
          <c:spPr>
            <a:ln w="12700">
              <a:solidFill>
                <a:srgbClr val="C00000"/>
              </a:solidFill>
              <a:prstDash val="sysDash"/>
            </a:ln>
          </c:spPr>
          <c:marker>
            <c:symbol val="none"/>
          </c:marker>
          <c:xVal>
            <c:numRef>
              <c:f>'Celeration lines'!$J$31:$J$32</c:f>
              <c:numCache>
                <c:formatCode>0</c:formatCode>
                <c:ptCount val="2"/>
              </c:numCache>
            </c:numRef>
          </c:xVal>
          <c:yVal>
            <c:numRef>
              <c:f>'Celeration lines'!$K$31:$K$32</c:f>
              <c:numCache>
                <c:formatCode>0.00</c:formatCode>
                <c:ptCount val="2"/>
              </c:numCache>
            </c:numRef>
          </c:yVal>
          <c:smooth val="0"/>
          <c:extLst>
            <c:ext xmlns:c16="http://schemas.microsoft.com/office/drawing/2014/chart" uri="{C3380CC4-5D6E-409C-BE32-E72D297353CC}">
              <c16:uniqueId val="{0000040A-6533-4801-91F4-C60974D7FA9E}"/>
            </c:ext>
          </c:extLst>
        </c:ser>
        <c:ser>
          <c:idx val="129"/>
          <c:order val="61"/>
          <c:tx>
            <c:v>cel_acc_15</c:v>
          </c:tx>
          <c:spPr>
            <a:ln w="12700">
              <a:solidFill>
                <a:srgbClr val="DD0806"/>
              </a:solidFill>
              <a:prstDash val="solid"/>
            </a:ln>
          </c:spPr>
          <c:marker>
            <c:symbol val="none"/>
          </c:marker>
          <c:xVal>
            <c:numRef>
              <c:f>'Celeration lines'!$D$33:$D$34</c:f>
              <c:numCache>
                <c:formatCode>General</c:formatCode>
                <c:ptCount val="2"/>
              </c:numCache>
            </c:numRef>
          </c:xVal>
          <c:yVal>
            <c:numRef>
              <c:f>'Celeration lines'!$E$33:$E$34</c:f>
              <c:numCache>
                <c:formatCode>0.00</c:formatCode>
                <c:ptCount val="2"/>
              </c:numCache>
            </c:numRef>
          </c:yVal>
          <c:smooth val="0"/>
          <c:extLst>
            <c:ext xmlns:c16="http://schemas.microsoft.com/office/drawing/2014/chart" uri="{C3380CC4-5D6E-409C-BE32-E72D297353CC}">
              <c16:uniqueId val="{0000040B-6533-4801-91F4-C60974D7FA9E}"/>
            </c:ext>
          </c:extLst>
        </c:ser>
        <c:ser>
          <c:idx val="130"/>
          <c:order val="62"/>
          <c:tx>
            <c:v>cel_acc_15_ext</c:v>
          </c:tx>
          <c:spPr>
            <a:ln w="12700">
              <a:solidFill>
                <a:srgbClr val="DD0806"/>
              </a:solidFill>
              <a:prstDash val="sysDash"/>
            </a:ln>
          </c:spPr>
          <c:marker>
            <c:symbol val="none"/>
          </c:marker>
          <c:dLbls>
            <c:dLbl>
              <c:idx val="1"/>
              <c:layout>
                <c:manualLayout>
                  <c:x val="1.573239987029066E-2"/>
                  <c:y val="-6.0256824332601986E-3"/>
                </c:manualLayout>
              </c:layout>
              <c:tx>
                <c:strRef>
                  <c:f>'Celeration lines'!$L$33</c:f>
                  <c:strCache>
                    <c:ptCount val="1"/>
                  </c:strCache>
                </c:strRef>
              </c:tx>
              <c:spPr>
                <a:solidFill>
                  <a:schemeClr val="bg1"/>
                </a:solidFill>
                <a:ln w="25400">
                  <a:noFill/>
                </a:ln>
              </c:spPr>
              <c:txPr>
                <a:bodyPr/>
                <a:lstStyle/>
                <a:p>
                  <a:pPr>
                    <a:defRPr>
                      <a:solidFill>
                        <a:srgbClr val="C00000"/>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{44139370-5692-4799-BB2F-0455A26B840E}</c15:txfldGUID>
                      <c15:f>'Celeration lines'!$L$33</c15:f>
                      <c15:dlblFieldTableCache>
                        <c:ptCount val="1"/>
                      </c15:dlblFieldTableCache>
                    </c15:dlblFTEntry>
                  </c15:dlblFieldTable>
                  <c15:showDataLabelsRange val="0"/>
                </c:ext>
                <c:ext xmlns:c16="http://schemas.microsoft.com/office/drawing/2014/chart" uri="{C3380CC4-5D6E-409C-BE32-E72D297353CC}">
                  <c16:uniqueId val="{0000040C-6533-4801-91F4-C60974D7FA9E}"/>
                </c:ext>
              </c:extLst>
            </c:dLbl>
            <c:spPr>
              <a:noFill/>
              <a:ln>
                <a:noFill/>
              </a:ln>
              <a:effectLst/>
            </c:spPr>
            <c:txPr>
              <a:bodyPr wrap="square" lIns="38100" tIns="19050" rIns="38100" bIns="19050" anchor="ctr">
                <a:spAutoFit/>
              </a:bodyPr>
              <a:lstStyle/>
              <a:p>
                <a:pPr>
                  <a:defRPr>
                    <a:solidFill>
                      <a:srgbClr val="C00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lines'!$F$33:$F$34</c:f>
              <c:numCache>
                <c:formatCode>0</c:formatCode>
                <c:ptCount val="2"/>
              </c:numCache>
            </c:numRef>
          </c:xVal>
          <c:yVal>
            <c:numRef>
              <c:f>'Celeration lines'!$G$33:$G$34</c:f>
              <c:numCache>
                <c:formatCode>0.00</c:formatCode>
                <c:ptCount val="2"/>
              </c:numCache>
            </c:numRef>
          </c:yVal>
          <c:smooth val="0"/>
          <c:extLst>
            <c:ext xmlns:c16="http://schemas.microsoft.com/office/drawing/2014/chart" uri="{C3380CC4-5D6E-409C-BE32-E72D297353CC}">
              <c16:uniqueId val="{0000040D-6533-4801-91F4-C60974D7FA9E}"/>
            </c:ext>
          </c:extLst>
        </c:ser>
        <c:ser>
          <c:idx val="131"/>
          <c:order val="63"/>
          <c:tx>
            <c:v>bounce_up_15</c:v>
          </c:tx>
          <c:spPr>
            <a:ln w="12700">
              <a:solidFill>
                <a:srgbClr val="DD0806"/>
              </a:solidFill>
              <a:prstDash val="sysDash"/>
            </a:ln>
          </c:spPr>
          <c:marker>
            <c:symbol val="none"/>
          </c:marker>
          <c:xVal>
            <c:numRef>
              <c:f>'Celeration lines'!$H$33:$H$34</c:f>
              <c:numCache>
                <c:formatCode>0</c:formatCode>
                <c:ptCount val="2"/>
              </c:numCache>
            </c:numRef>
          </c:xVal>
          <c:yVal>
            <c:numRef>
              <c:f>'Celeration lines'!$I$33:$I$34</c:f>
              <c:numCache>
                <c:formatCode>0.00</c:formatCode>
                <c:ptCount val="2"/>
              </c:numCache>
            </c:numRef>
          </c:yVal>
          <c:smooth val="0"/>
          <c:extLst>
            <c:ext xmlns:c16="http://schemas.microsoft.com/office/drawing/2014/chart" uri="{C3380CC4-5D6E-409C-BE32-E72D297353CC}">
              <c16:uniqueId val="{0000040E-6533-4801-91F4-C60974D7FA9E}"/>
            </c:ext>
          </c:extLst>
        </c:ser>
        <c:ser>
          <c:idx val="132"/>
          <c:order val="64"/>
          <c:tx>
            <c:v>bounce_down_15</c:v>
          </c:tx>
          <c:spPr>
            <a:ln w="12700">
              <a:solidFill>
                <a:srgbClr val="DD0806"/>
              </a:solidFill>
              <a:prstDash val="sysDash"/>
            </a:ln>
          </c:spPr>
          <c:marker>
            <c:symbol val="none"/>
          </c:marker>
          <c:xVal>
            <c:numRef>
              <c:f>'Celeration lines'!$J$33:$J$34</c:f>
              <c:numCache>
                <c:formatCode>0</c:formatCode>
                <c:ptCount val="2"/>
              </c:numCache>
            </c:numRef>
          </c:xVal>
          <c:yVal>
            <c:numRef>
              <c:f>'Celeration lines'!$K$33:$K$34</c:f>
              <c:numCache>
                <c:formatCode>0.00</c:formatCode>
                <c:ptCount val="2"/>
              </c:numCache>
            </c:numRef>
          </c:yVal>
          <c:smooth val="0"/>
          <c:extLst>
            <c:ext xmlns:c16="http://schemas.microsoft.com/office/drawing/2014/chart" uri="{C3380CC4-5D6E-409C-BE32-E72D297353CC}">
              <c16:uniqueId val="{0000040F-6533-4801-91F4-C60974D7FA9E}"/>
            </c:ext>
          </c:extLst>
        </c:ser>
        <c:ser>
          <c:idx val="133"/>
          <c:order val="65"/>
          <c:tx>
            <c:v>cel_dec_16</c:v>
          </c:tx>
          <c:spPr>
            <a:ln w="12700">
              <a:solidFill>
                <a:srgbClr val="DD0806"/>
              </a:solidFill>
              <a:prstDash val="solid"/>
            </a:ln>
          </c:spPr>
          <c:marker>
            <c:symbol val="none"/>
          </c:marker>
          <c:xVal>
            <c:numRef>
              <c:f>'Celeration lines'!$D$35:$D$36</c:f>
              <c:numCache>
                <c:formatCode>General</c:formatCode>
                <c:ptCount val="2"/>
              </c:numCache>
            </c:numRef>
          </c:xVal>
          <c:yVal>
            <c:numRef>
              <c:f>'Celeration lines'!$E$35:$E$36</c:f>
              <c:numCache>
                <c:formatCode>0.00</c:formatCode>
                <c:ptCount val="2"/>
              </c:numCache>
            </c:numRef>
          </c:yVal>
          <c:smooth val="0"/>
          <c:extLst>
            <c:ext xmlns:c16="http://schemas.microsoft.com/office/drawing/2014/chart" uri="{C3380CC4-5D6E-409C-BE32-E72D297353CC}">
              <c16:uniqueId val="{00000410-6533-4801-91F4-C60974D7FA9E}"/>
            </c:ext>
          </c:extLst>
        </c:ser>
        <c:ser>
          <c:idx val="134"/>
          <c:order val="66"/>
          <c:tx>
            <c:v>cel_dec_16_ext</c:v>
          </c:tx>
          <c:spPr>
            <a:ln w="12700">
              <a:solidFill>
                <a:srgbClr val="DD0806"/>
              </a:solidFill>
              <a:prstDash val="sysDash"/>
            </a:ln>
          </c:spPr>
          <c:marker>
            <c:symbol val="none"/>
          </c:marker>
          <c:dLbls>
            <c:dLbl>
              <c:idx val="1"/>
              <c:layout>
                <c:manualLayout>
                  <c:x val="7.3178181132849416E-3"/>
                  <c:y val="-5.4643664591431714E-3"/>
                </c:manualLayout>
              </c:layout>
              <c:tx>
                <c:strRef>
                  <c:f>'Celeration lines'!$L$35</c:f>
                  <c:strCache>
                    <c:ptCount val="1"/>
                  </c:strCache>
                </c:strRef>
              </c:tx>
              <c:spPr>
                <a:solidFill>
                  <a:schemeClr val="bg1">
                    <a:lumMod val="95000"/>
                  </a:schemeClr>
                </a:solidFill>
                <a:ln w="25400">
                  <a:noFill/>
                </a:ln>
              </c:spPr>
              <c:txPr>
                <a:bodyPr/>
                <a:lstStyle/>
                <a:p>
                  <a:pPr>
                    <a:defRPr>
                      <a:solidFill>
                        <a:srgbClr val="C00000"/>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{A83C7379-928E-4F49-811D-E914AE553AF9}</c15:txfldGUID>
                      <c15:f>'Celeration lines'!$L$35</c15:f>
                      <c15:dlblFieldTableCache>
                        <c:ptCount val="1"/>
                      </c15:dlblFieldTableCache>
                    </c15:dlblFTEntry>
                  </c15:dlblFieldTable>
                  <c15:showDataLabelsRange val="0"/>
                </c:ext>
                <c:ext xmlns:c16="http://schemas.microsoft.com/office/drawing/2014/chart" uri="{C3380CC4-5D6E-409C-BE32-E72D297353CC}">
                  <c16:uniqueId val="{00000411-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lines'!$F$35:$F$36</c:f>
              <c:numCache>
                <c:formatCode>0</c:formatCode>
                <c:ptCount val="2"/>
              </c:numCache>
            </c:numRef>
          </c:xVal>
          <c:yVal>
            <c:numRef>
              <c:f>'Celeration lines'!$G$35:$G$36</c:f>
              <c:numCache>
                <c:formatCode>0.00</c:formatCode>
                <c:ptCount val="2"/>
              </c:numCache>
            </c:numRef>
          </c:yVal>
          <c:smooth val="0"/>
          <c:extLst>
            <c:ext xmlns:c16="http://schemas.microsoft.com/office/drawing/2014/chart" uri="{C3380CC4-5D6E-409C-BE32-E72D297353CC}">
              <c16:uniqueId val="{00000412-6533-4801-91F4-C60974D7FA9E}"/>
            </c:ext>
          </c:extLst>
        </c:ser>
        <c:ser>
          <c:idx val="135"/>
          <c:order val="67"/>
          <c:tx>
            <c:v>bounce_up_16</c:v>
          </c:tx>
          <c:spPr>
            <a:ln w="12700">
              <a:solidFill>
                <a:srgbClr val="DD0806"/>
              </a:solidFill>
              <a:prstDash val="sysDash"/>
            </a:ln>
          </c:spPr>
          <c:marker>
            <c:symbol val="none"/>
          </c:marker>
          <c:xVal>
            <c:numRef>
              <c:f>'Celeration lines'!$H$35:$H$36</c:f>
              <c:numCache>
                <c:formatCode>0</c:formatCode>
                <c:ptCount val="2"/>
              </c:numCache>
            </c:numRef>
          </c:xVal>
          <c:yVal>
            <c:numRef>
              <c:f>'Celeration lines'!$I$35:$I$36</c:f>
              <c:numCache>
                <c:formatCode>0.00</c:formatCode>
                <c:ptCount val="2"/>
              </c:numCache>
            </c:numRef>
          </c:yVal>
          <c:smooth val="0"/>
          <c:extLst>
            <c:ext xmlns:c16="http://schemas.microsoft.com/office/drawing/2014/chart" uri="{C3380CC4-5D6E-409C-BE32-E72D297353CC}">
              <c16:uniqueId val="{00000413-6533-4801-91F4-C60974D7FA9E}"/>
            </c:ext>
          </c:extLst>
        </c:ser>
        <c:ser>
          <c:idx val="136"/>
          <c:order val="68"/>
          <c:tx>
            <c:v>bounce_down_16</c:v>
          </c:tx>
          <c:spPr>
            <a:ln w="12700">
              <a:solidFill>
                <a:srgbClr val="900000"/>
              </a:solidFill>
              <a:prstDash val="sysDash"/>
            </a:ln>
          </c:spPr>
          <c:marker>
            <c:symbol val="none"/>
          </c:marker>
          <c:xVal>
            <c:numRef>
              <c:f>'Celeration lines'!$J$35:$J$36</c:f>
              <c:numCache>
                <c:formatCode>0</c:formatCode>
                <c:ptCount val="2"/>
              </c:numCache>
            </c:numRef>
          </c:xVal>
          <c:yVal>
            <c:numRef>
              <c:f>'Celeration lines'!$K$35:$K$36</c:f>
              <c:numCache>
                <c:formatCode>0.00</c:formatCode>
                <c:ptCount val="2"/>
              </c:numCache>
            </c:numRef>
          </c:yVal>
          <c:smooth val="0"/>
          <c:extLst>
            <c:ext xmlns:c16="http://schemas.microsoft.com/office/drawing/2014/chart" uri="{C3380CC4-5D6E-409C-BE32-E72D297353CC}">
              <c16:uniqueId val="{00000414-6533-4801-91F4-C60974D7FA9E}"/>
            </c:ext>
          </c:extLst>
        </c:ser>
        <c:ser>
          <c:idx val="137"/>
          <c:order val="69"/>
          <c:tx>
            <c:v>cel_acc_17</c:v>
          </c:tx>
          <c:spPr>
            <a:ln w="12700">
              <a:solidFill>
                <a:srgbClr val="DD0806"/>
              </a:solidFill>
              <a:prstDash val="solid"/>
            </a:ln>
          </c:spPr>
          <c:marker>
            <c:symbol val="none"/>
          </c:marker>
          <c:xVal>
            <c:numRef>
              <c:f>'Celeration lines'!$D$37:$D$38</c:f>
              <c:numCache>
                <c:formatCode>General</c:formatCode>
                <c:ptCount val="2"/>
              </c:numCache>
            </c:numRef>
          </c:xVal>
          <c:yVal>
            <c:numRef>
              <c:f>'Celeration lines'!$E$37:$E$38</c:f>
              <c:numCache>
                <c:formatCode>0.00</c:formatCode>
                <c:ptCount val="2"/>
              </c:numCache>
            </c:numRef>
          </c:yVal>
          <c:smooth val="0"/>
          <c:extLst>
            <c:ext xmlns:c16="http://schemas.microsoft.com/office/drawing/2014/chart" uri="{C3380CC4-5D6E-409C-BE32-E72D297353CC}">
              <c16:uniqueId val="{00000415-6533-4801-91F4-C60974D7FA9E}"/>
            </c:ext>
          </c:extLst>
        </c:ser>
        <c:ser>
          <c:idx val="138"/>
          <c:order val="70"/>
          <c:tx>
            <c:v>cel_acc_17_ext</c:v>
          </c:tx>
          <c:spPr>
            <a:ln w="12700">
              <a:solidFill>
                <a:srgbClr val="900000"/>
              </a:solidFill>
              <a:prstDash val="sysDash"/>
            </a:ln>
          </c:spPr>
          <c:marker>
            <c:symbol val="none"/>
          </c:marker>
          <c:dLbls>
            <c:dLbl>
              <c:idx val="1"/>
              <c:layout>
                <c:manualLayout>
                  <c:x val="7.3178181132849416E-3"/>
                  <c:y val="-3.5784635831412853E-3"/>
                </c:manualLayout>
              </c:layout>
              <c:tx>
                <c:strRef>
                  <c:f>'Celeration lines'!$L$37</c:f>
                  <c:strCache>
                    <c:ptCount val="1"/>
                  </c:strCache>
                </c:strRef>
              </c:tx>
              <c:spPr>
                <a:solidFill>
                  <a:schemeClr val="bg1">
                    <a:lumMod val="95000"/>
                  </a:schemeClr>
                </a:solidFill>
                <a:ln w="25400">
                  <a:noFill/>
                </a:ln>
              </c:spPr>
              <c:txPr>
                <a:bodyPr/>
                <a:lstStyle/>
                <a:p>
                  <a:pPr>
                    <a:defRPr sz="800">
                      <a:solidFill>
                        <a:srgbClr val="C00000"/>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{27B89D74-DB40-44E2-B6D1-A8A4AC0BE2C1}</c15:txfldGUID>
                      <c15:f>'Celeration lines'!$L$37</c15:f>
                      <c15:dlblFieldTableCache>
                        <c:ptCount val="1"/>
                      </c15:dlblFieldTableCache>
                    </c15:dlblFTEntry>
                  </c15:dlblFieldTable>
                  <c15:showDataLabelsRange val="0"/>
                </c:ext>
                <c:ext xmlns:c16="http://schemas.microsoft.com/office/drawing/2014/chart" uri="{C3380CC4-5D6E-409C-BE32-E72D297353CC}">
                  <c16:uniqueId val="{00000416-6533-4801-91F4-C60974D7FA9E}"/>
                </c:ext>
              </c:extLst>
            </c:dLbl>
            <c:spPr>
              <a:noFill/>
              <a:ln>
                <a:noFill/>
              </a:ln>
              <a:effectLst/>
            </c:spPr>
            <c:txPr>
              <a:bodyPr wrap="square" lIns="38100" tIns="19050" rIns="38100" bIns="19050" anchor="ctr">
                <a:spAutoFit/>
              </a:bodyPr>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lines'!$F$37:$F$38</c:f>
              <c:numCache>
                <c:formatCode>0</c:formatCode>
                <c:ptCount val="2"/>
              </c:numCache>
            </c:numRef>
          </c:xVal>
          <c:yVal>
            <c:numRef>
              <c:f>'Celeration lines'!$G$37:$G$38</c:f>
              <c:numCache>
                <c:formatCode>0.00</c:formatCode>
                <c:ptCount val="2"/>
              </c:numCache>
            </c:numRef>
          </c:yVal>
          <c:smooth val="0"/>
          <c:extLst>
            <c:ext xmlns:c16="http://schemas.microsoft.com/office/drawing/2014/chart" uri="{C3380CC4-5D6E-409C-BE32-E72D297353CC}">
              <c16:uniqueId val="{00000417-6533-4801-91F4-C60974D7FA9E}"/>
            </c:ext>
          </c:extLst>
        </c:ser>
        <c:ser>
          <c:idx val="139"/>
          <c:order val="71"/>
          <c:tx>
            <c:v>bounce_up_17</c:v>
          </c:tx>
          <c:spPr>
            <a:ln w="12700">
              <a:solidFill>
                <a:srgbClr val="900000"/>
              </a:solidFill>
              <a:prstDash val="sysDash"/>
            </a:ln>
          </c:spPr>
          <c:marker>
            <c:symbol val="none"/>
          </c:marker>
          <c:xVal>
            <c:numRef>
              <c:f>'Celeration lines'!$H$37:$H$38</c:f>
              <c:numCache>
                <c:formatCode>0</c:formatCode>
                <c:ptCount val="2"/>
              </c:numCache>
            </c:numRef>
          </c:xVal>
          <c:yVal>
            <c:numRef>
              <c:f>'Celeration lines'!$I$37:$I$38</c:f>
              <c:numCache>
                <c:formatCode>0.00</c:formatCode>
                <c:ptCount val="2"/>
              </c:numCache>
            </c:numRef>
          </c:yVal>
          <c:smooth val="0"/>
          <c:extLst>
            <c:ext xmlns:c16="http://schemas.microsoft.com/office/drawing/2014/chart" uri="{C3380CC4-5D6E-409C-BE32-E72D297353CC}">
              <c16:uniqueId val="{00000418-6533-4801-91F4-C60974D7FA9E}"/>
            </c:ext>
          </c:extLst>
        </c:ser>
        <c:ser>
          <c:idx val="140"/>
          <c:order val="72"/>
          <c:tx>
            <c:v>bounce_down_17</c:v>
          </c:tx>
          <c:spPr>
            <a:ln w="12700">
              <a:solidFill>
                <a:srgbClr val="900000"/>
              </a:solidFill>
              <a:prstDash val="sysDash"/>
            </a:ln>
          </c:spPr>
          <c:marker>
            <c:symbol val="none"/>
          </c:marker>
          <c:xVal>
            <c:numRef>
              <c:f>'Celeration lines'!$J$37:$J$38</c:f>
              <c:numCache>
                <c:formatCode>0</c:formatCode>
                <c:ptCount val="2"/>
              </c:numCache>
            </c:numRef>
          </c:xVal>
          <c:yVal>
            <c:numRef>
              <c:f>'Celeration lines'!$K$37:$K$38</c:f>
              <c:numCache>
                <c:formatCode>0.00</c:formatCode>
                <c:ptCount val="2"/>
              </c:numCache>
            </c:numRef>
          </c:yVal>
          <c:smooth val="0"/>
          <c:extLst>
            <c:ext xmlns:c16="http://schemas.microsoft.com/office/drawing/2014/chart" uri="{C3380CC4-5D6E-409C-BE32-E72D297353CC}">
              <c16:uniqueId val="{00000419-6533-4801-91F4-C60974D7FA9E}"/>
            </c:ext>
          </c:extLst>
        </c:ser>
        <c:ser>
          <c:idx val="141"/>
          <c:order val="73"/>
          <c:tx>
            <c:v>cel_dec_18</c:v>
          </c:tx>
          <c:spPr>
            <a:ln w="12700">
              <a:solidFill>
                <a:srgbClr val="DD0806"/>
              </a:solidFill>
              <a:prstDash val="solid"/>
            </a:ln>
          </c:spPr>
          <c:marker>
            <c:symbol val="none"/>
          </c:marker>
          <c:xVal>
            <c:numRef>
              <c:f>'Celeration lines'!$D$39:$D$40</c:f>
              <c:numCache>
                <c:formatCode>General</c:formatCode>
                <c:ptCount val="2"/>
              </c:numCache>
            </c:numRef>
          </c:xVal>
          <c:yVal>
            <c:numRef>
              <c:f>'Celeration lines'!$E$39:$E$40</c:f>
              <c:numCache>
                <c:formatCode>0.00</c:formatCode>
                <c:ptCount val="2"/>
              </c:numCache>
            </c:numRef>
          </c:yVal>
          <c:smooth val="0"/>
          <c:extLst>
            <c:ext xmlns:c16="http://schemas.microsoft.com/office/drawing/2014/chart" uri="{C3380CC4-5D6E-409C-BE32-E72D297353CC}">
              <c16:uniqueId val="{0000041A-6533-4801-91F4-C60974D7FA9E}"/>
            </c:ext>
          </c:extLst>
        </c:ser>
        <c:ser>
          <c:idx val="142"/>
          <c:order val="74"/>
          <c:tx>
            <c:v>cel_dec_18_ext</c:v>
          </c:tx>
          <c:spPr>
            <a:ln w="12700">
              <a:solidFill>
                <a:srgbClr val="DD0806"/>
              </a:solidFill>
              <a:prstDash val="sysDash"/>
            </a:ln>
          </c:spPr>
          <c:marker>
            <c:symbol val="none"/>
          </c:marker>
          <c:dLbls>
            <c:dLbl>
              <c:idx val="1"/>
              <c:layout>
                <c:manualLayout>
                  <c:x val="8.7257730587265853E-3"/>
                  <c:y val="-1.4893880839152602E-2"/>
                </c:manualLayout>
              </c:layout>
              <c:tx>
                <c:strRef>
                  <c:f>'Celeration lines'!$L$39</c:f>
                  <c:strCache>
                    <c:ptCount val="1"/>
                  </c:strCache>
                </c:strRef>
              </c:tx>
              <c:spPr>
                <a:solidFill>
                  <a:schemeClr val="bg1">
                    <a:lumMod val="95000"/>
                  </a:schemeClr>
                </a:solidFill>
                <a:ln w="25400">
                  <a:noFill/>
                </a:ln>
              </c:spPr>
              <c:txPr>
                <a:bodyPr/>
                <a:lstStyle/>
                <a:p>
                  <a:pPr>
                    <a:defRPr sz="800">
                      <a:solidFill>
                        <a:srgbClr val="C00000"/>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{DE3F5CE1-CCF4-4A74-8581-0C5A3332063D}</c15:txfldGUID>
                      <c15:f>'Celeration lines'!$L$39</c15:f>
                      <c15:dlblFieldTableCache>
                        <c:ptCount val="1"/>
                      </c15:dlblFieldTableCache>
                    </c15:dlblFTEntry>
                  </c15:dlblFieldTable>
                  <c15:showDataLabelsRange val="0"/>
                </c:ext>
                <c:ext xmlns:c16="http://schemas.microsoft.com/office/drawing/2014/chart" uri="{C3380CC4-5D6E-409C-BE32-E72D297353CC}">
                  <c16:uniqueId val="{0000041B-6533-4801-91F4-C60974D7FA9E}"/>
                </c:ext>
              </c:extLst>
            </c:dLbl>
            <c:spPr>
              <a:solidFill>
                <a:schemeClr val="bg1">
                  <a:lumMod val="95000"/>
                </a:schemeClr>
              </a:solidFill>
              <a:ln>
                <a:noFill/>
              </a:ln>
              <a:effectLst/>
            </c:spPr>
            <c:txPr>
              <a:bodyPr wrap="square" lIns="38100" tIns="19050" rIns="38100" bIns="19050" anchor="ctr">
                <a:spAutoFit/>
              </a:bodyPr>
              <a:lstStyle/>
              <a:p>
                <a:pPr>
                  <a:defRPr sz="800">
                    <a:solidFill>
                      <a:srgbClr val="C00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lines'!$F$39:$F$40</c:f>
              <c:numCache>
                <c:formatCode>0</c:formatCode>
                <c:ptCount val="2"/>
              </c:numCache>
            </c:numRef>
          </c:xVal>
          <c:yVal>
            <c:numRef>
              <c:f>'Celeration lines'!$G$39:$G$40</c:f>
              <c:numCache>
                <c:formatCode>0.00</c:formatCode>
                <c:ptCount val="2"/>
              </c:numCache>
            </c:numRef>
          </c:yVal>
          <c:smooth val="0"/>
          <c:extLst>
            <c:ext xmlns:c16="http://schemas.microsoft.com/office/drawing/2014/chart" uri="{C3380CC4-5D6E-409C-BE32-E72D297353CC}">
              <c16:uniqueId val="{0000041C-6533-4801-91F4-C60974D7FA9E}"/>
            </c:ext>
          </c:extLst>
        </c:ser>
        <c:ser>
          <c:idx val="143"/>
          <c:order val="75"/>
          <c:tx>
            <c:v>bounce_up_18</c:v>
          </c:tx>
          <c:spPr>
            <a:ln w="12700">
              <a:solidFill>
                <a:srgbClr val="DD0806"/>
              </a:solidFill>
              <a:prstDash val="sysDash"/>
            </a:ln>
          </c:spPr>
          <c:marker>
            <c:symbol val="none"/>
          </c:marker>
          <c:xVal>
            <c:numRef>
              <c:f>'Celeration lines'!$H$39:$H$40</c:f>
              <c:numCache>
                <c:formatCode>0</c:formatCode>
                <c:ptCount val="2"/>
              </c:numCache>
            </c:numRef>
          </c:xVal>
          <c:yVal>
            <c:numRef>
              <c:f>'Celeration lines'!$I$39:$I$40</c:f>
              <c:numCache>
                <c:formatCode>0.00</c:formatCode>
                <c:ptCount val="2"/>
              </c:numCache>
            </c:numRef>
          </c:yVal>
          <c:smooth val="0"/>
          <c:extLst>
            <c:ext xmlns:c16="http://schemas.microsoft.com/office/drawing/2014/chart" uri="{C3380CC4-5D6E-409C-BE32-E72D297353CC}">
              <c16:uniqueId val="{0000041D-6533-4801-91F4-C60974D7FA9E}"/>
            </c:ext>
          </c:extLst>
        </c:ser>
        <c:ser>
          <c:idx val="144"/>
          <c:order val="76"/>
          <c:tx>
            <c:v>bounce_down_18</c:v>
          </c:tx>
          <c:spPr>
            <a:ln w="12700">
              <a:solidFill>
                <a:srgbClr val="DD0806"/>
              </a:solidFill>
              <a:prstDash val="sysDash"/>
            </a:ln>
          </c:spPr>
          <c:marker>
            <c:symbol val="none"/>
          </c:marker>
          <c:xVal>
            <c:numRef>
              <c:f>'Celeration lines'!$J$39:$J$40</c:f>
              <c:numCache>
                <c:formatCode>0</c:formatCode>
                <c:ptCount val="2"/>
              </c:numCache>
            </c:numRef>
          </c:xVal>
          <c:yVal>
            <c:numRef>
              <c:f>'Celeration lines'!$K$39:$K$40</c:f>
              <c:numCache>
                <c:formatCode>0.00</c:formatCode>
                <c:ptCount val="2"/>
              </c:numCache>
            </c:numRef>
          </c:yVal>
          <c:smooth val="0"/>
          <c:extLst>
            <c:ext xmlns:c16="http://schemas.microsoft.com/office/drawing/2014/chart" uri="{C3380CC4-5D6E-409C-BE32-E72D297353CC}">
              <c16:uniqueId val="{0000041E-6533-4801-91F4-C60974D7FA9E}"/>
            </c:ext>
          </c:extLst>
        </c:ser>
        <c:ser>
          <c:idx val="145"/>
          <c:order val="77"/>
          <c:tx>
            <c:v>cel_acc_19</c:v>
          </c:tx>
          <c:spPr>
            <a:ln w="12700">
              <a:solidFill>
                <a:srgbClr val="DD0806"/>
              </a:solidFill>
              <a:prstDash val="solid"/>
            </a:ln>
          </c:spPr>
          <c:marker>
            <c:symbol val="none"/>
          </c:marker>
          <c:xVal>
            <c:numRef>
              <c:f>'Celeration lines'!$D$41:$D$42</c:f>
              <c:numCache>
                <c:formatCode>General</c:formatCode>
                <c:ptCount val="2"/>
              </c:numCache>
            </c:numRef>
          </c:xVal>
          <c:yVal>
            <c:numRef>
              <c:f>'Celeration lines'!$E$41:$E$42</c:f>
              <c:numCache>
                <c:formatCode>0.00</c:formatCode>
                <c:ptCount val="2"/>
              </c:numCache>
            </c:numRef>
          </c:yVal>
          <c:smooth val="0"/>
          <c:extLst>
            <c:ext xmlns:c16="http://schemas.microsoft.com/office/drawing/2014/chart" uri="{C3380CC4-5D6E-409C-BE32-E72D297353CC}">
              <c16:uniqueId val="{0000041F-6533-4801-91F4-C60974D7FA9E}"/>
            </c:ext>
          </c:extLst>
        </c:ser>
        <c:ser>
          <c:idx val="146"/>
          <c:order val="78"/>
          <c:tx>
            <c:v>cel_acc_19_ext</c:v>
          </c:tx>
          <c:spPr>
            <a:ln w="12700">
              <a:solidFill>
                <a:srgbClr val="DD0806"/>
              </a:solidFill>
              <a:prstDash val="sysDash"/>
            </a:ln>
          </c:spPr>
          <c:marker>
            <c:symbol val="none"/>
          </c:marker>
          <c:dLbls>
            <c:dLbl>
              <c:idx val="1"/>
              <c:layout>
                <c:manualLayout>
                  <c:x val="7.3178181132848383E-3"/>
                  <c:y val="-3.5784635831412853E-3"/>
                </c:manualLayout>
              </c:layout>
              <c:tx>
                <c:strRef>
                  <c:f>'Celeration lines'!$L$41</c:f>
                  <c:strCache>
                    <c:ptCount val="1"/>
                  </c:strCache>
                </c:strRef>
              </c:tx>
              <c:spPr>
                <a:solidFill>
                  <a:schemeClr val="bg1">
                    <a:lumMod val="95000"/>
                  </a:schemeClr>
                </a:solidFill>
                <a:ln w="25400">
                  <a:noFill/>
                </a:ln>
              </c:spPr>
              <c:txPr>
                <a:bodyPr/>
                <a:lstStyle/>
                <a:p>
                  <a:pPr>
                    <a:defRPr sz="800">
                      <a:solidFill>
                        <a:srgbClr val="C00000"/>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{7378E1A2-5E9E-451B-9824-93E3A8978E53}</c15:txfldGUID>
                      <c15:f>'Celeration lines'!$L$41</c15:f>
                      <c15:dlblFieldTableCache>
                        <c:ptCount val="1"/>
                      </c15:dlblFieldTableCache>
                    </c15:dlblFTEntry>
                  </c15:dlblFieldTable>
                  <c15:showDataLabelsRange val="0"/>
                </c:ext>
                <c:ext xmlns:c16="http://schemas.microsoft.com/office/drawing/2014/chart" uri="{C3380CC4-5D6E-409C-BE32-E72D297353CC}">
                  <c16:uniqueId val="{00000420-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lines'!$F$41:$F$42</c:f>
              <c:numCache>
                <c:formatCode>0</c:formatCode>
                <c:ptCount val="2"/>
              </c:numCache>
            </c:numRef>
          </c:xVal>
          <c:yVal>
            <c:numRef>
              <c:f>'Celeration lines'!$G$41:$G$42</c:f>
              <c:numCache>
                <c:formatCode>0.00</c:formatCode>
                <c:ptCount val="2"/>
              </c:numCache>
            </c:numRef>
          </c:yVal>
          <c:smooth val="0"/>
          <c:extLst>
            <c:ext xmlns:c16="http://schemas.microsoft.com/office/drawing/2014/chart" uri="{C3380CC4-5D6E-409C-BE32-E72D297353CC}">
              <c16:uniqueId val="{00000421-6533-4801-91F4-C60974D7FA9E}"/>
            </c:ext>
          </c:extLst>
        </c:ser>
        <c:ser>
          <c:idx val="147"/>
          <c:order val="79"/>
          <c:tx>
            <c:v>bounce_up_19</c:v>
          </c:tx>
          <c:spPr>
            <a:ln w="12700">
              <a:solidFill>
                <a:srgbClr val="DD0806"/>
              </a:solidFill>
              <a:prstDash val="sysDash"/>
            </a:ln>
          </c:spPr>
          <c:marker>
            <c:symbol val="none"/>
          </c:marker>
          <c:xVal>
            <c:numRef>
              <c:f>'Celeration lines'!$H$41:$H$42</c:f>
              <c:numCache>
                <c:formatCode>0</c:formatCode>
                <c:ptCount val="2"/>
              </c:numCache>
            </c:numRef>
          </c:xVal>
          <c:yVal>
            <c:numRef>
              <c:f>'Celeration lines'!$I$41:$I$42</c:f>
              <c:numCache>
                <c:formatCode>0.00</c:formatCode>
                <c:ptCount val="2"/>
              </c:numCache>
            </c:numRef>
          </c:yVal>
          <c:smooth val="0"/>
          <c:extLst>
            <c:ext xmlns:c16="http://schemas.microsoft.com/office/drawing/2014/chart" uri="{C3380CC4-5D6E-409C-BE32-E72D297353CC}">
              <c16:uniqueId val="{00000422-6533-4801-91F4-C60974D7FA9E}"/>
            </c:ext>
          </c:extLst>
        </c:ser>
        <c:ser>
          <c:idx val="148"/>
          <c:order val="80"/>
          <c:tx>
            <c:v>bounce_down_19</c:v>
          </c:tx>
          <c:spPr>
            <a:ln w="12700">
              <a:solidFill>
                <a:srgbClr val="DD0806"/>
              </a:solidFill>
              <a:prstDash val="sysDash"/>
            </a:ln>
          </c:spPr>
          <c:marker>
            <c:symbol val="none"/>
          </c:marker>
          <c:xVal>
            <c:numRef>
              <c:f>'Celeration lines'!$J$41:$J$42</c:f>
              <c:numCache>
                <c:formatCode>0</c:formatCode>
                <c:ptCount val="2"/>
              </c:numCache>
            </c:numRef>
          </c:xVal>
          <c:yVal>
            <c:numRef>
              <c:f>'Celeration lines'!$K$41:$K$42</c:f>
              <c:numCache>
                <c:formatCode>0.00</c:formatCode>
                <c:ptCount val="2"/>
              </c:numCache>
            </c:numRef>
          </c:yVal>
          <c:smooth val="0"/>
          <c:extLst>
            <c:ext xmlns:c16="http://schemas.microsoft.com/office/drawing/2014/chart" uri="{C3380CC4-5D6E-409C-BE32-E72D297353CC}">
              <c16:uniqueId val="{00000423-6533-4801-91F4-C60974D7FA9E}"/>
            </c:ext>
          </c:extLst>
        </c:ser>
        <c:ser>
          <c:idx val="149"/>
          <c:order val="81"/>
          <c:tx>
            <c:v>cel_dec_20</c:v>
          </c:tx>
          <c:spPr>
            <a:ln w="12700">
              <a:solidFill>
                <a:srgbClr val="DD0806"/>
              </a:solidFill>
              <a:prstDash val="solid"/>
            </a:ln>
          </c:spPr>
          <c:marker>
            <c:symbol val="none"/>
          </c:marker>
          <c:xVal>
            <c:numRef>
              <c:f>'Celeration lines'!$D$43:$D$44</c:f>
              <c:numCache>
                <c:formatCode>General</c:formatCode>
                <c:ptCount val="2"/>
              </c:numCache>
            </c:numRef>
          </c:xVal>
          <c:yVal>
            <c:numRef>
              <c:f>'Celeration lines'!$E$43:$E$44</c:f>
              <c:numCache>
                <c:formatCode>0.00</c:formatCode>
                <c:ptCount val="2"/>
              </c:numCache>
            </c:numRef>
          </c:yVal>
          <c:smooth val="0"/>
          <c:extLst>
            <c:ext xmlns:c16="http://schemas.microsoft.com/office/drawing/2014/chart" uri="{C3380CC4-5D6E-409C-BE32-E72D297353CC}">
              <c16:uniqueId val="{00000424-6533-4801-91F4-C60974D7FA9E}"/>
            </c:ext>
          </c:extLst>
        </c:ser>
        <c:ser>
          <c:idx val="150"/>
          <c:order val="82"/>
          <c:tx>
            <c:v>cel_dec_20_ext</c:v>
          </c:tx>
          <c:spPr>
            <a:ln w="12700">
              <a:solidFill>
                <a:srgbClr val="DD0806"/>
              </a:solidFill>
              <a:prstDash val="sysDash"/>
            </a:ln>
          </c:spPr>
          <c:marker>
            <c:symbol val="none"/>
          </c:marker>
          <c:dLbls>
            <c:dLbl>
              <c:idx val="1"/>
              <c:layout>
                <c:manualLayout>
                  <c:x val="5.9098631678431955E-3"/>
                  <c:y val="-1.6925607071393305E-3"/>
                </c:manualLayout>
              </c:layout>
              <c:tx>
                <c:strRef>
                  <c:f>'Celeration lines'!$L$43</c:f>
                  <c:strCache>
                    <c:ptCount val="1"/>
                  </c:strCache>
                </c:strRef>
              </c:tx>
              <c:spPr>
                <a:solidFill>
                  <a:schemeClr val="bg1">
                    <a:lumMod val="95000"/>
                  </a:schemeClr>
                </a:solidFill>
                <a:ln w="25400">
                  <a:noFill/>
                </a:ln>
              </c:spPr>
              <c:txPr>
                <a:bodyPr/>
                <a:lstStyle/>
                <a:p>
                  <a:pPr>
                    <a:defRPr sz="800">
                      <a:solidFill>
                        <a:srgbClr val="C00000"/>
                      </a:solidFill>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dlblFTEntry>
                      <c15:txfldGUID>{347E7233-8704-476D-AE2C-F8E4BD767168}</c15:txfldGUID>
                      <c15:f>'Celeration lines'!$L$43</c15:f>
                      <c15:dlblFieldTableCache>
                        <c:ptCount val="1"/>
                      </c15:dlblFieldTableCache>
                    </c15:dlblFTEntry>
                  </c15:dlblFieldTable>
                  <c15:showDataLabelsRange val="0"/>
                </c:ext>
                <c:ext xmlns:c16="http://schemas.microsoft.com/office/drawing/2014/chart" uri="{C3380CC4-5D6E-409C-BE32-E72D297353CC}">
                  <c16:uniqueId val="{00000425-6533-4801-91F4-C60974D7FA9E}"/>
                </c:ext>
              </c:extLst>
            </c:dLbl>
            <c:spPr>
              <a:solidFill>
                <a:schemeClr val="bg1">
                  <a:lumMod val="95000"/>
                </a:schemeClr>
              </a:solidFill>
              <a:ln>
                <a:noFill/>
              </a:ln>
              <a:effectLst/>
            </c:spPr>
            <c:txPr>
              <a:bodyPr wrap="square" lIns="38100" tIns="19050" rIns="38100" bIns="19050" anchor="ctr">
                <a:spAutoFit/>
              </a:bodyPr>
              <a:lstStyle/>
              <a:p>
                <a:pPr>
                  <a:defRPr sz="800">
                    <a:solidFill>
                      <a:srgbClr val="C00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lines'!$F$43:$F$44</c:f>
              <c:numCache>
                <c:formatCode>0</c:formatCode>
                <c:ptCount val="2"/>
              </c:numCache>
            </c:numRef>
          </c:xVal>
          <c:yVal>
            <c:numRef>
              <c:f>'Celeration lines'!$G$43:$G$44</c:f>
              <c:numCache>
                <c:formatCode>0.00</c:formatCode>
                <c:ptCount val="2"/>
              </c:numCache>
            </c:numRef>
          </c:yVal>
          <c:smooth val="0"/>
          <c:extLst>
            <c:ext xmlns:c16="http://schemas.microsoft.com/office/drawing/2014/chart" uri="{C3380CC4-5D6E-409C-BE32-E72D297353CC}">
              <c16:uniqueId val="{00000426-6533-4801-91F4-C60974D7FA9E}"/>
            </c:ext>
          </c:extLst>
        </c:ser>
        <c:ser>
          <c:idx val="151"/>
          <c:order val="83"/>
          <c:tx>
            <c:v>bounce_up_20</c:v>
          </c:tx>
          <c:spPr>
            <a:ln w="12700">
              <a:solidFill>
                <a:srgbClr val="DD0806"/>
              </a:solidFill>
              <a:prstDash val="sysDash"/>
            </a:ln>
          </c:spPr>
          <c:marker>
            <c:symbol val="none"/>
          </c:marker>
          <c:xVal>
            <c:numRef>
              <c:f>'Celeration lines'!$H$43:$H$44</c:f>
              <c:numCache>
                <c:formatCode>0</c:formatCode>
                <c:ptCount val="2"/>
              </c:numCache>
            </c:numRef>
          </c:xVal>
          <c:yVal>
            <c:numRef>
              <c:f>'Celeration lines'!$I$43:$I$44</c:f>
              <c:numCache>
                <c:formatCode>0.00</c:formatCode>
                <c:ptCount val="2"/>
              </c:numCache>
            </c:numRef>
          </c:yVal>
          <c:smooth val="0"/>
          <c:extLst>
            <c:ext xmlns:c16="http://schemas.microsoft.com/office/drawing/2014/chart" uri="{C3380CC4-5D6E-409C-BE32-E72D297353CC}">
              <c16:uniqueId val="{00000427-6533-4801-91F4-C60974D7FA9E}"/>
            </c:ext>
          </c:extLst>
        </c:ser>
        <c:ser>
          <c:idx val="152"/>
          <c:order val="84"/>
          <c:tx>
            <c:v>bounce_down_20</c:v>
          </c:tx>
          <c:spPr>
            <a:ln w="12700">
              <a:solidFill>
                <a:srgbClr val="DD0806"/>
              </a:solidFill>
              <a:prstDash val="sysDash"/>
            </a:ln>
          </c:spPr>
          <c:marker>
            <c:symbol val="none"/>
          </c:marker>
          <c:xVal>
            <c:numRef>
              <c:f>'Celeration lines'!$J$43:$J$44</c:f>
              <c:numCache>
                <c:formatCode>0</c:formatCode>
                <c:ptCount val="2"/>
              </c:numCache>
            </c:numRef>
          </c:xVal>
          <c:yVal>
            <c:numRef>
              <c:f>'Celeration lines'!$K$43:$K$44</c:f>
              <c:numCache>
                <c:formatCode>0.00</c:formatCode>
                <c:ptCount val="2"/>
              </c:numCache>
            </c:numRef>
          </c:yVal>
          <c:smooth val="0"/>
          <c:extLst>
            <c:ext xmlns:c16="http://schemas.microsoft.com/office/drawing/2014/chart" uri="{C3380CC4-5D6E-409C-BE32-E72D297353CC}">
              <c16:uniqueId val="{00000428-6533-4801-91F4-C60974D7FA9E}"/>
            </c:ext>
          </c:extLst>
        </c:ser>
        <c:ser>
          <c:idx val="153"/>
          <c:order val="85"/>
          <c:tx>
            <c:v>right_axis_timing_interval</c:v>
          </c:tx>
          <c:spPr>
            <a:ln w="28575">
              <a:noFill/>
            </a:ln>
          </c:spPr>
          <c:marker>
            <c:symbol val="none"/>
          </c:marker>
          <c:xVal>
            <c:numRef>
              <c:f>Progress_Record!$BC$1:$BC$13</c:f>
              <c:numCache>
                <c:formatCode>General</c:formatCode>
                <c:ptCount val="13"/>
                <c:pt idx="6" formatCode="0%">
                  <c:v>1</c:v>
                </c:pt>
                <c:pt idx="7" formatCode="0%">
                  <c:v>0.8</c:v>
                </c:pt>
                <c:pt idx="8" formatCode="0%">
                  <c:v>0.6</c:v>
                </c:pt>
                <c:pt idx="9" formatCode="0%">
                  <c:v>0.4</c:v>
                </c:pt>
                <c:pt idx="10" formatCode="0%">
                  <c:v>0.2</c:v>
                </c:pt>
                <c:pt idx="11" formatCode="0%">
                  <c:v>0.1</c:v>
                </c:pt>
              </c:numCache>
            </c:numRef>
          </c:xVal>
          <c:yVal>
            <c:numRef>
              <c:f>Progress_Record!$BD$1:$BD$13</c:f>
              <c:numCache>
                <c:formatCode>General</c:formatCode>
                <c:ptCount val="13"/>
                <c:pt idx="6" formatCode="0%">
                  <c:v>1</c:v>
                </c:pt>
                <c:pt idx="7" formatCode="0%">
                  <c:v>0.8</c:v>
                </c:pt>
                <c:pt idx="8" formatCode="0%">
                  <c:v>0.6</c:v>
                </c:pt>
                <c:pt idx="9" formatCode="0%">
                  <c:v>0.4</c:v>
                </c:pt>
                <c:pt idx="10" formatCode="0%">
                  <c:v>0.2</c:v>
                </c:pt>
                <c:pt idx="11" formatCode="0%">
                  <c:v>0.1</c:v>
                </c:pt>
              </c:numCache>
            </c:numRef>
          </c:yVal>
          <c:smooth val="0"/>
          <c:extLst>
            <c:ext xmlns:c16="http://schemas.microsoft.com/office/drawing/2014/chart" uri="{C3380CC4-5D6E-409C-BE32-E72D297353CC}">
              <c16:uniqueId val="{00000429-6533-4801-91F4-C60974D7FA9E}"/>
            </c:ext>
          </c:extLst>
        </c:ser>
        <c:ser>
          <c:idx val="0"/>
          <c:order val="86"/>
          <c:tx>
            <c:v>PL1</c:v>
          </c:tx>
          <c:spPr>
            <a:ln w="19050">
              <a:solidFill>
                <a:schemeClr val="tx1"/>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2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2B-6533-4801-91F4-C60974D7FA9E}"/>
                </c:ext>
              </c:extLst>
            </c:dLbl>
            <c:dLbl>
              <c:idx val="2"/>
              <c:tx>
                <c:strRef>
                  <c:f>'Notes &amp; Phase Changes'!$E$3</c:f>
                  <c:strCache>
                    <c:ptCount val="1"/>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{73C146DD-861C-493E-8DF4-F1131CF23CAF}</c15:txfldGUID>
                      <c15:f>'Notes &amp; Phase Changes'!$E$3</c15:f>
                      <c15:dlblFieldTableCache>
                        <c:ptCount val="1"/>
                      </c15:dlblFieldTableCache>
                    </c15:dlblFTEntry>
                  </c15:dlblFieldTable>
                  <c15:showDataLabelsRange val="0"/>
                </c:ext>
                <c:ext xmlns:c16="http://schemas.microsoft.com/office/drawing/2014/chart" uri="{C3380CC4-5D6E-409C-BE32-E72D297353CC}">
                  <c16:uniqueId val="{0000042C-6533-4801-91F4-C60974D7FA9E}"/>
                </c:ext>
              </c:extLst>
            </c:dLbl>
            <c:spPr>
              <a:solidFill>
                <a:schemeClr val="bg1"/>
              </a:solidFill>
              <a:ln w="25400">
                <a:noFill/>
              </a:ln>
            </c:spPr>
            <c:dLblPos val="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Changes'!$G$3:$G$5</c:f>
              <c:numCache>
                <c:formatCode>General</c:formatCode>
                <c:ptCount val="3"/>
                <c:pt idx="0">
                  <c:v>#N/A</c:v>
                </c:pt>
                <c:pt idx="1">
                  <c:v>#N/A</c:v>
                </c:pt>
                <c:pt idx="2">
                  <c:v>#N/A</c:v>
                </c:pt>
              </c:numCache>
            </c:numRef>
          </c:xVal>
          <c:yVal>
            <c:numRef>
              <c:f>'Notes &amp; Phase Changes'!$H$3:$H$5</c:f>
              <c:numCache>
                <c:formatCode>General</c:formatCode>
                <c:ptCount val="3"/>
                <c:pt idx="0">
                  <c:v>#N/A</c:v>
                </c:pt>
                <c:pt idx="1">
                  <c:v>#N/A</c:v>
                </c:pt>
                <c:pt idx="2">
                  <c:v>#N/A</c:v>
                </c:pt>
              </c:numCache>
            </c:numRef>
          </c:yVal>
          <c:smooth val="0"/>
          <c:extLst>
            <c:ext xmlns:c16="http://schemas.microsoft.com/office/drawing/2014/chart" uri="{C3380CC4-5D6E-409C-BE32-E72D297353CC}">
              <c16:uniqueId val="{0000042D-6533-4801-91F4-C60974D7FA9E}"/>
            </c:ext>
          </c:extLst>
        </c:ser>
        <c:ser>
          <c:idx val="1"/>
          <c:order val="87"/>
          <c:tx>
            <c:v>PL2</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2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2F-6533-4801-91F4-C60974D7FA9E}"/>
                </c:ext>
              </c:extLst>
            </c:dLbl>
            <c:dLbl>
              <c:idx val="2"/>
              <c:tx>
                <c:strRef>
                  <c:f>'Notes &amp; Phase Changes'!$E$4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{E6342D94-3D1B-497B-8D24-59AE427F63ED}</c15:txfldGUID>
                      <c15:f>'Notes &amp; Phase Changes'!$E$4</c15:f>
                      <c15:dlblFieldTableCache>
                        <c:ptCount val="1"/>
                      </c15:dlblFieldTableCache>
                    </c15:dlblFTEntry>
                  </c15:dlblFieldTable>
                  <c15:showDataLabelsRange val="0"/>
                </c:ext>
                <c:ext xmlns:c16="http://schemas.microsoft.com/office/drawing/2014/chart" uri="{C3380CC4-5D6E-409C-BE32-E72D297353CC}">
                  <c16:uniqueId val="{00000430-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Changes'!$G$6:$G$8</c:f>
              <c:numCache>
                <c:formatCode>General</c:formatCode>
                <c:ptCount val="3"/>
                <c:pt idx="0">
                  <c:v>#N/A</c:v>
                </c:pt>
                <c:pt idx="1">
                  <c:v>#N/A</c:v>
                </c:pt>
                <c:pt idx="2">
                  <c:v>#N/A</c:v>
                </c:pt>
              </c:numCache>
            </c:numRef>
          </c:xVal>
          <c:yVal>
            <c:numRef>
              <c:f>'Notes &amp; Phase Changes'!$H$6:$H$8</c:f>
              <c:numCache>
                <c:formatCode>General</c:formatCode>
                <c:ptCount val="3"/>
                <c:pt idx="0">
                  <c:v>#N/A</c:v>
                </c:pt>
                <c:pt idx="1">
                  <c:v>#N/A</c:v>
                </c:pt>
                <c:pt idx="2">
                  <c:v>#N/A</c:v>
                </c:pt>
              </c:numCache>
            </c:numRef>
          </c:yVal>
          <c:smooth val="0"/>
          <c:extLst>
            <c:ext xmlns:c16="http://schemas.microsoft.com/office/drawing/2014/chart" uri="{C3380CC4-5D6E-409C-BE32-E72D297353CC}">
              <c16:uniqueId val="{00000431-6533-4801-91F4-C60974D7FA9E}"/>
            </c:ext>
          </c:extLst>
        </c:ser>
        <c:ser>
          <c:idx val="3"/>
          <c:order val="88"/>
          <c:tx>
            <c:v>PL3</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3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33-6533-4801-91F4-C60974D7FA9E}"/>
                </c:ext>
              </c:extLst>
            </c:dLbl>
            <c:dLbl>
              <c:idx val="2"/>
              <c:tx>
                <c:strRef>
                  <c:f>'Notes &amp; Phase Changes'!$E$5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{18C32BD6-DAF2-4B07-87CB-8B13D67E34DB}</c15:txfldGUID>
                      <c15:f>'Notes &amp; Phase Changes'!$E$5</c15:f>
                      <c15:dlblFieldTableCache>
                        <c:ptCount val="1"/>
                      </c15:dlblFieldTableCache>
                    </c15:dlblFTEntry>
                  </c15:dlblFieldTable>
                  <c15:showDataLabelsRange val="0"/>
                </c:ext>
                <c:ext xmlns:c16="http://schemas.microsoft.com/office/drawing/2014/chart" uri="{C3380CC4-5D6E-409C-BE32-E72D297353CC}">
                  <c16:uniqueId val="{00000434-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Changes'!$G$9:$G$11</c:f>
              <c:numCache>
                <c:formatCode>General</c:formatCode>
                <c:ptCount val="3"/>
                <c:pt idx="0">
                  <c:v>#N/A</c:v>
                </c:pt>
                <c:pt idx="1">
                  <c:v>#N/A</c:v>
                </c:pt>
                <c:pt idx="2">
                  <c:v>#N/A</c:v>
                </c:pt>
              </c:numCache>
            </c:numRef>
          </c:xVal>
          <c:yVal>
            <c:numRef>
              <c:f>'Notes &amp; Phase Changes'!$H$9:$H$11</c:f>
              <c:numCache>
                <c:formatCode>General</c:formatCode>
                <c:ptCount val="3"/>
                <c:pt idx="0">
                  <c:v>#N/A</c:v>
                </c:pt>
                <c:pt idx="1">
                  <c:v>#N/A</c:v>
                </c:pt>
                <c:pt idx="2">
                  <c:v>#N/A</c:v>
                </c:pt>
              </c:numCache>
            </c:numRef>
          </c:yVal>
          <c:smooth val="0"/>
          <c:extLst>
            <c:ext xmlns:c16="http://schemas.microsoft.com/office/drawing/2014/chart" uri="{C3380CC4-5D6E-409C-BE32-E72D297353CC}">
              <c16:uniqueId val="{00000435-6533-4801-91F4-C60974D7FA9E}"/>
            </c:ext>
          </c:extLst>
        </c:ser>
        <c:ser>
          <c:idx val="4"/>
          <c:order val="89"/>
          <c:tx>
            <c:v>PL4</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3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37-6533-4801-91F4-C60974D7FA9E}"/>
                </c:ext>
              </c:extLst>
            </c:dLbl>
            <c:dLbl>
              <c:idx val="2"/>
              <c:tx>
                <c:strRef>
                  <c:f>'Notes &amp; Phase Changes'!$E$6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{7B7996E6-30CC-45AA-AA01-626E5166FB29}</c15:txfldGUID>
                      <c15:f>'Notes &amp; Phase Changes'!$E$6</c15:f>
                      <c15:dlblFieldTableCache>
                        <c:ptCount val="1"/>
                      </c15:dlblFieldTableCache>
                    </c15:dlblFTEntry>
                  </c15:dlblFieldTable>
                  <c15:showDataLabelsRange val="0"/>
                </c:ext>
                <c:ext xmlns:c16="http://schemas.microsoft.com/office/drawing/2014/chart" uri="{C3380CC4-5D6E-409C-BE32-E72D297353CC}">
                  <c16:uniqueId val="{00000438-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Changes'!$G$12:$G$14</c:f>
              <c:numCache>
                <c:formatCode>General</c:formatCode>
                <c:ptCount val="3"/>
                <c:pt idx="0">
                  <c:v>#N/A</c:v>
                </c:pt>
                <c:pt idx="1">
                  <c:v>#N/A</c:v>
                </c:pt>
                <c:pt idx="2">
                  <c:v>#N/A</c:v>
                </c:pt>
              </c:numCache>
            </c:numRef>
          </c:xVal>
          <c:yVal>
            <c:numRef>
              <c:f>'Notes &amp; Phase Changes'!$H$12:$H$14</c:f>
              <c:numCache>
                <c:formatCode>General</c:formatCode>
                <c:ptCount val="3"/>
                <c:pt idx="0">
                  <c:v>#N/A</c:v>
                </c:pt>
                <c:pt idx="1">
                  <c:v>#N/A</c:v>
                </c:pt>
                <c:pt idx="2">
                  <c:v>#N/A</c:v>
                </c:pt>
              </c:numCache>
            </c:numRef>
          </c:yVal>
          <c:smooth val="0"/>
          <c:extLst>
            <c:ext xmlns:c16="http://schemas.microsoft.com/office/drawing/2014/chart" uri="{C3380CC4-5D6E-409C-BE32-E72D297353CC}">
              <c16:uniqueId val="{00000439-6533-4801-91F4-C60974D7FA9E}"/>
            </c:ext>
          </c:extLst>
        </c:ser>
        <c:ser>
          <c:idx val="8"/>
          <c:order val="90"/>
          <c:tx>
            <c:v>PL5</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3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3B-6533-4801-91F4-C60974D7FA9E}"/>
                </c:ext>
              </c:extLst>
            </c:dLbl>
            <c:dLbl>
              <c:idx val="2"/>
              <c:tx>
                <c:strRef>
                  <c:f>'Notes &amp; Phase Changes'!$E$7</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{195DA63B-4EFB-422A-9064-525D700ADBCB}</c15:txfldGUID>
                      <c15:f>'Notes &amp; Phase Changes'!$E$7</c15:f>
                      <c15:dlblFieldTableCache>
                        <c:ptCount val="1"/>
                      </c15:dlblFieldTableCache>
                    </c15:dlblFTEntry>
                  </c15:dlblFieldTable>
                  <c15:showDataLabelsRange val="0"/>
                </c:ext>
                <c:ext xmlns:c16="http://schemas.microsoft.com/office/drawing/2014/chart" uri="{C3380CC4-5D6E-409C-BE32-E72D297353CC}">
                  <c16:uniqueId val="{0000043C-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Changes'!$G$15:$G$17</c:f>
              <c:numCache>
                <c:formatCode>General</c:formatCode>
                <c:ptCount val="3"/>
                <c:pt idx="0">
                  <c:v>#N/A</c:v>
                </c:pt>
                <c:pt idx="1">
                  <c:v>#N/A</c:v>
                </c:pt>
                <c:pt idx="2">
                  <c:v>#N/A</c:v>
                </c:pt>
              </c:numCache>
            </c:numRef>
          </c:xVal>
          <c:yVal>
            <c:numRef>
              <c:f>'Notes &amp; Phase Changes'!$H$15:$H$17</c:f>
              <c:numCache>
                <c:formatCode>General</c:formatCode>
                <c:ptCount val="3"/>
                <c:pt idx="0">
                  <c:v>#N/A</c:v>
                </c:pt>
                <c:pt idx="1">
                  <c:v>#N/A</c:v>
                </c:pt>
                <c:pt idx="2">
                  <c:v>#N/A</c:v>
                </c:pt>
              </c:numCache>
            </c:numRef>
          </c:yVal>
          <c:smooth val="0"/>
          <c:extLst>
            <c:ext xmlns:c16="http://schemas.microsoft.com/office/drawing/2014/chart" uri="{C3380CC4-5D6E-409C-BE32-E72D297353CC}">
              <c16:uniqueId val="{0000043D-6533-4801-91F4-C60974D7FA9E}"/>
            </c:ext>
          </c:extLst>
        </c:ser>
        <c:ser>
          <c:idx val="9"/>
          <c:order val="91"/>
          <c:tx>
            <c:v>PL6</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3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3F-6533-4801-91F4-C60974D7FA9E}"/>
                </c:ext>
              </c:extLst>
            </c:dLbl>
            <c:dLbl>
              <c:idx val="2"/>
              <c:tx>
                <c:strRef>
                  <c:f>'Notes &amp; Phase Changes'!$E$8</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{0DBE6AC7-3ECE-4801-BCF8-EBA6007E636C}</c15:txfldGUID>
                      <c15:f>'Notes &amp; Phase Changes'!$E$8</c15:f>
                      <c15:dlblFieldTableCache>
                        <c:ptCount val="1"/>
                      </c15:dlblFieldTableCache>
                    </c15:dlblFTEntry>
                  </c15:dlblFieldTable>
                  <c15:showDataLabelsRange val="0"/>
                </c:ext>
                <c:ext xmlns:c16="http://schemas.microsoft.com/office/drawing/2014/chart" uri="{C3380CC4-5D6E-409C-BE32-E72D297353CC}">
                  <c16:uniqueId val="{00000440-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Changes'!$G$18:$G$20</c:f>
              <c:numCache>
                <c:formatCode>General</c:formatCode>
                <c:ptCount val="3"/>
                <c:pt idx="0">
                  <c:v>#N/A</c:v>
                </c:pt>
                <c:pt idx="1">
                  <c:v>#N/A</c:v>
                </c:pt>
                <c:pt idx="2">
                  <c:v>#N/A</c:v>
                </c:pt>
              </c:numCache>
            </c:numRef>
          </c:xVal>
          <c:yVal>
            <c:numRef>
              <c:f>'Notes &amp; Phase Changes'!$H$18:$H$20</c:f>
              <c:numCache>
                <c:formatCode>General</c:formatCode>
                <c:ptCount val="3"/>
                <c:pt idx="0">
                  <c:v>#N/A</c:v>
                </c:pt>
                <c:pt idx="1">
                  <c:v>#N/A</c:v>
                </c:pt>
                <c:pt idx="2">
                  <c:v>#N/A</c:v>
                </c:pt>
              </c:numCache>
            </c:numRef>
          </c:yVal>
          <c:smooth val="0"/>
          <c:extLst>
            <c:ext xmlns:c16="http://schemas.microsoft.com/office/drawing/2014/chart" uri="{C3380CC4-5D6E-409C-BE32-E72D297353CC}">
              <c16:uniqueId val="{00000441-6533-4801-91F4-C60974D7FA9E}"/>
            </c:ext>
          </c:extLst>
        </c:ser>
        <c:ser>
          <c:idx val="10"/>
          <c:order val="92"/>
          <c:tx>
            <c:v>PL7</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4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43-6533-4801-91F4-C60974D7FA9E}"/>
                </c:ext>
              </c:extLst>
            </c:dLbl>
            <c:dLbl>
              <c:idx val="2"/>
              <c:tx>
                <c:strRef>
                  <c:f>'Notes &amp; Phase Changes'!$E$9</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{DC7B1E9C-640D-4176-B7C0-0889FA6C1D9C}</c15:txfldGUID>
                      <c15:f>'Notes &amp; Phase Changes'!$E$9</c15:f>
                      <c15:dlblFieldTableCache>
                        <c:ptCount val="1"/>
                      </c15:dlblFieldTableCache>
                    </c15:dlblFTEntry>
                  </c15:dlblFieldTable>
                  <c15:showDataLabelsRange val="0"/>
                </c:ext>
                <c:ext xmlns:c16="http://schemas.microsoft.com/office/drawing/2014/chart" uri="{C3380CC4-5D6E-409C-BE32-E72D297353CC}">
                  <c16:uniqueId val="{00000444-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Changes'!$G$21:$G$23</c:f>
              <c:numCache>
                <c:formatCode>General</c:formatCode>
                <c:ptCount val="3"/>
                <c:pt idx="0">
                  <c:v>#N/A</c:v>
                </c:pt>
                <c:pt idx="1">
                  <c:v>#N/A</c:v>
                </c:pt>
                <c:pt idx="2">
                  <c:v>#N/A</c:v>
                </c:pt>
              </c:numCache>
            </c:numRef>
          </c:xVal>
          <c:yVal>
            <c:numRef>
              <c:f>'Notes &amp; Phase Changes'!$H$21:$H$23</c:f>
              <c:numCache>
                <c:formatCode>General</c:formatCode>
                <c:ptCount val="3"/>
                <c:pt idx="0">
                  <c:v>#N/A</c:v>
                </c:pt>
                <c:pt idx="1">
                  <c:v>#N/A</c:v>
                </c:pt>
                <c:pt idx="2">
                  <c:v>#N/A</c:v>
                </c:pt>
              </c:numCache>
            </c:numRef>
          </c:yVal>
          <c:smooth val="0"/>
          <c:extLst>
            <c:ext xmlns:c16="http://schemas.microsoft.com/office/drawing/2014/chart" uri="{C3380CC4-5D6E-409C-BE32-E72D297353CC}">
              <c16:uniqueId val="{00000445-6533-4801-91F4-C60974D7FA9E}"/>
            </c:ext>
          </c:extLst>
        </c:ser>
        <c:ser>
          <c:idx val="11"/>
          <c:order val="93"/>
          <c:tx>
            <c:v>PL8</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4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47-6533-4801-91F4-C60974D7FA9E}"/>
                </c:ext>
              </c:extLst>
            </c:dLbl>
            <c:dLbl>
              <c:idx val="2"/>
              <c:tx>
                <c:strRef>
                  <c:f>'Notes &amp; Phase Changes'!$E$10</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{60919B81-72B8-4918-B908-48C550152B44}</c15:txfldGUID>
                      <c15:f>'Notes &amp; Phase Changes'!$E$10</c15:f>
                      <c15:dlblFieldTableCache>
                        <c:ptCount val="1"/>
                      </c15:dlblFieldTableCache>
                    </c15:dlblFTEntry>
                  </c15:dlblFieldTable>
                  <c15:showDataLabelsRange val="0"/>
                </c:ext>
                <c:ext xmlns:c16="http://schemas.microsoft.com/office/drawing/2014/chart" uri="{C3380CC4-5D6E-409C-BE32-E72D297353CC}">
                  <c16:uniqueId val="{00000448-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Changes'!$G$24:$G$26</c:f>
              <c:numCache>
                <c:formatCode>General</c:formatCode>
                <c:ptCount val="3"/>
                <c:pt idx="0">
                  <c:v>#N/A</c:v>
                </c:pt>
                <c:pt idx="1">
                  <c:v>#N/A</c:v>
                </c:pt>
                <c:pt idx="2">
                  <c:v>#N/A</c:v>
                </c:pt>
              </c:numCache>
            </c:numRef>
          </c:xVal>
          <c:yVal>
            <c:numRef>
              <c:f>'Notes &amp; Phase Changes'!$H$24:$H$26</c:f>
              <c:numCache>
                <c:formatCode>General</c:formatCode>
                <c:ptCount val="3"/>
                <c:pt idx="0">
                  <c:v>#N/A</c:v>
                </c:pt>
                <c:pt idx="1">
                  <c:v>#N/A</c:v>
                </c:pt>
                <c:pt idx="2">
                  <c:v>#N/A</c:v>
                </c:pt>
              </c:numCache>
            </c:numRef>
          </c:yVal>
          <c:smooth val="0"/>
          <c:extLst>
            <c:ext xmlns:c16="http://schemas.microsoft.com/office/drawing/2014/chart" uri="{C3380CC4-5D6E-409C-BE32-E72D297353CC}">
              <c16:uniqueId val="{00000449-6533-4801-91F4-C60974D7FA9E}"/>
            </c:ext>
          </c:extLst>
        </c:ser>
        <c:ser>
          <c:idx val="12"/>
          <c:order val="94"/>
          <c:tx>
            <c:v>PL9</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4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4B-6533-4801-91F4-C60974D7FA9E}"/>
                </c:ext>
              </c:extLst>
            </c:dLbl>
            <c:dLbl>
              <c:idx val="2"/>
              <c:tx>
                <c:strRef>
                  <c:f>'Notes &amp; Phase Changes'!$E$11</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{48AF6D0C-5551-4352-A052-A46C05C414C2}</c15:txfldGUID>
                      <c15:f>'Notes &amp; Phase Changes'!$E$11</c15:f>
                      <c15:dlblFieldTableCache>
                        <c:ptCount val="1"/>
                      </c15:dlblFieldTableCache>
                    </c15:dlblFTEntry>
                  </c15:dlblFieldTable>
                  <c15:showDataLabelsRange val="0"/>
                </c:ext>
                <c:ext xmlns:c16="http://schemas.microsoft.com/office/drawing/2014/chart" uri="{C3380CC4-5D6E-409C-BE32-E72D297353CC}">
                  <c16:uniqueId val="{0000044C-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Changes'!$G$27:$G$29</c:f>
              <c:numCache>
                <c:formatCode>General</c:formatCode>
                <c:ptCount val="3"/>
                <c:pt idx="0">
                  <c:v>#N/A</c:v>
                </c:pt>
                <c:pt idx="1">
                  <c:v>#N/A</c:v>
                </c:pt>
                <c:pt idx="2">
                  <c:v>#N/A</c:v>
                </c:pt>
              </c:numCache>
            </c:numRef>
          </c:xVal>
          <c:yVal>
            <c:numRef>
              <c:f>'Notes &amp; Phase Changes'!$H$27:$H$29</c:f>
              <c:numCache>
                <c:formatCode>General</c:formatCode>
                <c:ptCount val="3"/>
                <c:pt idx="0">
                  <c:v>#N/A</c:v>
                </c:pt>
                <c:pt idx="1">
                  <c:v>#N/A</c:v>
                </c:pt>
                <c:pt idx="2">
                  <c:v>#N/A</c:v>
                </c:pt>
              </c:numCache>
            </c:numRef>
          </c:yVal>
          <c:smooth val="0"/>
          <c:extLst>
            <c:ext xmlns:c16="http://schemas.microsoft.com/office/drawing/2014/chart" uri="{C3380CC4-5D6E-409C-BE32-E72D297353CC}">
              <c16:uniqueId val="{0000044D-6533-4801-91F4-C60974D7FA9E}"/>
            </c:ext>
          </c:extLst>
        </c:ser>
        <c:ser>
          <c:idx val="13"/>
          <c:order val="95"/>
          <c:tx>
            <c:v>PL10</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4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4F-6533-4801-91F4-C60974D7FA9E}"/>
                </c:ext>
              </c:extLst>
            </c:dLbl>
            <c:dLbl>
              <c:idx val="2"/>
              <c:tx>
                <c:strRef>
                  <c:f>'Notes &amp; Phase Changes'!$E$12</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{84A19E53-8E07-4AD1-ADC7-97AEC82BA2FA}</c15:txfldGUID>
                      <c15:f>'Notes &amp; Phase Changes'!$E$12</c15:f>
                      <c15:dlblFieldTableCache>
                        <c:ptCount val="1"/>
                      </c15:dlblFieldTableCache>
                    </c15:dlblFTEntry>
                  </c15:dlblFieldTable>
                  <c15:showDataLabelsRange val="0"/>
                </c:ext>
                <c:ext xmlns:c16="http://schemas.microsoft.com/office/drawing/2014/chart" uri="{C3380CC4-5D6E-409C-BE32-E72D297353CC}">
                  <c16:uniqueId val="{00000450-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Changes'!$G$30:$G$32</c:f>
              <c:numCache>
                <c:formatCode>General</c:formatCode>
                <c:ptCount val="3"/>
                <c:pt idx="0">
                  <c:v>#N/A</c:v>
                </c:pt>
                <c:pt idx="1">
                  <c:v>#N/A</c:v>
                </c:pt>
                <c:pt idx="2">
                  <c:v>#N/A</c:v>
                </c:pt>
              </c:numCache>
            </c:numRef>
          </c:xVal>
          <c:yVal>
            <c:numRef>
              <c:f>'Notes &amp; Phase Changes'!$H$30:$H$32</c:f>
              <c:numCache>
                <c:formatCode>General</c:formatCode>
                <c:ptCount val="3"/>
                <c:pt idx="0">
                  <c:v>#N/A</c:v>
                </c:pt>
                <c:pt idx="1">
                  <c:v>#N/A</c:v>
                </c:pt>
                <c:pt idx="2">
                  <c:v>#N/A</c:v>
                </c:pt>
              </c:numCache>
            </c:numRef>
          </c:yVal>
          <c:smooth val="0"/>
          <c:extLst>
            <c:ext xmlns:c16="http://schemas.microsoft.com/office/drawing/2014/chart" uri="{C3380CC4-5D6E-409C-BE32-E72D297353CC}">
              <c16:uniqueId val="{00000451-6533-4801-91F4-C60974D7FA9E}"/>
            </c:ext>
          </c:extLst>
        </c:ser>
        <c:ser>
          <c:idx val="14"/>
          <c:order val="96"/>
          <c:tx>
            <c:v>PL11</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5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53-6533-4801-91F4-C60974D7FA9E}"/>
                </c:ext>
              </c:extLst>
            </c:dLbl>
            <c:dLbl>
              <c:idx val="2"/>
              <c:tx>
                <c:strRef>
                  <c:f>'Notes &amp; Phase Changes'!$E$13</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{8339B6FB-D4F5-4225-8240-EBB9D8AD84EC}</c15:txfldGUID>
                      <c15:f>'Notes &amp; Phase Changes'!$E$13</c15:f>
                      <c15:dlblFieldTableCache>
                        <c:ptCount val="1"/>
                      </c15:dlblFieldTableCache>
                    </c15:dlblFTEntry>
                  </c15:dlblFieldTable>
                  <c15:showDataLabelsRange val="0"/>
                </c:ext>
                <c:ext xmlns:c16="http://schemas.microsoft.com/office/drawing/2014/chart" uri="{C3380CC4-5D6E-409C-BE32-E72D297353CC}">
                  <c16:uniqueId val="{00000454-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Changes'!$G$33:$G$35</c:f>
              <c:numCache>
                <c:formatCode>General</c:formatCode>
                <c:ptCount val="3"/>
                <c:pt idx="0">
                  <c:v>#N/A</c:v>
                </c:pt>
                <c:pt idx="1">
                  <c:v>#N/A</c:v>
                </c:pt>
                <c:pt idx="2">
                  <c:v>#N/A</c:v>
                </c:pt>
              </c:numCache>
            </c:numRef>
          </c:xVal>
          <c:yVal>
            <c:numRef>
              <c:f>'Notes &amp; Phase Changes'!$H$33:$H$35</c:f>
              <c:numCache>
                <c:formatCode>General</c:formatCode>
                <c:ptCount val="3"/>
                <c:pt idx="0">
                  <c:v>#N/A</c:v>
                </c:pt>
                <c:pt idx="1">
                  <c:v>#N/A</c:v>
                </c:pt>
                <c:pt idx="2">
                  <c:v>#N/A</c:v>
                </c:pt>
              </c:numCache>
            </c:numRef>
          </c:yVal>
          <c:smooth val="0"/>
          <c:extLst>
            <c:ext xmlns:c16="http://schemas.microsoft.com/office/drawing/2014/chart" uri="{C3380CC4-5D6E-409C-BE32-E72D297353CC}">
              <c16:uniqueId val="{00000455-6533-4801-91F4-C60974D7FA9E}"/>
            </c:ext>
          </c:extLst>
        </c:ser>
        <c:ser>
          <c:idx val="15"/>
          <c:order val="97"/>
          <c:tx>
            <c:v>PL12</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5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57-6533-4801-91F4-C60974D7FA9E}"/>
                </c:ext>
              </c:extLst>
            </c:dLbl>
            <c:dLbl>
              <c:idx val="2"/>
              <c:tx>
                <c:strRef>
                  <c:f>'Notes &amp; Phase Changes'!$E$14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{9DE1C94E-4A8D-4A13-97B0-1654AF77F87B}</c15:txfldGUID>
                      <c15:f>'Notes &amp; Phase Changes'!$E$14</c15:f>
                      <c15:dlblFieldTableCache>
                        <c:ptCount val="1"/>
                      </c15:dlblFieldTableCache>
                    </c15:dlblFTEntry>
                  </c15:dlblFieldTable>
                  <c15:showDataLabelsRange val="0"/>
                </c:ext>
                <c:ext xmlns:c16="http://schemas.microsoft.com/office/drawing/2014/chart" uri="{C3380CC4-5D6E-409C-BE32-E72D297353CC}">
                  <c16:uniqueId val="{00000458-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Changes'!$G$36:$G$38</c:f>
              <c:numCache>
                <c:formatCode>General</c:formatCode>
                <c:ptCount val="3"/>
                <c:pt idx="0">
                  <c:v>#N/A</c:v>
                </c:pt>
                <c:pt idx="1">
                  <c:v>#N/A</c:v>
                </c:pt>
                <c:pt idx="2">
                  <c:v>#N/A</c:v>
                </c:pt>
              </c:numCache>
            </c:numRef>
          </c:xVal>
          <c:yVal>
            <c:numRef>
              <c:f>'Notes &amp; Phase Changes'!$H$36:$H$38</c:f>
              <c:numCache>
                <c:formatCode>General</c:formatCode>
                <c:ptCount val="3"/>
                <c:pt idx="0">
                  <c:v>#N/A</c:v>
                </c:pt>
                <c:pt idx="1">
                  <c:v>#N/A</c:v>
                </c:pt>
                <c:pt idx="2">
                  <c:v>#N/A</c:v>
                </c:pt>
              </c:numCache>
            </c:numRef>
          </c:yVal>
          <c:smooth val="0"/>
          <c:extLst>
            <c:ext xmlns:c16="http://schemas.microsoft.com/office/drawing/2014/chart" uri="{C3380CC4-5D6E-409C-BE32-E72D297353CC}">
              <c16:uniqueId val="{00000459-6533-4801-91F4-C60974D7FA9E}"/>
            </c:ext>
          </c:extLst>
        </c:ser>
        <c:ser>
          <c:idx val="16"/>
          <c:order val="98"/>
          <c:tx>
            <c:v>PL13</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5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5B-6533-4801-91F4-C60974D7FA9E}"/>
                </c:ext>
              </c:extLst>
            </c:dLbl>
            <c:dLbl>
              <c:idx val="2"/>
              <c:tx>
                <c:strRef>
                  <c:f>'Notes &amp; Phase Changes'!$E$15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{068C5D54-27BA-4A5A-803A-3CB987354E06}</c15:txfldGUID>
                      <c15:f>'Notes &amp; Phase Changes'!$E$15</c15:f>
                      <c15:dlblFieldTableCache>
                        <c:ptCount val="1"/>
                      </c15:dlblFieldTableCache>
                    </c15:dlblFTEntry>
                  </c15:dlblFieldTable>
                  <c15:showDataLabelsRange val="0"/>
                </c:ext>
                <c:ext xmlns:c16="http://schemas.microsoft.com/office/drawing/2014/chart" uri="{C3380CC4-5D6E-409C-BE32-E72D297353CC}">
                  <c16:uniqueId val="{0000045C-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Changes'!$G$39:$G$41</c:f>
              <c:numCache>
                <c:formatCode>General</c:formatCode>
                <c:ptCount val="3"/>
                <c:pt idx="0">
                  <c:v>#N/A</c:v>
                </c:pt>
                <c:pt idx="1">
                  <c:v>#N/A</c:v>
                </c:pt>
                <c:pt idx="2">
                  <c:v>#N/A</c:v>
                </c:pt>
              </c:numCache>
            </c:numRef>
          </c:xVal>
          <c:yVal>
            <c:numRef>
              <c:f>'Notes &amp; Phase Changes'!$H$39:$H$41</c:f>
              <c:numCache>
                <c:formatCode>General</c:formatCode>
                <c:ptCount val="3"/>
                <c:pt idx="0">
                  <c:v>#N/A</c:v>
                </c:pt>
                <c:pt idx="1">
                  <c:v>#N/A</c:v>
                </c:pt>
                <c:pt idx="2">
                  <c:v>#N/A</c:v>
                </c:pt>
              </c:numCache>
            </c:numRef>
          </c:yVal>
          <c:smooth val="0"/>
          <c:extLst>
            <c:ext xmlns:c16="http://schemas.microsoft.com/office/drawing/2014/chart" uri="{C3380CC4-5D6E-409C-BE32-E72D297353CC}">
              <c16:uniqueId val="{0000045D-6533-4801-91F4-C60974D7FA9E}"/>
            </c:ext>
          </c:extLst>
        </c:ser>
        <c:ser>
          <c:idx val="17"/>
          <c:order val="99"/>
          <c:tx>
            <c:v>PL14</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5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5F-6533-4801-91F4-C60974D7FA9E}"/>
                </c:ext>
              </c:extLst>
            </c:dLbl>
            <c:dLbl>
              <c:idx val="2"/>
              <c:tx>
                <c:strRef>
                  <c:f>'Notes &amp; Phase Changes'!$E$16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{BF38C454-C94D-4E99-A7CD-CBA27413015F}</c15:txfldGUID>
                      <c15:f>'Notes &amp; Phase Changes'!$E$16</c15:f>
                      <c15:dlblFieldTableCache>
                        <c:ptCount val="1"/>
                      </c15:dlblFieldTableCache>
                    </c15:dlblFTEntry>
                  </c15:dlblFieldTable>
                  <c15:showDataLabelsRange val="0"/>
                </c:ext>
                <c:ext xmlns:c16="http://schemas.microsoft.com/office/drawing/2014/chart" uri="{C3380CC4-5D6E-409C-BE32-E72D297353CC}">
                  <c16:uniqueId val="{00000460-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Changes'!$G$42:$G$44</c:f>
              <c:numCache>
                <c:formatCode>General</c:formatCode>
                <c:ptCount val="3"/>
                <c:pt idx="0">
                  <c:v>#N/A</c:v>
                </c:pt>
                <c:pt idx="1">
                  <c:v>#N/A</c:v>
                </c:pt>
                <c:pt idx="2">
                  <c:v>#N/A</c:v>
                </c:pt>
              </c:numCache>
            </c:numRef>
          </c:xVal>
          <c:yVal>
            <c:numRef>
              <c:f>'Notes &amp; Phase Changes'!$H$42:$H$44</c:f>
              <c:numCache>
                <c:formatCode>General</c:formatCode>
                <c:ptCount val="3"/>
                <c:pt idx="0">
                  <c:v>#N/A</c:v>
                </c:pt>
                <c:pt idx="1">
                  <c:v>#N/A</c:v>
                </c:pt>
                <c:pt idx="2">
                  <c:v>#N/A</c:v>
                </c:pt>
              </c:numCache>
            </c:numRef>
          </c:yVal>
          <c:smooth val="0"/>
          <c:extLst>
            <c:ext xmlns:c16="http://schemas.microsoft.com/office/drawing/2014/chart" uri="{C3380CC4-5D6E-409C-BE32-E72D297353CC}">
              <c16:uniqueId val="{00000461-6533-4801-91F4-C60974D7FA9E}"/>
            </c:ext>
          </c:extLst>
        </c:ser>
        <c:ser>
          <c:idx val="18"/>
          <c:order val="100"/>
          <c:tx>
            <c:v>PL15</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6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63-6533-4801-91F4-C60974D7FA9E}"/>
                </c:ext>
              </c:extLst>
            </c:dLbl>
            <c:dLbl>
              <c:idx val="2"/>
              <c:tx>
                <c:strRef>
                  <c:f>'Notes &amp; Phase Changes'!$E$17</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{74813E20-B935-4655-B9A7-3E06570B7E78}</c15:txfldGUID>
                      <c15:f>'Notes &amp; Phase Changes'!$E$17</c15:f>
                      <c15:dlblFieldTableCache>
                        <c:ptCount val="1"/>
                      </c15:dlblFieldTableCache>
                    </c15:dlblFTEntry>
                  </c15:dlblFieldTable>
                  <c15:showDataLabelsRange val="0"/>
                </c:ext>
                <c:ext xmlns:c16="http://schemas.microsoft.com/office/drawing/2014/chart" uri="{C3380CC4-5D6E-409C-BE32-E72D297353CC}">
                  <c16:uniqueId val="{00000464-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Changes'!$G$45:$G$47</c:f>
              <c:numCache>
                <c:formatCode>General</c:formatCode>
                <c:ptCount val="3"/>
                <c:pt idx="0">
                  <c:v>#N/A</c:v>
                </c:pt>
                <c:pt idx="1">
                  <c:v>#N/A</c:v>
                </c:pt>
                <c:pt idx="2">
                  <c:v>#N/A</c:v>
                </c:pt>
              </c:numCache>
            </c:numRef>
          </c:xVal>
          <c:yVal>
            <c:numRef>
              <c:f>'Notes &amp; Phase Changes'!$H$45:$H$47</c:f>
              <c:numCache>
                <c:formatCode>General</c:formatCode>
                <c:ptCount val="3"/>
                <c:pt idx="0">
                  <c:v>#N/A</c:v>
                </c:pt>
                <c:pt idx="1">
                  <c:v>#N/A</c:v>
                </c:pt>
                <c:pt idx="2">
                  <c:v>#N/A</c:v>
                </c:pt>
              </c:numCache>
            </c:numRef>
          </c:yVal>
          <c:smooth val="0"/>
          <c:extLst>
            <c:ext xmlns:c16="http://schemas.microsoft.com/office/drawing/2014/chart" uri="{C3380CC4-5D6E-409C-BE32-E72D297353CC}">
              <c16:uniqueId val="{00000465-6533-4801-91F4-C60974D7FA9E}"/>
            </c:ext>
          </c:extLst>
        </c:ser>
        <c:ser>
          <c:idx val="19"/>
          <c:order val="101"/>
          <c:tx>
            <c:v>PL16</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6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67-6533-4801-91F4-C60974D7FA9E}"/>
                </c:ext>
              </c:extLst>
            </c:dLbl>
            <c:dLbl>
              <c:idx val="2"/>
              <c:tx>
                <c:strRef>
                  <c:f>'Notes &amp; Phase Changes'!$E$18</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{F6CB988C-9488-402D-B813-827C1C0004D2}</c15:txfldGUID>
                      <c15:f>'Notes &amp; Phase Changes'!$E$18</c15:f>
                      <c15:dlblFieldTableCache>
                        <c:ptCount val="1"/>
                      </c15:dlblFieldTableCache>
                    </c15:dlblFTEntry>
                  </c15:dlblFieldTable>
                  <c15:showDataLabelsRange val="0"/>
                </c:ext>
                <c:ext xmlns:c16="http://schemas.microsoft.com/office/drawing/2014/chart" uri="{C3380CC4-5D6E-409C-BE32-E72D297353CC}">
                  <c16:uniqueId val="{00000468-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Changes'!$G$48:$G$50</c:f>
              <c:numCache>
                <c:formatCode>General</c:formatCode>
                <c:ptCount val="3"/>
                <c:pt idx="0">
                  <c:v>#N/A</c:v>
                </c:pt>
                <c:pt idx="1">
                  <c:v>#N/A</c:v>
                </c:pt>
                <c:pt idx="2">
                  <c:v>#N/A</c:v>
                </c:pt>
              </c:numCache>
            </c:numRef>
          </c:xVal>
          <c:yVal>
            <c:numRef>
              <c:f>'Notes &amp; Phase Changes'!$H$48:$H$50</c:f>
              <c:numCache>
                <c:formatCode>General</c:formatCode>
                <c:ptCount val="3"/>
                <c:pt idx="0">
                  <c:v>#N/A</c:v>
                </c:pt>
                <c:pt idx="1">
                  <c:v>#N/A</c:v>
                </c:pt>
                <c:pt idx="2">
                  <c:v>#N/A</c:v>
                </c:pt>
              </c:numCache>
            </c:numRef>
          </c:yVal>
          <c:smooth val="0"/>
          <c:extLst>
            <c:ext xmlns:c16="http://schemas.microsoft.com/office/drawing/2014/chart" uri="{C3380CC4-5D6E-409C-BE32-E72D297353CC}">
              <c16:uniqueId val="{00000469-6533-4801-91F4-C60974D7FA9E}"/>
            </c:ext>
          </c:extLst>
        </c:ser>
        <c:ser>
          <c:idx val="20"/>
          <c:order val="102"/>
          <c:tx>
            <c:v>PL17</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6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6B-6533-4801-91F4-C60974D7FA9E}"/>
                </c:ext>
              </c:extLst>
            </c:dLbl>
            <c:dLbl>
              <c:idx val="2"/>
              <c:tx>
                <c:strRef>
                  <c:f>'Notes &amp; Phase Changes'!$E$19</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{38D6DCC9-1662-470E-98CE-01770AD62CDF}</c15:txfldGUID>
                      <c15:f>'Notes &amp; Phase Changes'!$E$19</c15:f>
                      <c15:dlblFieldTableCache>
                        <c:ptCount val="1"/>
                      </c15:dlblFieldTableCache>
                    </c15:dlblFTEntry>
                  </c15:dlblFieldTable>
                  <c15:showDataLabelsRange val="0"/>
                </c:ext>
                <c:ext xmlns:c16="http://schemas.microsoft.com/office/drawing/2014/chart" uri="{C3380CC4-5D6E-409C-BE32-E72D297353CC}">
                  <c16:uniqueId val="{0000046C-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Changes'!$G$51:$G$53</c:f>
              <c:numCache>
                <c:formatCode>General</c:formatCode>
                <c:ptCount val="3"/>
                <c:pt idx="0">
                  <c:v>#N/A</c:v>
                </c:pt>
                <c:pt idx="1">
                  <c:v>#N/A</c:v>
                </c:pt>
                <c:pt idx="2">
                  <c:v>#N/A</c:v>
                </c:pt>
              </c:numCache>
            </c:numRef>
          </c:xVal>
          <c:yVal>
            <c:numRef>
              <c:f>'Notes &amp; Phase Changes'!$H$51:$H$53</c:f>
              <c:numCache>
                <c:formatCode>General</c:formatCode>
                <c:ptCount val="3"/>
                <c:pt idx="0">
                  <c:v>#N/A</c:v>
                </c:pt>
                <c:pt idx="1">
                  <c:v>#N/A</c:v>
                </c:pt>
                <c:pt idx="2">
                  <c:v>#N/A</c:v>
                </c:pt>
              </c:numCache>
            </c:numRef>
          </c:yVal>
          <c:smooth val="0"/>
          <c:extLst>
            <c:ext xmlns:c16="http://schemas.microsoft.com/office/drawing/2014/chart" uri="{C3380CC4-5D6E-409C-BE32-E72D297353CC}">
              <c16:uniqueId val="{0000046D-6533-4801-91F4-C60974D7FA9E}"/>
            </c:ext>
          </c:extLst>
        </c:ser>
        <c:ser>
          <c:idx val="21"/>
          <c:order val="103"/>
          <c:tx>
            <c:v>PL18</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6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6F-6533-4801-91F4-C60974D7FA9E}"/>
                </c:ext>
              </c:extLst>
            </c:dLbl>
            <c:dLbl>
              <c:idx val="2"/>
              <c:tx>
                <c:strRef>
                  <c:f>'Notes &amp; Phase Changes'!$E$20</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{C1D953AC-D472-455C-944E-58317B0D3282}</c15:txfldGUID>
                      <c15:f>'Notes &amp; Phase Changes'!$E$20</c15:f>
                      <c15:dlblFieldTableCache>
                        <c:ptCount val="1"/>
                      </c15:dlblFieldTableCache>
                    </c15:dlblFTEntry>
                  </c15:dlblFieldTable>
                  <c15:showDataLabelsRange val="0"/>
                </c:ext>
                <c:ext xmlns:c16="http://schemas.microsoft.com/office/drawing/2014/chart" uri="{C3380CC4-5D6E-409C-BE32-E72D297353CC}">
                  <c16:uniqueId val="{00000470-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Changes'!$G$54:$G$56</c:f>
              <c:numCache>
                <c:formatCode>General</c:formatCode>
                <c:ptCount val="3"/>
                <c:pt idx="0">
                  <c:v>#N/A</c:v>
                </c:pt>
                <c:pt idx="1">
                  <c:v>#N/A</c:v>
                </c:pt>
                <c:pt idx="2">
                  <c:v>#N/A</c:v>
                </c:pt>
              </c:numCache>
            </c:numRef>
          </c:xVal>
          <c:yVal>
            <c:numRef>
              <c:f>'Notes &amp; Phase Changes'!$H$54:$H$56</c:f>
              <c:numCache>
                <c:formatCode>General</c:formatCode>
                <c:ptCount val="3"/>
                <c:pt idx="0">
                  <c:v>#N/A</c:v>
                </c:pt>
                <c:pt idx="1">
                  <c:v>#N/A</c:v>
                </c:pt>
                <c:pt idx="2">
                  <c:v>#N/A</c:v>
                </c:pt>
              </c:numCache>
            </c:numRef>
          </c:yVal>
          <c:smooth val="0"/>
          <c:extLst>
            <c:ext xmlns:c16="http://schemas.microsoft.com/office/drawing/2014/chart" uri="{C3380CC4-5D6E-409C-BE32-E72D297353CC}">
              <c16:uniqueId val="{00000471-6533-4801-91F4-C60974D7FA9E}"/>
            </c:ext>
          </c:extLst>
        </c:ser>
        <c:ser>
          <c:idx val="22"/>
          <c:order val="104"/>
          <c:tx>
            <c:v>PL19</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7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73-6533-4801-91F4-C60974D7FA9E}"/>
                </c:ext>
              </c:extLst>
            </c:dLbl>
            <c:dLbl>
              <c:idx val="2"/>
              <c:tx>
                <c:strRef>
                  <c:f>'Notes &amp; Phase Changes'!$E$21</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{7FB84129-CAA9-4298-9C8B-E1064E27932E}</c15:txfldGUID>
                      <c15:f>'Notes &amp; Phase Changes'!$E$21</c15:f>
                      <c15:dlblFieldTableCache>
                        <c:ptCount val="1"/>
                      </c15:dlblFieldTableCache>
                    </c15:dlblFTEntry>
                  </c15:dlblFieldTable>
                  <c15:showDataLabelsRange val="0"/>
                </c:ext>
                <c:ext xmlns:c16="http://schemas.microsoft.com/office/drawing/2014/chart" uri="{C3380CC4-5D6E-409C-BE32-E72D297353CC}">
                  <c16:uniqueId val="{00000474-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Changes'!$G$57:$G$59</c:f>
              <c:numCache>
                <c:formatCode>General</c:formatCode>
                <c:ptCount val="3"/>
                <c:pt idx="0">
                  <c:v>#N/A</c:v>
                </c:pt>
                <c:pt idx="1">
                  <c:v>#N/A</c:v>
                </c:pt>
                <c:pt idx="2">
                  <c:v>#N/A</c:v>
                </c:pt>
              </c:numCache>
            </c:numRef>
          </c:xVal>
          <c:yVal>
            <c:numRef>
              <c:f>'Notes &amp; Phase Changes'!$H$57:$H$59</c:f>
              <c:numCache>
                <c:formatCode>General</c:formatCode>
                <c:ptCount val="3"/>
                <c:pt idx="0">
                  <c:v>#N/A</c:v>
                </c:pt>
                <c:pt idx="1">
                  <c:v>#N/A</c:v>
                </c:pt>
                <c:pt idx="2">
                  <c:v>#N/A</c:v>
                </c:pt>
              </c:numCache>
            </c:numRef>
          </c:yVal>
          <c:smooth val="0"/>
          <c:extLst>
            <c:ext xmlns:c16="http://schemas.microsoft.com/office/drawing/2014/chart" uri="{C3380CC4-5D6E-409C-BE32-E72D297353CC}">
              <c16:uniqueId val="{00000475-6533-4801-91F4-C60974D7FA9E}"/>
            </c:ext>
          </c:extLst>
        </c:ser>
        <c:ser>
          <c:idx val="23"/>
          <c:order val="105"/>
          <c:tx>
            <c:v>PL20</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7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77-6533-4801-91F4-C60974D7FA9E}"/>
                </c:ext>
              </c:extLst>
            </c:dLbl>
            <c:dLbl>
              <c:idx val="2"/>
              <c:tx>
                <c:strRef>
                  <c:f>'Notes &amp; Phase Changes'!$E$22</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{8FD68E91-E61E-41D0-B6C2-778294813D77}</c15:txfldGUID>
                      <c15:f>'Notes &amp; Phase Changes'!$E$22</c15:f>
                      <c15:dlblFieldTableCache>
                        <c:ptCount val="1"/>
                      </c15:dlblFieldTableCache>
                    </c15:dlblFTEntry>
                  </c15:dlblFieldTable>
                  <c15:showDataLabelsRange val="0"/>
                </c:ext>
                <c:ext xmlns:c16="http://schemas.microsoft.com/office/drawing/2014/chart" uri="{C3380CC4-5D6E-409C-BE32-E72D297353CC}">
                  <c16:uniqueId val="{00000478-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Changes'!$G$60:$G$62</c:f>
              <c:numCache>
                <c:formatCode>General</c:formatCode>
                <c:ptCount val="3"/>
                <c:pt idx="0">
                  <c:v>#N/A</c:v>
                </c:pt>
                <c:pt idx="1">
                  <c:v>#N/A</c:v>
                </c:pt>
                <c:pt idx="2">
                  <c:v>#N/A</c:v>
                </c:pt>
              </c:numCache>
            </c:numRef>
          </c:xVal>
          <c:yVal>
            <c:numRef>
              <c:f>'Notes &amp; Phase Changes'!$H$60:$H$62</c:f>
              <c:numCache>
                <c:formatCode>General</c:formatCode>
                <c:ptCount val="3"/>
                <c:pt idx="0">
                  <c:v>#N/A</c:v>
                </c:pt>
                <c:pt idx="1">
                  <c:v>#N/A</c:v>
                </c:pt>
                <c:pt idx="2">
                  <c:v>#N/A</c:v>
                </c:pt>
              </c:numCache>
            </c:numRef>
          </c:yVal>
          <c:smooth val="0"/>
          <c:extLst>
            <c:ext xmlns:c16="http://schemas.microsoft.com/office/drawing/2014/chart" uri="{C3380CC4-5D6E-409C-BE32-E72D297353CC}">
              <c16:uniqueId val="{00000479-6533-4801-91F4-C60974D7FA9E}"/>
            </c:ext>
          </c:extLst>
        </c:ser>
        <c:ser>
          <c:idx val="24"/>
          <c:order val="106"/>
          <c:tx>
            <c:v>PL21</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7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7B-6533-4801-91F4-C60974D7FA9E}"/>
                </c:ext>
              </c:extLst>
            </c:dLbl>
            <c:dLbl>
              <c:idx val="2"/>
              <c:tx>
                <c:strRef>
                  <c:f>'Notes &amp; Phase Changes'!$E$23</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{11271D6E-BAA7-4E3A-9F8A-31A90CC66DFB}</c15:txfldGUID>
                      <c15:f>'Notes &amp; Phase Changes'!$E$23</c15:f>
                      <c15:dlblFieldTableCache>
                        <c:ptCount val="1"/>
                      </c15:dlblFieldTableCache>
                    </c15:dlblFTEntry>
                  </c15:dlblFieldTable>
                  <c15:showDataLabelsRange val="0"/>
                </c:ext>
                <c:ext xmlns:c16="http://schemas.microsoft.com/office/drawing/2014/chart" uri="{C3380CC4-5D6E-409C-BE32-E72D297353CC}">
                  <c16:uniqueId val="{0000047C-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Changes'!$G$63:$G$65</c:f>
              <c:numCache>
                <c:formatCode>General</c:formatCode>
                <c:ptCount val="3"/>
                <c:pt idx="0">
                  <c:v>#N/A</c:v>
                </c:pt>
                <c:pt idx="1">
                  <c:v>#N/A</c:v>
                </c:pt>
                <c:pt idx="2">
                  <c:v>#N/A</c:v>
                </c:pt>
              </c:numCache>
            </c:numRef>
          </c:xVal>
          <c:yVal>
            <c:numRef>
              <c:f>'Notes &amp; Phase Changes'!$H$63:$H$65</c:f>
              <c:numCache>
                <c:formatCode>General</c:formatCode>
                <c:ptCount val="3"/>
                <c:pt idx="0">
                  <c:v>#N/A</c:v>
                </c:pt>
                <c:pt idx="1">
                  <c:v>#N/A</c:v>
                </c:pt>
                <c:pt idx="2">
                  <c:v>#N/A</c:v>
                </c:pt>
              </c:numCache>
            </c:numRef>
          </c:yVal>
          <c:smooth val="0"/>
          <c:extLst>
            <c:ext xmlns:c16="http://schemas.microsoft.com/office/drawing/2014/chart" uri="{C3380CC4-5D6E-409C-BE32-E72D297353CC}">
              <c16:uniqueId val="{0000047D-6533-4801-91F4-C60974D7FA9E}"/>
            </c:ext>
          </c:extLst>
        </c:ser>
        <c:ser>
          <c:idx val="25"/>
          <c:order val="107"/>
          <c:tx>
            <c:v>PL22</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7E-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7F-6533-4801-91F4-C60974D7FA9E}"/>
                </c:ext>
              </c:extLst>
            </c:dLbl>
            <c:dLbl>
              <c:idx val="2"/>
              <c:tx>
                <c:strRef>
                  <c:f>'Notes &amp; Phase Changes'!$E$24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{FAC161E0-2D5D-4696-B45B-2AE1868E32DF}</c15:txfldGUID>
                      <c15:f>'Notes &amp; Phase Changes'!$E$24</c15:f>
                      <c15:dlblFieldTableCache>
                        <c:ptCount val="1"/>
                      </c15:dlblFieldTableCache>
                    </c15:dlblFTEntry>
                  </c15:dlblFieldTable>
                  <c15:showDataLabelsRange val="0"/>
                </c:ext>
                <c:ext xmlns:c16="http://schemas.microsoft.com/office/drawing/2014/chart" uri="{C3380CC4-5D6E-409C-BE32-E72D297353CC}">
                  <c16:uniqueId val="{00000480-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Changes'!$G$66:$G$68</c:f>
              <c:numCache>
                <c:formatCode>General</c:formatCode>
                <c:ptCount val="3"/>
                <c:pt idx="0">
                  <c:v>#N/A</c:v>
                </c:pt>
                <c:pt idx="1">
                  <c:v>#N/A</c:v>
                </c:pt>
                <c:pt idx="2">
                  <c:v>#N/A</c:v>
                </c:pt>
              </c:numCache>
            </c:numRef>
          </c:xVal>
          <c:yVal>
            <c:numRef>
              <c:f>'Notes &amp; Phase Changes'!$H$66:$H$68</c:f>
              <c:numCache>
                <c:formatCode>General</c:formatCode>
                <c:ptCount val="3"/>
                <c:pt idx="0">
                  <c:v>#N/A</c:v>
                </c:pt>
                <c:pt idx="1">
                  <c:v>#N/A</c:v>
                </c:pt>
                <c:pt idx="2">
                  <c:v>#N/A</c:v>
                </c:pt>
              </c:numCache>
            </c:numRef>
          </c:yVal>
          <c:smooth val="0"/>
          <c:extLst>
            <c:ext xmlns:c16="http://schemas.microsoft.com/office/drawing/2014/chart" uri="{C3380CC4-5D6E-409C-BE32-E72D297353CC}">
              <c16:uniqueId val="{00000481-6533-4801-91F4-C60974D7FA9E}"/>
            </c:ext>
          </c:extLst>
        </c:ser>
        <c:ser>
          <c:idx val="26"/>
          <c:order val="108"/>
          <c:tx>
            <c:v>PL23</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82-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83-6533-4801-91F4-C60974D7FA9E}"/>
                </c:ext>
              </c:extLst>
            </c:dLbl>
            <c:dLbl>
              <c:idx val="2"/>
              <c:tx>
                <c:strRef>
                  <c:f>'Notes &amp; Phase Changes'!$E$25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{CA4DC77A-1735-4E65-A6AA-E6835ADEB9B9}</c15:txfldGUID>
                      <c15:f>'Notes &amp; Phase Changes'!$E$25</c15:f>
                      <c15:dlblFieldTableCache>
                        <c:ptCount val="1"/>
                      </c15:dlblFieldTableCache>
                    </c15:dlblFTEntry>
                  </c15:dlblFieldTable>
                  <c15:showDataLabelsRange val="0"/>
                </c:ext>
                <c:ext xmlns:c16="http://schemas.microsoft.com/office/drawing/2014/chart" uri="{C3380CC4-5D6E-409C-BE32-E72D297353CC}">
                  <c16:uniqueId val="{00000484-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Changes'!$G$69:$G$71</c:f>
              <c:numCache>
                <c:formatCode>General</c:formatCode>
                <c:ptCount val="3"/>
                <c:pt idx="0">
                  <c:v>#N/A</c:v>
                </c:pt>
                <c:pt idx="1">
                  <c:v>#N/A</c:v>
                </c:pt>
                <c:pt idx="2">
                  <c:v>#N/A</c:v>
                </c:pt>
              </c:numCache>
            </c:numRef>
          </c:xVal>
          <c:yVal>
            <c:numRef>
              <c:f>'Notes &amp; Phase Changes'!$H$69:$H$71</c:f>
              <c:numCache>
                <c:formatCode>General</c:formatCode>
                <c:ptCount val="3"/>
                <c:pt idx="0">
                  <c:v>#N/A</c:v>
                </c:pt>
                <c:pt idx="1">
                  <c:v>#N/A</c:v>
                </c:pt>
                <c:pt idx="2">
                  <c:v>#N/A</c:v>
                </c:pt>
              </c:numCache>
            </c:numRef>
          </c:yVal>
          <c:smooth val="0"/>
          <c:extLst>
            <c:ext xmlns:c16="http://schemas.microsoft.com/office/drawing/2014/chart" uri="{C3380CC4-5D6E-409C-BE32-E72D297353CC}">
              <c16:uniqueId val="{00000485-6533-4801-91F4-C60974D7FA9E}"/>
            </c:ext>
          </c:extLst>
        </c:ser>
        <c:ser>
          <c:idx val="27"/>
          <c:order val="109"/>
          <c:tx>
            <c:v>PL24</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86-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87-6533-4801-91F4-C60974D7FA9E}"/>
                </c:ext>
              </c:extLst>
            </c:dLbl>
            <c:dLbl>
              <c:idx val="2"/>
              <c:tx>
                <c:strRef>
                  <c:f>'Notes &amp; Phase Changes'!$E$26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{CD6F1F2A-0801-4E90-9463-84458AD59367}</c15:txfldGUID>
                      <c15:f>'Notes &amp; Phase Changes'!$E$26</c15:f>
                      <c15:dlblFieldTableCache>
                        <c:ptCount val="1"/>
                      </c15:dlblFieldTableCache>
                    </c15:dlblFTEntry>
                  </c15:dlblFieldTable>
                  <c15:showDataLabelsRange val="0"/>
                </c:ext>
                <c:ext xmlns:c16="http://schemas.microsoft.com/office/drawing/2014/chart" uri="{C3380CC4-5D6E-409C-BE32-E72D297353CC}">
                  <c16:uniqueId val="{00000488-6533-4801-91F4-C60974D7FA9E}"/>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Changes'!$G$72:$G$74</c:f>
              <c:numCache>
                <c:formatCode>General</c:formatCode>
                <c:ptCount val="3"/>
                <c:pt idx="0">
                  <c:v>#N/A</c:v>
                </c:pt>
                <c:pt idx="1">
                  <c:v>#N/A</c:v>
                </c:pt>
                <c:pt idx="2">
                  <c:v>#N/A</c:v>
                </c:pt>
              </c:numCache>
            </c:numRef>
          </c:xVal>
          <c:yVal>
            <c:numRef>
              <c:f>'Notes &amp; Phase Changes'!$H$72:$H$74</c:f>
              <c:numCache>
                <c:formatCode>General</c:formatCode>
                <c:ptCount val="3"/>
                <c:pt idx="0">
                  <c:v>#N/A</c:v>
                </c:pt>
                <c:pt idx="1">
                  <c:v>#N/A</c:v>
                </c:pt>
                <c:pt idx="2">
                  <c:v>#N/A</c:v>
                </c:pt>
              </c:numCache>
            </c:numRef>
          </c:yVal>
          <c:smooth val="0"/>
          <c:extLst>
            <c:ext xmlns:c16="http://schemas.microsoft.com/office/drawing/2014/chart" uri="{C3380CC4-5D6E-409C-BE32-E72D297353CC}">
              <c16:uniqueId val="{00000489-6533-4801-91F4-C60974D7FA9E}"/>
            </c:ext>
          </c:extLst>
        </c:ser>
        <c:ser>
          <c:idx val="28"/>
          <c:order val="110"/>
          <c:tx>
            <c:v>PL25</c:v>
          </c:tx>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48A-6533-4801-91F4-C60974D7FA9E}"/>
                </c:ext>
              </c:extLst>
            </c:dLbl>
            <c:dLbl>
              <c:idx val="1"/>
              <c:delete val="1"/>
              <c:extLst>
                <c:ext xmlns:c15="http://schemas.microsoft.com/office/drawing/2012/chart" uri="{CE6537A1-D6FC-4f65-9D91-7224C49458BB}"/>
                <c:ext xmlns:c16="http://schemas.microsoft.com/office/drawing/2014/chart" uri="{C3380CC4-5D6E-409C-BE32-E72D297353CC}">
                  <c16:uniqueId val="{0000048B-6533-4801-91F4-C60974D7FA9E}"/>
                </c:ext>
              </c:extLst>
            </c:dLbl>
            <c:dLbl>
              <c:idx val="2"/>
              <c:tx>
                <c:strRef>
                  <c:f>'Notes &amp; Phase Changes'!$E$27</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{4C18130B-6727-4401-BC64-81621D9B3894}</c15:txfldGUID>
                      <c15:f>'Notes &amp; Phase Changes'!$E$27</c15:f>
                      <c15:dlblFieldTableCache>
                        <c:ptCount val="1"/>
                      </c15:dlblFieldTableCache>
                    </c15:dlblFTEntry>
                  </c15:dlblFieldTable>
                  <c15:showDataLabelsRange val="0"/>
                </c:ext>
                <c:ext xmlns:c16="http://schemas.microsoft.com/office/drawing/2014/chart" uri="{C3380CC4-5D6E-409C-BE32-E72D297353CC}">
                  <c16:uniqueId val="{0000048C-6533-4801-91F4-C60974D7FA9E}"/>
                </c:ext>
              </c:extLst>
            </c:dLbl>
            <c:spPr>
              <a:noFill/>
              <a:ln w="25400">
                <a:noFill/>
              </a:ln>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Changes'!$G$75:$G$77</c:f>
              <c:numCache>
                <c:formatCode>General</c:formatCode>
                <c:ptCount val="3"/>
                <c:pt idx="0">
                  <c:v>#N/A</c:v>
                </c:pt>
                <c:pt idx="1">
                  <c:v>#N/A</c:v>
                </c:pt>
                <c:pt idx="2">
                  <c:v>#N/A</c:v>
                </c:pt>
              </c:numCache>
            </c:numRef>
          </c:xVal>
          <c:yVal>
            <c:numRef>
              <c:f>'Notes &amp; Phase Changes'!$H$75:$H$77</c:f>
              <c:numCache>
                <c:formatCode>General</c:formatCode>
                <c:ptCount val="3"/>
                <c:pt idx="0">
                  <c:v>#N/A</c:v>
                </c:pt>
                <c:pt idx="1">
                  <c:v>#N/A</c:v>
                </c:pt>
                <c:pt idx="2">
                  <c:v>#N/A</c:v>
                </c:pt>
              </c:numCache>
            </c:numRef>
          </c:yVal>
          <c:smooth val="0"/>
          <c:extLst>
            <c:ext xmlns:c16="http://schemas.microsoft.com/office/drawing/2014/chart" uri="{C3380CC4-5D6E-409C-BE32-E72D297353CC}">
              <c16:uniqueId val="{0000048D-6533-4801-91F4-C60974D7FA9E}"/>
            </c:ext>
          </c:extLst>
        </c:ser>
        <c:ser>
          <c:idx val="155"/>
          <c:order val="111"/>
          <c:tx>
            <c:v>AimStarUp1</c:v>
          </c:tx>
          <c:spPr>
            <a:ln w="12700">
              <a:solidFill>
                <a:srgbClr val="C0C0C0"/>
              </a:solidFill>
              <a:prstDash val="solid"/>
            </a:ln>
          </c:spPr>
          <c:marker>
            <c:symbol val="none"/>
          </c:marker>
          <c:dLbls>
            <c:dLbl>
              <c:idx val="0"/>
              <c:tx>
                <c:strRef>
                  <c:f>AIMSTARS!$I$3</c:f>
                  <c:strCache>
                    <c:ptCount val="1"/>
                    <c:pt idx="0">
                      <c:v>p</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{69B2D2EB-E0C3-46D3-8E2D-7731E33AD601}</c15:txfldGUID>
                      <c15:f>AIMSTARS!$I$3</c15:f>
                      <c15:dlblFieldTableCache>
                        <c:ptCount val="1"/>
                        <c:pt idx="0">
                          <c:v>p</c:v>
                        </c:pt>
                      </c15:dlblFieldTableCache>
                    </c15:dlblFTEntry>
                  </c15:dlblFieldTable>
                  <c15:showDataLabelsRange val="0"/>
                </c:ext>
                <c:ext xmlns:c16="http://schemas.microsoft.com/office/drawing/2014/chart" uri="{C3380CC4-5D6E-409C-BE32-E72D297353CC}">
                  <c16:uniqueId val="{0000048E-6533-4801-91F4-C60974D7FA9E}"/>
                </c:ext>
              </c:extLst>
            </c:dLbl>
            <c:spPr>
              <a:noFill/>
              <a:ln w="25400">
                <a:noFill/>
              </a:ln>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AIMSTARS!$G$3</c:f>
              <c:numCache>
                <c:formatCode>General</c:formatCode>
                <c:ptCount val="1"/>
                <c:pt idx="0">
                  <c:v>#N/A</c:v>
                </c:pt>
              </c:numCache>
            </c:numRef>
          </c:xVal>
          <c:yVal>
            <c:numRef>
              <c:f>AIMSTARS!$H$3</c:f>
              <c:numCache>
                <c:formatCode>General</c:formatCode>
                <c:ptCount val="1"/>
                <c:pt idx="0">
                  <c:v>0</c:v>
                </c:pt>
              </c:numCache>
            </c:numRef>
          </c:yVal>
          <c:smooth val="0"/>
          <c:extLst>
            <c:ext xmlns:c16="http://schemas.microsoft.com/office/drawing/2014/chart" uri="{C3380CC4-5D6E-409C-BE32-E72D297353CC}">
              <c16:uniqueId val="{0000048F-6533-4801-91F4-C60974D7FA9E}"/>
            </c:ext>
          </c:extLst>
        </c:ser>
        <c:ser>
          <c:idx val="156"/>
          <c:order val="112"/>
          <c:tx>
            <c:v>AimStarUp2</c:v>
          </c:tx>
          <c:spPr>
            <a:ln w="12700">
              <a:solidFill>
                <a:srgbClr val="C0C0C0"/>
              </a:solidFill>
              <a:prstDash val="solid"/>
            </a:ln>
          </c:spPr>
          <c:marker>
            <c:symbol val="none"/>
          </c:marker>
          <c:dLbls>
            <c:dLbl>
              <c:idx val="0"/>
              <c:tx>
                <c:strRef>
                  <c:f>AIMSTARS!$I$4</c:f>
                  <c:strCache>
                    <c:ptCount val="1"/>
                    <c:pt idx="0">
                      <c:v>p</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{0CBE306D-3B77-4DA8-9A24-C042C81A5B08}</c15:txfldGUID>
                      <c15:f>AIMSTARS!$I$4</c15:f>
                      <c15:dlblFieldTableCache>
                        <c:ptCount val="1"/>
                        <c:pt idx="0">
                          <c:v>p</c:v>
                        </c:pt>
                      </c15:dlblFieldTableCache>
                    </c15:dlblFTEntry>
                  </c15:dlblFieldTable>
                  <c15:showDataLabelsRange val="0"/>
                </c:ext>
                <c:ext xmlns:c16="http://schemas.microsoft.com/office/drawing/2014/chart" uri="{C3380CC4-5D6E-409C-BE32-E72D297353CC}">
                  <c16:uniqueId val="{00000490-6533-4801-91F4-C60974D7FA9E}"/>
                </c:ext>
              </c:extLst>
            </c:dLbl>
            <c:spPr>
              <a:noFill/>
              <a:ln w="25400">
                <a:noFill/>
              </a:ln>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AIMSTARS!$G$4</c:f>
              <c:numCache>
                <c:formatCode>General</c:formatCode>
                <c:ptCount val="1"/>
                <c:pt idx="0">
                  <c:v>#N/A</c:v>
                </c:pt>
              </c:numCache>
            </c:numRef>
          </c:xVal>
          <c:yVal>
            <c:numRef>
              <c:f>AIMSTARS!$H$4</c:f>
              <c:numCache>
                <c:formatCode>General</c:formatCode>
                <c:ptCount val="1"/>
                <c:pt idx="0">
                  <c:v>0</c:v>
                </c:pt>
              </c:numCache>
            </c:numRef>
          </c:yVal>
          <c:smooth val="0"/>
          <c:extLst>
            <c:ext xmlns:c16="http://schemas.microsoft.com/office/drawing/2014/chart" uri="{C3380CC4-5D6E-409C-BE32-E72D297353CC}">
              <c16:uniqueId val="{00000491-6533-4801-91F4-C60974D7FA9E}"/>
            </c:ext>
          </c:extLst>
        </c:ser>
        <c:ser>
          <c:idx val="157"/>
          <c:order val="113"/>
          <c:tx>
            <c:v>AimStarUp3</c:v>
          </c:tx>
          <c:spPr>
            <a:ln w="12700">
              <a:solidFill>
                <a:srgbClr val="C0C0C0"/>
              </a:solidFill>
              <a:prstDash val="solid"/>
            </a:ln>
          </c:spPr>
          <c:marker>
            <c:symbol val="none"/>
          </c:marker>
          <c:dLbls>
            <c:dLbl>
              <c:idx val="0"/>
              <c:tx>
                <c:strRef>
                  <c:f>AIMSTARS!$I$5</c:f>
                  <c:strCache>
                    <c:ptCount val="1"/>
                    <c:pt idx="0">
                      <c:v>p</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{AC2A0C89-7ED8-480E-8C5A-F4D03F77F9EA}</c15:txfldGUID>
                      <c15:f>AIMSTARS!$I$5</c15:f>
                      <c15:dlblFieldTableCache>
                        <c:ptCount val="1"/>
                        <c:pt idx="0">
                          <c:v>p</c:v>
                        </c:pt>
                      </c15:dlblFieldTableCache>
                    </c15:dlblFTEntry>
                  </c15:dlblFieldTable>
                  <c15:showDataLabelsRange val="0"/>
                </c:ext>
                <c:ext xmlns:c16="http://schemas.microsoft.com/office/drawing/2014/chart" uri="{C3380CC4-5D6E-409C-BE32-E72D297353CC}">
                  <c16:uniqueId val="{00000492-6533-4801-91F4-C60974D7FA9E}"/>
                </c:ext>
              </c:extLst>
            </c:dLbl>
            <c:spPr>
              <a:noFill/>
              <a:ln w="25400">
                <a:noFill/>
              </a:ln>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AIMSTARS!$G$5</c:f>
              <c:numCache>
                <c:formatCode>General</c:formatCode>
                <c:ptCount val="1"/>
                <c:pt idx="0">
                  <c:v>#N/A</c:v>
                </c:pt>
              </c:numCache>
            </c:numRef>
          </c:xVal>
          <c:yVal>
            <c:numRef>
              <c:f>AIMSTARS!$H$5</c:f>
              <c:numCache>
                <c:formatCode>General</c:formatCode>
                <c:ptCount val="1"/>
                <c:pt idx="0">
                  <c:v>0</c:v>
                </c:pt>
              </c:numCache>
            </c:numRef>
          </c:yVal>
          <c:smooth val="0"/>
          <c:extLst>
            <c:ext xmlns:c16="http://schemas.microsoft.com/office/drawing/2014/chart" uri="{C3380CC4-5D6E-409C-BE32-E72D297353CC}">
              <c16:uniqueId val="{00000493-6533-4801-91F4-C60974D7FA9E}"/>
            </c:ext>
          </c:extLst>
        </c:ser>
        <c:ser>
          <c:idx val="158"/>
          <c:order val="114"/>
          <c:tx>
            <c:v>AimStarUp4</c:v>
          </c:tx>
          <c:spPr>
            <a:ln w="12700">
              <a:solidFill>
                <a:srgbClr val="C0C0C0"/>
              </a:solidFill>
              <a:prstDash val="solid"/>
            </a:ln>
          </c:spPr>
          <c:marker>
            <c:symbol val="none"/>
          </c:marker>
          <c:dLbls>
            <c:dLbl>
              <c:idx val="0"/>
              <c:tx>
                <c:strRef>
                  <c:f>AIMSTARS!$I$6</c:f>
                  <c:strCache>
                    <c:ptCount val="1"/>
                    <c:pt idx="0">
                      <c:v>p</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{C336FAF2-2B45-4E19-9479-3595ACF8DE13}</c15:txfldGUID>
                      <c15:f>AIMSTARS!$I$6</c15:f>
                      <c15:dlblFieldTableCache>
                        <c:ptCount val="1"/>
                        <c:pt idx="0">
                          <c:v>p</c:v>
                        </c:pt>
                      </c15:dlblFieldTableCache>
                    </c15:dlblFTEntry>
                  </c15:dlblFieldTable>
                  <c15:showDataLabelsRange val="0"/>
                </c:ext>
                <c:ext xmlns:c16="http://schemas.microsoft.com/office/drawing/2014/chart" uri="{C3380CC4-5D6E-409C-BE32-E72D297353CC}">
                  <c16:uniqueId val="{00000494-6533-4801-91F4-C60974D7FA9E}"/>
                </c:ext>
              </c:extLst>
            </c:dLbl>
            <c:spPr>
              <a:noFill/>
              <a:ln w="25400">
                <a:noFill/>
              </a:ln>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AIMSTARS!$G$6</c:f>
              <c:numCache>
                <c:formatCode>General</c:formatCode>
                <c:ptCount val="1"/>
                <c:pt idx="0">
                  <c:v>#N/A</c:v>
                </c:pt>
              </c:numCache>
            </c:numRef>
          </c:xVal>
          <c:yVal>
            <c:numRef>
              <c:f>AIMSTARS!$H$6</c:f>
              <c:numCache>
                <c:formatCode>General</c:formatCode>
                <c:ptCount val="1"/>
                <c:pt idx="0">
                  <c:v>0</c:v>
                </c:pt>
              </c:numCache>
            </c:numRef>
          </c:yVal>
          <c:smooth val="0"/>
          <c:extLst>
            <c:ext xmlns:c16="http://schemas.microsoft.com/office/drawing/2014/chart" uri="{C3380CC4-5D6E-409C-BE32-E72D297353CC}">
              <c16:uniqueId val="{00000495-6533-4801-91F4-C60974D7FA9E}"/>
            </c:ext>
          </c:extLst>
        </c:ser>
        <c:ser>
          <c:idx val="159"/>
          <c:order val="115"/>
          <c:tx>
            <c:v>AimStarUp5</c:v>
          </c:tx>
          <c:spPr>
            <a:ln w="12700">
              <a:solidFill>
                <a:srgbClr val="C0C0C0"/>
              </a:solidFill>
              <a:prstDash val="solid"/>
            </a:ln>
          </c:spPr>
          <c:marker>
            <c:symbol val="none"/>
          </c:marker>
          <c:dLbls>
            <c:dLbl>
              <c:idx val="0"/>
              <c:tx>
                <c:strRef>
                  <c:f>AIMSTARS!$I$7</c:f>
                  <c:strCache>
                    <c:ptCount val="1"/>
                    <c:pt idx="0">
                      <c:v>p</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{706A87BF-D022-4C0A-B667-3D5E43427ECC}</c15:txfldGUID>
                      <c15:f>AIMSTARS!$I$7</c15:f>
                      <c15:dlblFieldTableCache>
                        <c:ptCount val="1"/>
                        <c:pt idx="0">
                          <c:v>p</c:v>
                        </c:pt>
                      </c15:dlblFieldTableCache>
                    </c15:dlblFTEntry>
                  </c15:dlblFieldTable>
                  <c15:showDataLabelsRange val="0"/>
                </c:ext>
                <c:ext xmlns:c16="http://schemas.microsoft.com/office/drawing/2014/chart" uri="{C3380CC4-5D6E-409C-BE32-E72D297353CC}">
                  <c16:uniqueId val="{00000496-6533-4801-91F4-C60974D7FA9E}"/>
                </c:ext>
              </c:extLst>
            </c:dLbl>
            <c:spPr>
              <a:noFill/>
              <a:ln w="25400">
                <a:noFill/>
              </a:ln>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AIMSTARS!$G$7</c:f>
              <c:numCache>
                <c:formatCode>General</c:formatCode>
                <c:ptCount val="1"/>
                <c:pt idx="0">
                  <c:v>#N/A</c:v>
                </c:pt>
              </c:numCache>
            </c:numRef>
          </c:xVal>
          <c:yVal>
            <c:numRef>
              <c:f>AIMSTARS!$H$7</c:f>
              <c:numCache>
                <c:formatCode>General</c:formatCode>
                <c:ptCount val="1"/>
                <c:pt idx="0">
                  <c:v>0</c:v>
                </c:pt>
              </c:numCache>
            </c:numRef>
          </c:yVal>
          <c:smooth val="0"/>
          <c:extLst>
            <c:ext xmlns:c16="http://schemas.microsoft.com/office/drawing/2014/chart" uri="{C3380CC4-5D6E-409C-BE32-E72D297353CC}">
              <c16:uniqueId val="{00000497-6533-4801-91F4-C60974D7FA9E}"/>
            </c:ext>
          </c:extLst>
        </c:ser>
        <c:ser>
          <c:idx val="160"/>
          <c:order val="116"/>
          <c:tx>
            <c:v>AimStarDown1</c:v>
          </c:tx>
          <c:spPr>
            <a:ln w="12700">
              <a:solidFill>
                <a:srgbClr val="C0C0C0"/>
              </a:solidFill>
              <a:prstDash val="solid"/>
            </a:ln>
          </c:spPr>
          <c:marker>
            <c:symbol val="none"/>
          </c:marker>
          <c:dLbls>
            <c:dLbl>
              <c:idx val="0"/>
              <c:tx>
                <c:strRef>
                  <c:f>AIMSTARS!$L$3</c:f>
                  <c:strCache>
                    <c:ptCount val="1"/>
                    <c:pt idx="0">
                      <c:v>q</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{728013D6-F2FF-47EB-8F63-9CDFAB89C00E}</c15:txfldGUID>
                      <c15:f>AIMSTARS!$L$3</c15:f>
                      <c15:dlblFieldTableCache>
                        <c:ptCount val="1"/>
                        <c:pt idx="0">
                          <c:v>q</c:v>
                        </c:pt>
                      </c15:dlblFieldTableCache>
                    </c15:dlblFTEntry>
                  </c15:dlblFieldTable>
                  <c15:showDataLabelsRange val="0"/>
                </c:ext>
                <c:ext xmlns:c16="http://schemas.microsoft.com/office/drawing/2014/chart" uri="{C3380CC4-5D6E-409C-BE32-E72D297353CC}">
                  <c16:uniqueId val="{00000498-6533-4801-91F4-C60974D7FA9E}"/>
                </c:ext>
              </c:extLst>
            </c:dLbl>
            <c:spPr>
              <a:noFill/>
              <a:ln w="25400">
                <a:noFill/>
              </a:ln>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AIMSTARS!$J$3</c:f>
              <c:numCache>
                <c:formatCode>General</c:formatCode>
                <c:ptCount val="1"/>
                <c:pt idx="0">
                  <c:v>#N/A</c:v>
                </c:pt>
              </c:numCache>
            </c:numRef>
          </c:xVal>
          <c:yVal>
            <c:numRef>
              <c:f>AIMSTARS!$K$3</c:f>
              <c:numCache>
                <c:formatCode>General</c:formatCode>
                <c:ptCount val="1"/>
                <c:pt idx="0">
                  <c:v>0</c:v>
                </c:pt>
              </c:numCache>
            </c:numRef>
          </c:yVal>
          <c:smooth val="0"/>
          <c:extLst>
            <c:ext xmlns:c16="http://schemas.microsoft.com/office/drawing/2014/chart" uri="{C3380CC4-5D6E-409C-BE32-E72D297353CC}">
              <c16:uniqueId val="{00000499-6533-4801-91F4-C60974D7FA9E}"/>
            </c:ext>
          </c:extLst>
        </c:ser>
        <c:ser>
          <c:idx val="161"/>
          <c:order val="117"/>
          <c:tx>
            <c:v>AimStarDown2</c:v>
          </c:tx>
          <c:spPr>
            <a:ln w="12700">
              <a:solidFill>
                <a:srgbClr val="C0C0C0"/>
              </a:solidFill>
              <a:prstDash val="solid"/>
            </a:ln>
          </c:spPr>
          <c:marker>
            <c:symbol val="none"/>
          </c:marker>
          <c:dLbls>
            <c:dLbl>
              <c:idx val="0"/>
              <c:tx>
                <c:strRef>
                  <c:f>AIMSTARS!$L$4</c:f>
                  <c:strCache>
                    <c:ptCount val="1"/>
                    <c:pt idx="0">
                      <c:v>q</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{CF1D79B4-8B88-490B-B3A1-D0FAD6409420}</c15:txfldGUID>
                      <c15:f>AIMSTARS!$L$4</c15:f>
                      <c15:dlblFieldTableCache>
                        <c:ptCount val="1"/>
                        <c:pt idx="0">
                          <c:v>q</c:v>
                        </c:pt>
                      </c15:dlblFieldTableCache>
                    </c15:dlblFTEntry>
                  </c15:dlblFieldTable>
                  <c15:showDataLabelsRange val="0"/>
                </c:ext>
                <c:ext xmlns:c16="http://schemas.microsoft.com/office/drawing/2014/chart" uri="{C3380CC4-5D6E-409C-BE32-E72D297353CC}">
                  <c16:uniqueId val="{0000049A-6533-4801-91F4-C60974D7FA9E}"/>
                </c:ext>
              </c:extLst>
            </c:dLbl>
            <c:spPr>
              <a:noFill/>
              <a:ln w="25400">
                <a:noFill/>
              </a:ln>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AIMSTARS!$J$4</c:f>
              <c:numCache>
                <c:formatCode>General</c:formatCode>
                <c:ptCount val="1"/>
                <c:pt idx="0">
                  <c:v>#N/A</c:v>
                </c:pt>
              </c:numCache>
            </c:numRef>
          </c:xVal>
          <c:yVal>
            <c:numRef>
              <c:f>AIMSTARS!$K$4</c:f>
              <c:numCache>
                <c:formatCode>General</c:formatCode>
                <c:ptCount val="1"/>
                <c:pt idx="0">
                  <c:v>0</c:v>
                </c:pt>
              </c:numCache>
            </c:numRef>
          </c:yVal>
          <c:smooth val="0"/>
          <c:extLst>
            <c:ext xmlns:c16="http://schemas.microsoft.com/office/drawing/2014/chart" uri="{C3380CC4-5D6E-409C-BE32-E72D297353CC}">
              <c16:uniqueId val="{0000049B-6533-4801-91F4-C60974D7FA9E}"/>
            </c:ext>
          </c:extLst>
        </c:ser>
        <c:ser>
          <c:idx val="162"/>
          <c:order val="118"/>
          <c:tx>
            <c:v>AimStarDown3</c:v>
          </c:tx>
          <c:spPr>
            <a:ln w="12700">
              <a:solidFill>
                <a:srgbClr val="C0C0C0"/>
              </a:solidFill>
              <a:prstDash val="solid"/>
            </a:ln>
          </c:spPr>
          <c:marker>
            <c:symbol val="none"/>
          </c:marker>
          <c:dLbls>
            <c:dLbl>
              <c:idx val="0"/>
              <c:tx>
                <c:strRef>
                  <c:f>AIMSTARS!$L$5</c:f>
                  <c:strCache>
                    <c:ptCount val="1"/>
                    <c:pt idx="0">
                      <c:v>q</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{2505ED2D-FA0E-467D-83FE-0D90F7AFC6F5}</c15:txfldGUID>
                      <c15:f>AIMSTARS!$L$5</c15:f>
                      <c15:dlblFieldTableCache>
                        <c:ptCount val="1"/>
                        <c:pt idx="0">
                          <c:v>q</c:v>
                        </c:pt>
                      </c15:dlblFieldTableCache>
                    </c15:dlblFTEntry>
                  </c15:dlblFieldTable>
                  <c15:showDataLabelsRange val="0"/>
                </c:ext>
                <c:ext xmlns:c16="http://schemas.microsoft.com/office/drawing/2014/chart" uri="{C3380CC4-5D6E-409C-BE32-E72D297353CC}">
                  <c16:uniqueId val="{0000049C-6533-4801-91F4-C60974D7FA9E}"/>
                </c:ext>
              </c:extLst>
            </c:dLbl>
            <c:spPr>
              <a:noFill/>
              <a:ln w="25400">
                <a:noFill/>
              </a:ln>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AIMSTARS!$J$5</c:f>
              <c:numCache>
                <c:formatCode>General</c:formatCode>
                <c:ptCount val="1"/>
                <c:pt idx="0">
                  <c:v>#N/A</c:v>
                </c:pt>
              </c:numCache>
            </c:numRef>
          </c:xVal>
          <c:yVal>
            <c:numRef>
              <c:f>AIMSTARS!$K$5</c:f>
              <c:numCache>
                <c:formatCode>General</c:formatCode>
                <c:ptCount val="1"/>
                <c:pt idx="0">
                  <c:v>0</c:v>
                </c:pt>
              </c:numCache>
            </c:numRef>
          </c:yVal>
          <c:smooth val="0"/>
          <c:extLst>
            <c:ext xmlns:c16="http://schemas.microsoft.com/office/drawing/2014/chart" uri="{C3380CC4-5D6E-409C-BE32-E72D297353CC}">
              <c16:uniqueId val="{0000049D-6533-4801-91F4-C60974D7FA9E}"/>
            </c:ext>
          </c:extLst>
        </c:ser>
        <c:ser>
          <c:idx val="163"/>
          <c:order val="119"/>
          <c:tx>
            <c:v>AimStarDown4</c:v>
          </c:tx>
          <c:spPr>
            <a:ln w="12700">
              <a:solidFill>
                <a:srgbClr val="C0C0C0"/>
              </a:solidFill>
              <a:prstDash val="solid"/>
            </a:ln>
          </c:spPr>
          <c:marker>
            <c:symbol val="none"/>
          </c:marker>
          <c:dLbls>
            <c:dLbl>
              <c:idx val="0"/>
              <c:tx>
                <c:strRef>
                  <c:f>AIMSTARS!$L$6</c:f>
                  <c:strCache>
                    <c:ptCount val="1"/>
                    <c:pt idx="0">
                      <c:v>q</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{638237ED-E517-4C85-AD9B-07BE2808D606}</c15:txfldGUID>
                      <c15:f>AIMSTARS!$L$6</c15:f>
                      <c15:dlblFieldTableCache>
                        <c:ptCount val="1"/>
                        <c:pt idx="0">
                          <c:v>q</c:v>
                        </c:pt>
                      </c15:dlblFieldTableCache>
                    </c15:dlblFTEntry>
                  </c15:dlblFieldTable>
                  <c15:showDataLabelsRange val="0"/>
                </c:ext>
                <c:ext xmlns:c16="http://schemas.microsoft.com/office/drawing/2014/chart" uri="{C3380CC4-5D6E-409C-BE32-E72D297353CC}">
                  <c16:uniqueId val="{0000049E-6533-4801-91F4-C60974D7FA9E}"/>
                </c:ext>
              </c:extLst>
            </c:dLbl>
            <c:spPr>
              <a:noFill/>
              <a:ln w="25400">
                <a:noFill/>
              </a:ln>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AIMSTARS!$J$6</c:f>
              <c:numCache>
                <c:formatCode>General</c:formatCode>
                <c:ptCount val="1"/>
                <c:pt idx="0">
                  <c:v>#N/A</c:v>
                </c:pt>
              </c:numCache>
            </c:numRef>
          </c:xVal>
          <c:yVal>
            <c:numRef>
              <c:f>AIMSTARS!$K$6</c:f>
              <c:numCache>
                <c:formatCode>General</c:formatCode>
                <c:ptCount val="1"/>
                <c:pt idx="0">
                  <c:v>0</c:v>
                </c:pt>
              </c:numCache>
            </c:numRef>
          </c:yVal>
          <c:smooth val="0"/>
          <c:extLst>
            <c:ext xmlns:c16="http://schemas.microsoft.com/office/drawing/2014/chart" uri="{C3380CC4-5D6E-409C-BE32-E72D297353CC}">
              <c16:uniqueId val="{0000049F-6533-4801-91F4-C60974D7FA9E}"/>
            </c:ext>
          </c:extLst>
        </c:ser>
        <c:ser>
          <c:idx val="164"/>
          <c:order val="120"/>
          <c:tx>
            <c:v>AimStarDown5</c:v>
          </c:tx>
          <c:spPr>
            <a:ln w="12700">
              <a:solidFill>
                <a:srgbClr val="C0C0C0"/>
              </a:solidFill>
              <a:prstDash val="solid"/>
            </a:ln>
          </c:spPr>
          <c:marker>
            <c:symbol val="none"/>
          </c:marker>
          <c:dLbls>
            <c:dLbl>
              <c:idx val="0"/>
              <c:tx>
                <c:strRef>
                  <c:f>AIMSTARS!$L$7</c:f>
                  <c:strCache>
                    <c:ptCount val="1"/>
                    <c:pt idx="0">
                      <c:v>q</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{FAC56AE2-FDD0-4403-A7FE-BE08DF365C41}</c15:txfldGUID>
                      <c15:f>AIMSTARS!$L$7</c15:f>
                      <c15:dlblFieldTableCache>
                        <c:ptCount val="1"/>
                        <c:pt idx="0">
                          <c:v>q</c:v>
                        </c:pt>
                      </c15:dlblFieldTableCache>
                    </c15:dlblFTEntry>
                  </c15:dlblFieldTable>
                  <c15:showDataLabelsRange val="0"/>
                </c:ext>
                <c:ext xmlns:c16="http://schemas.microsoft.com/office/drawing/2014/chart" uri="{C3380CC4-5D6E-409C-BE32-E72D297353CC}">
                  <c16:uniqueId val="{000004A0-6533-4801-91F4-C60974D7FA9E}"/>
                </c:ext>
              </c:extLst>
            </c:dLbl>
            <c:spPr>
              <a:noFill/>
              <a:ln w="25400">
                <a:noFill/>
              </a:ln>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AIMSTARS!$J$7</c:f>
              <c:numCache>
                <c:formatCode>General</c:formatCode>
                <c:ptCount val="1"/>
                <c:pt idx="0">
                  <c:v>#N/A</c:v>
                </c:pt>
              </c:numCache>
            </c:numRef>
          </c:xVal>
          <c:yVal>
            <c:numRef>
              <c:f>AIMSTARS!$K$7</c:f>
              <c:numCache>
                <c:formatCode>General</c:formatCode>
                <c:ptCount val="1"/>
                <c:pt idx="0">
                  <c:v>0</c:v>
                </c:pt>
              </c:numCache>
            </c:numRef>
          </c:yVal>
          <c:smooth val="0"/>
          <c:extLst>
            <c:ext xmlns:c16="http://schemas.microsoft.com/office/drawing/2014/chart" uri="{C3380CC4-5D6E-409C-BE32-E72D297353CC}">
              <c16:uniqueId val="{000004A1-6533-4801-91F4-C60974D7FA9E}"/>
            </c:ext>
          </c:extLst>
        </c:ser>
        <c:ser>
          <c:idx val="32"/>
          <c:order val="121"/>
          <c:tx>
            <c:v>Mid_Log_Scale</c:v>
          </c:tx>
          <c:spPr>
            <a:ln w="28575">
              <a:noFill/>
            </a:ln>
          </c:spPr>
          <c:marker>
            <c:symbol val="none"/>
          </c:marker>
          <c:dLbls>
            <c:spPr>
              <a:noFill/>
              <a:ln>
                <a:noFill/>
              </a:ln>
              <a:effectLst/>
            </c:sp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Progress_Record!$AZ$7:$AZ$12</c:f>
              <c:numCache>
                <c:formatCode>General</c:formatCode>
                <c:ptCount val="6"/>
                <c:pt idx="0">
                  <c:v>0</c:v>
                </c:pt>
                <c:pt idx="1">
                  <c:v>0</c:v>
                </c:pt>
                <c:pt idx="2">
                  <c:v>0</c:v>
                </c:pt>
                <c:pt idx="3">
                  <c:v>0</c:v>
                </c:pt>
                <c:pt idx="4">
                  <c:v>0</c:v>
                </c:pt>
                <c:pt idx="5">
                  <c:v>0</c:v>
                </c:pt>
              </c:numCache>
            </c:numRef>
          </c:xVal>
          <c:yVal>
            <c:numRef>
              <c:f>Progress_Record!$BA$7:$BA$12</c:f>
              <c:numCache>
                <c:formatCode>General</c:formatCode>
                <c:ptCount val="6"/>
                <c:pt idx="0">
                  <c:v>0.5</c:v>
                </c:pt>
                <c:pt idx="1">
                  <c:v>5</c:v>
                </c:pt>
                <c:pt idx="2">
                  <c:v>50</c:v>
                </c:pt>
                <c:pt idx="3">
                  <c:v>500</c:v>
                </c:pt>
                <c:pt idx="4">
                  <c:v>5000</c:v>
                </c:pt>
                <c:pt idx="5">
                  <c:v>50000</c:v>
                </c:pt>
              </c:numCache>
            </c:numRef>
          </c:yVal>
          <c:smooth val="0"/>
          <c:extLst>
            <c:ext xmlns:c16="http://schemas.microsoft.com/office/drawing/2014/chart" uri="{C3380CC4-5D6E-409C-BE32-E72D297353CC}">
              <c16:uniqueId val="{000004A2-6533-4801-91F4-C60974D7FA9E}"/>
            </c:ext>
          </c:extLst>
        </c:ser>
        <c:ser>
          <c:idx val="7"/>
          <c:order val="122"/>
          <c:tx>
            <c:v>CelCeiling1</c:v>
          </c:tx>
          <c:spPr>
            <a:ln w="12700">
              <a:solidFill>
                <a:srgbClr val="C00000"/>
              </a:solidFill>
            </a:ln>
          </c:spPr>
          <c:marker>
            <c:symbol val="none"/>
          </c:marker>
          <c:xVal>
            <c:numRef>
              <c:f>'Celeration lines'!$D$45:$D$46</c:f>
              <c:numCache>
                <c:formatCode>General</c:formatCode>
                <c:ptCount val="2"/>
              </c:numCache>
            </c:numRef>
          </c:xVal>
          <c:yVal>
            <c:numRef>
              <c:f>'Celeration lines'!$E$45:$E$46</c:f>
              <c:numCache>
                <c:formatCode>0.00</c:formatCode>
                <c:ptCount val="2"/>
              </c:numCache>
            </c:numRef>
          </c:yVal>
          <c:smooth val="0"/>
          <c:extLst>
            <c:ext xmlns:c16="http://schemas.microsoft.com/office/drawing/2014/chart" uri="{C3380CC4-5D6E-409C-BE32-E72D297353CC}">
              <c16:uniqueId val="{000004A3-6533-4801-91F4-C60974D7FA9E}"/>
            </c:ext>
          </c:extLst>
        </c:ser>
        <c:ser>
          <c:idx val="54"/>
          <c:order val="123"/>
          <c:tx>
            <c:v>CelCeilingFore1</c:v>
          </c:tx>
          <c:spPr>
            <a:ln w="12700">
              <a:solidFill>
                <a:srgbClr val="C00000"/>
              </a:solidFill>
              <a:prstDash val="sysDash"/>
            </a:ln>
          </c:spPr>
          <c:marker>
            <c:symbol val="none"/>
          </c:marker>
          <c:dLbls>
            <c:dLbl>
              <c:idx val="1"/>
              <c:layout>
                <c:manualLayout>
                  <c:x val="4.256014988622726E-3"/>
                  <c:y val="7.3060174408753656E-5"/>
                </c:manualLayout>
              </c:layout>
              <c:tx>
                <c:strRef>
                  <c:f>'Celeration lines'!$L$45</c:f>
                  <c:strCache>
                    <c:ptCount val="1"/>
                  </c:strCache>
                </c:strRef>
              </c:tx>
              <c:spPr>
                <a:solidFill>
                  <a:schemeClr val="bg1">
                    <a:lumMod val="95000"/>
                  </a:schemeClr>
                </a:solidFill>
              </c:spPr>
              <c:txPr>
                <a:bodyPr/>
                <a:lstStyle/>
                <a:p>
                  <a:pPr>
                    <a:defRPr sz="800">
                      <a:solidFill>
                        <a:srgbClr val="C0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{2D73588F-2DE9-4ECD-8874-96FD08F9C0D3}</c15:txfldGUID>
                      <c15:f>'Celeration lines'!$L$45</c15:f>
                      <c15:dlblFieldTableCache>
                        <c:ptCount val="1"/>
                      </c15:dlblFieldTableCache>
                    </c15:dlblFTEntry>
                  </c15:dlblFieldTable>
                  <c15:showDataLabelsRange val="0"/>
                </c:ext>
                <c:ext xmlns:c16="http://schemas.microsoft.com/office/drawing/2014/chart" uri="{C3380CC4-5D6E-409C-BE32-E72D297353CC}">
                  <c16:uniqueId val="{000004A4-6533-4801-91F4-C60974D7FA9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lines'!$F$45:$F$46</c:f>
              <c:numCache>
                <c:formatCode>0</c:formatCode>
                <c:ptCount val="2"/>
              </c:numCache>
            </c:numRef>
          </c:xVal>
          <c:yVal>
            <c:numRef>
              <c:f>'Celeration lines'!$G$45:$G$46</c:f>
              <c:numCache>
                <c:formatCode>0.00</c:formatCode>
                <c:ptCount val="2"/>
              </c:numCache>
            </c:numRef>
          </c:yVal>
          <c:smooth val="0"/>
          <c:extLst>
            <c:ext xmlns:c16="http://schemas.microsoft.com/office/drawing/2014/chart" uri="{C3380CC4-5D6E-409C-BE32-E72D297353CC}">
              <c16:uniqueId val="{000004A5-6533-4801-91F4-C60974D7FA9E}"/>
            </c:ext>
          </c:extLst>
        </c:ser>
        <c:ser>
          <c:idx val="55"/>
          <c:order val="124"/>
          <c:tx>
            <c:v>CelCeilingUp1</c:v>
          </c:tx>
          <c:spPr>
            <a:ln w="12700">
              <a:solidFill>
                <a:srgbClr val="C00000"/>
              </a:solidFill>
              <a:prstDash val="sysDash"/>
            </a:ln>
          </c:spPr>
          <c:marker>
            <c:symbol val="none"/>
          </c:marker>
          <c:xVal>
            <c:numRef>
              <c:f>'Celeration lines'!$H$45:$H$46</c:f>
              <c:numCache>
                <c:formatCode>0</c:formatCode>
                <c:ptCount val="2"/>
              </c:numCache>
            </c:numRef>
          </c:xVal>
          <c:yVal>
            <c:numRef>
              <c:f>'Celeration lines'!$I$45:$I$46</c:f>
              <c:numCache>
                <c:formatCode>0.00</c:formatCode>
                <c:ptCount val="2"/>
              </c:numCache>
            </c:numRef>
          </c:yVal>
          <c:smooth val="0"/>
          <c:extLst>
            <c:ext xmlns:c16="http://schemas.microsoft.com/office/drawing/2014/chart" uri="{C3380CC4-5D6E-409C-BE32-E72D297353CC}">
              <c16:uniqueId val="{000004A6-6533-4801-91F4-C60974D7FA9E}"/>
            </c:ext>
          </c:extLst>
        </c:ser>
        <c:ser>
          <c:idx val="56"/>
          <c:order val="125"/>
          <c:tx>
            <c:v>CelCeilingDwn1</c:v>
          </c:tx>
          <c:spPr>
            <a:ln w="12700">
              <a:solidFill>
                <a:srgbClr val="C00000"/>
              </a:solidFill>
              <a:prstDash val="sysDash"/>
            </a:ln>
          </c:spPr>
          <c:marker>
            <c:symbol val="none"/>
          </c:marker>
          <c:xVal>
            <c:numRef>
              <c:f>'Celeration lines'!$J$45:$J$46</c:f>
              <c:numCache>
                <c:formatCode>0</c:formatCode>
                <c:ptCount val="2"/>
              </c:numCache>
            </c:numRef>
          </c:xVal>
          <c:yVal>
            <c:numRef>
              <c:f>'Celeration lines'!$K$45:$K$46</c:f>
              <c:numCache>
                <c:formatCode>0.00</c:formatCode>
                <c:ptCount val="2"/>
              </c:numCache>
            </c:numRef>
          </c:yVal>
          <c:smooth val="0"/>
          <c:extLst>
            <c:ext xmlns:c16="http://schemas.microsoft.com/office/drawing/2014/chart" uri="{C3380CC4-5D6E-409C-BE32-E72D297353CC}">
              <c16:uniqueId val="{000004A7-6533-4801-91F4-C60974D7FA9E}"/>
            </c:ext>
          </c:extLst>
        </c:ser>
        <c:ser>
          <c:idx val="57"/>
          <c:order val="126"/>
          <c:tx>
            <c:v>CelCeiling2</c:v>
          </c:tx>
          <c:spPr>
            <a:ln w="12700">
              <a:solidFill>
                <a:srgbClr val="008000"/>
              </a:solidFill>
            </a:ln>
          </c:spPr>
          <c:marker>
            <c:symbol val="none"/>
          </c:marker>
          <c:xVal>
            <c:numRef>
              <c:f>'Celeration lines'!$D$49:$D$50</c:f>
              <c:numCache>
                <c:formatCode>General</c:formatCode>
                <c:ptCount val="2"/>
              </c:numCache>
            </c:numRef>
          </c:xVal>
          <c:yVal>
            <c:numRef>
              <c:f>'Celeration lines'!$E$49:$E$50</c:f>
              <c:numCache>
                <c:formatCode>0.00</c:formatCode>
                <c:ptCount val="2"/>
              </c:numCache>
            </c:numRef>
          </c:yVal>
          <c:smooth val="0"/>
          <c:extLst>
            <c:ext xmlns:c16="http://schemas.microsoft.com/office/drawing/2014/chart" uri="{C3380CC4-5D6E-409C-BE32-E72D297353CC}">
              <c16:uniqueId val="{000004A8-6533-4801-91F4-C60974D7FA9E}"/>
            </c:ext>
          </c:extLst>
        </c:ser>
        <c:ser>
          <c:idx val="58"/>
          <c:order val="127"/>
          <c:tx>
            <c:v>CelCeilingFor2</c:v>
          </c:tx>
          <c:spPr>
            <a:ln w="12700">
              <a:solidFill>
                <a:srgbClr val="008000"/>
              </a:solidFill>
              <a:prstDash val="sysDash"/>
            </a:ln>
          </c:spPr>
          <c:marker>
            <c:symbol val="none"/>
          </c:marker>
          <c:dLbls>
            <c:dLbl>
              <c:idx val="1"/>
              <c:layout>
                <c:manualLayout>
                  <c:x val="1.2671594508975714E-2"/>
                  <c:y val="6.9843596283137868E-2"/>
                </c:manualLayout>
              </c:layout>
              <c:tx>
                <c:strRef>
                  <c:f>'Celeration lines'!$L$49</c:f>
                  <c:strCache>
                    <c:ptCount val="1"/>
                  </c:strCache>
                </c:strRef>
              </c:tx>
              <c:spPr>
                <a:solidFill>
                  <a:schemeClr val="bg1">
                    <a:lumMod val="95000"/>
                  </a:schemeClr>
                </a:solidFill>
              </c:spPr>
              <c:txPr>
                <a:bodyPr/>
                <a:lstStyle/>
                <a:p>
                  <a:pPr>
                    <a:defRPr>
                      <a:solidFill>
                        <a:srgbClr val="C0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{69E34D15-A2FD-4469-A992-8F9A345916CC}</c15:txfldGUID>
                      <c15:f>'Celeration lines'!$L$49</c15:f>
                      <c15:dlblFieldTableCache>
                        <c:ptCount val="1"/>
                      </c15:dlblFieldTableCache>
                    </c15:dlblFTEntry>
                  </c15:dlblFieldTable>
                  <c15:showDataLabelsRange val="0"/>
                </c:ext>
                <c:ext xmlns:c16="http://schemas.microsoft.com/office/drawing/2014/chart" uri="{C3380CC4-5D6E-409C-BE32-E72D297353CC}">
                  <c16:uniqueId val="{000004A9-6533-4801-91F4-C60974D7FA9E}"/>
                </c:ext>
              </c:extLst>
            </c:dLbl>
            <c:spPr>
              <a:solidFill>
                <a:schemeClr val="bg1">
                  <a:lumMod val="95000"/>
                </a:schemeClr>
              </a:solidFill>
              <a:ln>
                <a:noFill/>
              </a:ln>
              <a:effectLst/>
            </c:spPr>
            <c:txPr>
              <a:bodyPr wrap="square" lIns="38100" tIns="19050" rIns="38100" bIns="19050" anchor="ctr">
                <a:spAutoFit/>
              </a:bodyPr>
              <a:lstStyle/>
              <a:p>
                <a:pPr>
                  <a:defRPr>
                    <a:solidFill>
                      <a:srgbClr val="C00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lines'!$F$49:$F$50</c:f>
              <c:numCache>
                <c:formatCode>0</c:formatCode>
                <c:ptCount val="2"/>
              </c:numCache>
            </c:numRef>
          </c:xVal>
          <c:yVal>
            <c:numRef>
              <c:f>'Celeration lines'!$G$49:$G$50</c:f>
              <c:numCache>
                <c:formatCode>0.00</c:formatCode>
                <c:ptCount val="2"/>
              </c:numCache>
            </c:numRef>
          </c:yVal>
          <c:smooth val="0"/>
          <c:extLst>
            <c:ext xmlns:c16="http://schemas.microsoft.com/office/drawing/2014/chart" uri="{C3380CC4-5D6E-409C-BE32-E72D297353CC}">
              <c16:uniqueId val="{000004AA-6533-4801-91F4-C60974D7FA9E}"/>
            </c:ext>
          </c:extLst>
        </c:ser>
        <c:ser>
          <c:idx val="60"/>
          <c:order val="128"/>
          <c:tx>
            <c:v>CelCeilingUp2</c:v>
          </c:tx>
          <c:spPr>
            <a:ln w="12700">
              <a:solidFill>
                <a:srgbClr val="008000"/>
              </a:solidFill>
              <a:prstDash val="sysDash"/>
            </a:ln>
          </c:spPr>
          <c:marker>
            <c:symbol val="none"/>
          </c:marker>
          <c:xVal>
            <c:numRef>
              <c:f>'Celeration lines'!$H$49:$H$50</c:f>
              <c:numCache>
                <c:formatCode>0</c:formatCode>
                <c:ptCount val="2"/>
              </c:numCache>
            </c:numRef>
          </c:xVal>
          <c:yVal>
            <c:numRef>
              <c:f>'Celeration lines'!$I$49:$I$50</c:f>
              <c:numCache>
                <c:formatCode>0.00</c:formatCode>
                <c:ptCount val="2"/>
              </c:numCache>
            </c:numRef>
          </c:yVal>
          <c:smooth val="0"/>
          <c:extLst>
            <c:ext xmlns:c16="http://schemas.microsoft.com/office/drawing/2014/chart" uri="{C3380CC4-5D6E-409C-BE32-E72D297353CC}">
              <c16:uniqueId val="{000004AB-6533-4801-91F4-C60974D7FA9E}"/>
            </c:ext>
          </c:extLst>
        </c:ser>
        <c:ser>
          <c:idx val="61"/>
          <c:order val="129"/>
          <c:tx>
            <c:v>CelCeilingDwn2</c:v>
          </c:tx>
          <c:spPr>
            <a:ln w="12700">
              <a:solidFill>
                <a:srgbClr val="008000"/>
              </a:solidFill>
              <a:prstDash val="sysDash"/>
            </a:ln>
          </c:spPr>
          <c:marker>
            <c:symbol val="none"/>
          </c:marker>
          <c:xVal>
            <c:numRef>
              <c:f>'Celeration lines'!$J$49:$J$50</c:f>
              <c:numCache>
                <c:formatCode>0</c:formatCode>
                <c:ptCount val="2"/>
              </c:numCache>
            </c:numRef>
          </c:xVal>
          <c:yVal>
            <c:numRef>
              <c:f>'Celeration lines'!$K$49:$K$50</c:f>
              <c:numCache>
                <c:formatCode>0.00</c:formatCode>
                <c:ptCount val="2"/>
              </c:numCache>
            </c:numRef>
          </c:yVal>
          <c:smooth val="0"/>
          <c:extLst>
            <c:ext xmlns:c16="http://schemas.microsoft.com/office/drawing/2014/chart" uri="{C3380CC4-5D6E-409C-BE32-E72D297353CC}">
              <c16:uniqueId val="{000004AC-6533-4801-91F4-C60974D7FA9E}"/>
            </c:ext>
          </c:extLst>
        </c:ser>
        <c:ser>
          <c:idx val="62"/>
          <c:order val="130"/>
          <c:tx>
            <c:v>CelCeiling3</c:v>
          </c:tx>
          <c:spPr>
            <a:ln w="12700">
              <a:solidFill>
                <a:srgbClr val="008000"/>
              </a:solidFill>
              <a:prstDash val="solid"/>
            </a:ln>
          </c:spPr>
          <c:marker>
            <c:symbol val="none"/>
          </c:marker>
          <c:xVal>
            <c:numRef>
              <c:f>'Celeration lines'!$D$51:$D$52</c:f>
              <c:numCache>
                <c:formatCode>General</c:formatCode>
                <c:ptCount val="2"/>
              </c:numCache>
            </c:numRef>
          </c:xVal>
          <c:yVal>
            <c:numRef>
              <c:f>'Celeration lines'!$E$51:$E$52</c:f>
              <c:numCache>
                <c:formatCode>0.00</c:formatCode>
                <c:ptCount val="2"/>
              </c:numCache>
            </c:numRef>
          </c:yVal>
          <c:smooth val="0"/>
          <c:extLst>
            <c:ext xmlns:c16="http://schemas.microsoft.com/office/drawing/2014/chart" uri="{C3380CC4-5D6E-409C-BE32-E72D297353CC}">
              <c16:uniqueId val="{000004AD-6533-4801-91F4-C60974D7FA9E}"/>
            </c:ext>
          </c:extLst>
        </c:ser>
        <c:ser>
          <c:idx val="63"/>
          <c:order val="131"/>
          <c:tx>
            <c:v>CelCeilingFor3</c:v>
          </c:tx>
          <c:spPr>
            <a:ln w="12700">
              <a:solidFill>
                <a:srgbClr val="008000"/>
              </a:solidFill>
              <a:prstDash val="sysDash"/>
            </a:ln>
          </c:spPr>
          <c:marker>
            <c:symbol val="none"/>
          </c:marker>
          <c:dLbls>
            <c:dLbl>
              <c:idx val="1"/>
              <c:layout>
                <c:manualLayout>
                  <c:x val="9.8556846180922215E-3"/>
                  <c:y val="7.1664309288071659E-2"/>
                </c:manualLayout>
              </c:layout>
              <c:tx>
                <c:strRef>
                  <c:f>'Celeration lines'!$L$51</c:f>
                  <c:strCache>
                    <c:ptCount val="1"/>
                  </c:strCache>
                </c:strRef>
              </c:tx>
              <c:spPr>
                <a:solidFill>
                  <a:schemeClr val="bg1">
                    <a:lumMod val="95000"/>
                  </a:schemeClr>
                </a:solidFill>
              </c:spPr>
              <c:txPr>
                <a:bodyPr/>
                <a:lstStyle/>
                <a:p>
                  <a:pPr>
                    <a:defRPr>
                      <a:solidFill>
                        <a:srgbClr val="C0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{8B6AC68E-5026-46D1-B272-75F1C93C10B7}</c15:txfldGUID>
                      <c15:f>'Celeration lines'!$L$51</c15:f>
                      <c15:dlblFieldTableCache>
                        <c:ptCount val="1"/>
                      </c15:dlblFieldTableCache>
                    </c15:dlblFTEntry>
                  </c15:dlblFieldTable>
                  <c15:showDataLabelsRange val="0"/>
                </c:ext>
                <c:ext xmlns:c16="http://schemas.microsoft.com/office/drawing/2014/chart" uri="{C3380CC4-5D6E-409C-BE32-E72D297353CC}">
                  <c16:uniqueId val="{000004AE-6533-4801-91F4-C60974D7FA9E}"/>
                </c:ext>
              </c:extLst>
            </c:dLbl>
            <c:spPr>
              <a:solidFill>
                <a:schemeClr val="bg1">
                  <a:lumMod val="95000"/>
                </a:schemeClr>
              </a:solidFill>
              <a:ln>
                <a:noFill/>
              </a:ln>
              <a:effectLst/>
            </c:spPr>
            <c:txPr>
              <a:bodyPr wrap="square" lIns="38100" tIns="19050" rIns="38100" bIns="19050" anchor="ctr">
                <a:spAutoFit/>
              </a:bodyPr>
              <a:lstStyle/>
              <a:p>
                <a:pPr>
                  <a:defRPr>
                    <a:solidFill>
                      <a:srgbClr val="C00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lines'!$F$51:$F$52</c:f>
              <c:numCache>
                <c:formatCode>0</c:formatCode>
                <c:ptCount val="2"/>
              </c:numCache>
            </c:numRef>
          </c:xVal>
          <c:yVal>
            <c:numRef>
              <c:f>'Celeration lines'!$G$51:$G$52</c:f>
              <c:numCache>
                <c:formatCode>0.00</c:formatCode>
                <c:ptCount val="2"/>
              </c:numCache>
            </c:numRef>
          </c:yVal>
          <c:smooth val="0"/>
          <c:extLst>
            <c:ext xmlns:c16="http://schemas.microsoft.com/office/drawing/2014/chart" uri="{C3380CC4-5D6E-409C-BE32-E72D297353CC}">
              <c16:uniqueId val="{000004AF-6533-4801-91F4-C60974D7FA9E}"/>
            </c:ext>
          </c:extLst>
        </c:ser>
        <c:ser>
          <c:idx val="64"/>
          <c:order val="132"/>
          <c:tx>
            <c:v>CelCeilingUp3</c:v>
          </c:tx>
          <c:spPr>
            <a:ln w="12700">
              <a:solidFill>
                <a:srgbClr val="008000"/>
              </a:solidFill>
              <a:prstDash val="sysDash"/>
            </a:ln>
          </c:spPr>
          <c:marker>
            <c:symbol val="none"/>
          </c:marker>
          <c:xVal>
            <c:numRef>
              <c:f>'Celeration lines'!$H$51:$H$52</c:f>
              <c:numCache>
                <c:formatCode>0</c:formatCode>
                <c:ptCount val="2"/>
              </c:numCache>
            </c:numRef>
          </c:xVal>
          <c:yVal>
            <c:numRef>
              <c:f>'Celeration lines'!$I$51:$I$52</c:f>
              <c:numCache>
                <c:formatCode>0.00</c:formatCode>
                <c:ptCount val="2"/>
              </c:numCache>
            </c:numRef>
          </c:yVal>
          <c:smooth val="0"/>
          <c:extLst>
            <c:ext xmlns:c16="http://schemas.microsoft.com/office/drawing/2014/chart" uri="{C3380CC4-5D6E-409C-BE32-E72D297353CC}">
              <c16:uniqueId val="{000004B0-6533-4801-91F4-C60974D7FA9E}"/>
            </c:ext>
          </c:extLst>
        </c:ser>
        <c:ser>
          <c:idx val="65"/>
          <c:order val="133"/>
          <c:tx>
            <c:v>CelCeilingDwn3</c:v>
          </c:tx>
          <c:spPr>
            <a:ln w="12700">
              <a:solidFill>
                <a:srgbClr val="008000"/>
              </a:solidFill>
              <a:prstDash val="sysDash"/>
            </a:ln>
          </c:spPr>
          <c:marker>
            <c:symbol val="none"/>
          </c:marker>
          <c:dPt>
            <c:idx val="0"/>
            <c:bubble3D val="0"/>
            <c:extLst>
              <c:ext xmlns:c16="http://schemas.microsoft.com/office/drawing/2014/chart" uri="{C3380CC4-5D6E-409C-BE32-E72D297353CC}">
                <c16:uniqueId val="{000004B2-6533-4801-91F4-C60974D7FA9E}"/>
              </c:ext>
            </c:extLst>
          </c:dPt>
          <c:dPt>
            <c:idx val="1"/>
            <c:bubble3D val="0"/>
            <c:extLst>
              <c:ext xmlns:c16="http://schemas.microsoft.com/office/drawing/2014/chart" uri="{C3380CC4-5D6E-409C-BE32-E72D297353CC}">
                <c16:uniqueId val="{000004B4-6533-4801-91F4-C60974D7FA9E}"/>
              </c:ext>
            </c:extLst>
          </c:dPt>
          <c:xVal>
            <c:numRef>
              <c:f>'Celeration lines'!$J$51:$J$52</c:f>
              <c:numCache>
                <c:formatCode>0</c:formatCode>
                <c:ptCount val="2"/>
              </c:numCache>
            </c:numRef>
          </c:xVal>
          <c:yVal>
            <c:numRef>
              <c:f>'Celeration lines'!$K$51:$K$52</c:f>
              <c:numCache>
                <c:formatCode>0.00</c:formatCode>
                <c:ptCount val="2"/>
              </c:numCache>
            </c:numRef>
          </c:yVal>
          <c:smooth val="0"/>
          <c:extLst>
            <c:ext xmlns:c16="http://schemas.microsoft.com/office/drawing/2014/chart" uri="{C3380CC4-5D6E-409C-BE32-E72D297353CC}">
              <c16:uniqueId val="{000004B5-6533-4801-91F4-C60974D7FA9E}"/>
            </c:ext>
          </c:extLst>
        </c:ser>
        <c:ser>
          <c:idx val="66"/>
          <c:order val="134"/>
          <c:tx>
            <c:v>CelCeiling4</c:v>
          </c:tx>
          <c:spPr>
            <a:ln w="12700">
              <a:solidFill>
                <a:srgbClr val="008000"/>
              </a:solidFill>
            </a:ln>
          </c:spPr>
          <c:marker>
            <c:symbol val="none"/>
          </c:marker>
          <c:dPt>
            <c:idx val="0"/>
            <c:bubble3D val="0"/>
            <c:spPr>
              <a:ln w="12700">
                <a:solidFill>
                  <a:srgbClr val="008000"/>
                </a:solidFill>
                <a:prstDash val="solid"/>
              </a:ln>
            </c:spPr>
            <c:extLst>
              <c:ext xmlns:c16="http://schemas.microsoft.com/office/drawing/2014/chart" uri="{C3380CC4-5D6E-409C-BE32-E72D297353CC}">
                <c16:uniqueId val="{000004B7-6533-4801-91F4-C60974D7FA9E}"/>
              </c:ext>
            </c:extLst>
          </c:dPt>
          <c:dPt>
            <c:idx val="1"/>
            <c:bubble3D val="0"/>
            <c:spPr>
              <a:ln w="12700">
                <a:solidFill>
                  <a:srgbClr val="008000"/>
                </a:solidFill>
                <a:prstDash val="solid"/>
              </a:ln>
            </c:spPr>
            <c:extLst>
              <c:ext xmlns:c16="http://schemas.microsoft.com/office/drawing/2014/chart" uri="{C3380CC4-5D6E-409C-BE32-E72D297353CC}">
                <c16:uniqueId val="{000004B9-6533-4801-91F4-C60974D7FA9E}"/>
              </c:ext>
            </c:extLst>
          </c:dPt>
          <c:xVal>
            <c:numRef>
              <c:f>'Celeration lines'!$D$53:$D$54</c:f>
              <c:numCache>
                <c:formatCode>General</c:formatCode>
                <c:ptCount val="2"/>
              </c:numCache>
            </c:numRef>
          </c:xVal>
          <c:yVal>
            <c:numRef>
              <c:f>'Celeration lines'!$E$53:$E$54</c:f>
              <c:numCache>
                <c:formatCode>0.00</c:formatCode>
                <c:ptCount val="2"/>
              </c:numCache>
            </c:numRef>
          </c:yVal>
          <c:smooth val="0"/>
          <c:extLst>
            <c:ext xmlns:c16="http://schemas.microsoft.com/office/drawing/2014/chart" uri="{C3380CC4-5D6E-409C-BE32-E72D297353CC}">
              <c16:uniqueId val="{000004BA-6533-4801-91F4-C60974D7FA9E}"/>
            </c:ext>
          </c:extLst>
        </c:ser>
        <c:ser>
          <c:idx val="67"/>
          <c:order val="135"/>
          <c:tx>
            <c:v>CelCeilingFor4</c:v>
          </c:tx>
          <c:spPr>
            <a:ln w="12700">
              <a:solidFill>
                <a:srgbClr val="008000"/>
              </a:solidFill>
              <a:prstDash val="sysDash"/>
            </a:ln>
          </c:spPr>
          <c:marker>
            <c:symbol val="none"/>
          </c:marker>
          <c:dLbls>
            <c:dLbl>
              <c:idx val="1"/>
              <c:layout>
                <c:manualLayout>
                  <c:x val="0"/>
                  <c:y val="1.5087223008015018E-2"/>
                </c:manualLayout>
              </c:layout>
              <c:tx>
                <c:strRef>
                  <c:f>'Celeration lines'!$L$53</c:f>
                  <c:strCache>
                    <c:ptCount val="1"/>
                  </c:strCache>
                </c:strRef>
              </c:tx>
              <c:spPr>
                <a:solidFill>
                  <a:schemeClr val="bg1">
                    <a:lumMod val="95000"/>
                  </a:schemeClr>
                </a:solidFill>
              </c:spPr>
              <c:txPr>
                <a:bodyPr/>
                <a:lstStyle/>
                <a:p>
                  <a:pPr>
                    <a:defRPr>
                      <a:solidFill>
                        <a:srgbClr val="008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{A57F90AB-7526-4C03-AD49-34AFBCDBE440}</c15:txfldGUID>
                      <c15:f>'Celeration lines'!$L$53</c15:f>
                      <c15:dlblFieldTableCache>
                        <c:ptCount val="1"/>
                      </c15:dlblFieldTableCache>
                    </c15:dlblFTEntry>
                  </c15:dlblFieldTable>
                  <c15:showDataLabelsRange val="0"/>
                </c:ext>
                <c:ext xmlns:c16="http://schemas.microsoft.com/office/drawing/2014/chart" uri="{C3380CC4-5D6E-409C-BE32-E72D297353CC}">
                  <c16:uniqueId val="{000004BB-6533-4801-91F4-C60974D7FA9E}"/>
                </c:ext>
              </c:extLst>
            </c:dLbl>
            <c:spPr>
              <a:solidFill>
                <a:schemeClr val="bg1">
                  <a:lumMod val="95000"/>
                </a:schemeClr>
              </a:solidFill>
              <a:ln>
                <a:noFill/>
              </a:ln>
              <a:effectLst/>
            </c:spPr>
            <c:txPr>
              <a:bodyPr wrap="square" lIns="38100" tIns="19050" rIns="38100" bIns="19050" anchor="ctr">
                <a:spAutoFit/>
              </a:bodyPr>
              <a:lstStyle/>
              <a:p>
                <a:pPr>
                  <a:defRPr>
                    <a:solidFill>
                      <a:srgbClr val="008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lines'!$F$53:$F$54</c:f>
              <c:numCache>
                <c:formatCode>0</c:formatCode>
                <c:ptCount val="2"/>
              </c:numCache>
            </c:numRef>
          </c:xVal>
          <c:yVal>
            <c:numRef>
              <c:f>'Celeration lines'!$G$53:$G$54</c:f>
              <c:numCache>
                <c:formatCode>0.00</c:formatCode>
                <c:ptCount val="2"/>
              </c:numCache>
            </c:numRef>
          </c:yVal>
          <c:smooth val="0"/>
          <c:extLst>
            <c:ext xmlns:c16="http://schemas.microsoft.com/office/drawing/2014/chart" uri="{C3380CC4-5D6E-409C-BE32-E72D297353CC}">
              <c16:uniqueId val="{000004BC-6533-4801-91F4-C60974D7FA9E}"/>
            </c:ext>
          </c:extLst>
        </c:ser>
        <c:ser>
          <c:idx val="68"/>
          <c:order val="136"/>
          <c:tx>
            <c:v>CelCeilingUp4</c:v>
          </c:tx>
          <c:spPr>
            <a:ln w="12700">
              <a:solidFill>
                <a:srgbClr val="008000"/>
              </a:solidFill>
              <a:prstDash val="sysDash"/>
            </a:ln>
          </c:spPr>
          <c:marker>
            <c:symbol val="none"/>
          </c:marker>
          <c:xVal>
            <c:numRef>
              <c:f>'Celeration lines'!$H$53:$H$54</c:f>
              <c:numCache>
                <c:formatCode>0</c:formatCode>
                <c:ptCount val="2"/>
              </c:numCache>
            </c:numRef>
          </c:xVal>
          <c:yVal>
            <c:numRef>
              <c:f>'Celeration lines'!$I$53:$I$54</c:f>
              <c:numCache>
                <c:formatCode>0.00</c:formatCode>
                <c:ptCount val="2"/>
              </c:numCache>
            </c:numRef>
          </c:yVal>
          <c:smooth val="0"/>
          <c:extLst>
            <c:ext xmlns:c16="http://schemas.microsoft.com/office/drawing/2014/chart" uri="{C3380CC4-5D6E-409C-BE32-E72D297353CC}">
              <c16:uniqueId val="{000004BD-6533-4801-91F4-C60974D7FA9E}"/>
            </c:ext>
          </c:extLst>
        </c:ser>
        <c:ser>
          <c:idx val="69"/>
          <c:order val="137"/>
          <c:tx>
            <c:v>CelCeilingDwn4</c:v>
          </c:tx>
          <c:spPr>
            <a:ln w="12700">
              <a:solidFill>
                <a:srgbClr val="008000"/>
              </a:solidFill>
              <a:prstDash val="sysDash"/>
            </a:ln>
          </c:spPr>
          <c:marker>
            <c:symbol val="none"/>
          </c:marker>
          <c:xVal>
            <c:numRef>
              <c:f>'Celeration lines'!$J$53:$J$54</c:f>
              <c:numCache>
                <c:formatCode>0</c:formatCode>
                <c:ptCount val="2"/>
              </c:numCache>
            </c:numRef>
          </c:xVal>
          <c:yVal>
            <c:numRef>
              <c:f>'Celeration lines'!$K$53:$K$54</c:f>
              <c:numCache>
                <c:formatCode>0.00</c:formatCode>
                <c:ptCount val="2"/>
              </c:numCache>
            </c:numRef>
          </c:yVal>
          <c:smooth val="0"/>
          <c:extLst>
            <c:ext xmlns:c16="http://schemas.microsoft.com/office/drawing/2014/chart" uri="{C3380CC4-5D6E-409C-BE32-E72D297353CC}">
              <c16:uniqueId val="{000004BE-6533-4801-91F4-C60974D7FA9E}"/>
            </c:ext>
          </c:extLst>
        </c:ser>
        <c:ser>
          <c:idx val="111"/>
          <c:order val="138"/>
          <c:tx>
            <c:v>CelCeiling5</c:v>
          </c:tx>
          <c:spPr>
            <a:ln w="12700">
              <a:solidFill>
                <a:srgbClr val="008000"/>
              </a:solidFill>
            </a:ln>
          </c:spPr>
          <c:marker>
            <c:symbol val="none"/>
          </c:marker>
          <c:xVal>
            <c:numRef>
              <c:f>'Celeration lines'!$D$55:$D$56</c:f>
              <c:numCache>
                <c:formatCode>General</c:formatCode>
                <c:ptCount val="2"/>
              </c:numCache>
            </c:numRef>
          </c:xVal>
          <c:yVal>
            <c:numRef>
              <c:f>'Celeration lines'!$E$55:$E$56</c:f>
              <c:numCache>
                <c:formatCode>0.00</c:formatCode>
                <c:ptCount val="2"/>
              </c:numCache>
            </c:numRef>
          </c:yVal>
          <c:smooth val="0"/>
          <c:extLst>
            <c:ext xmlns:c16="http://schemas.microsoft.com/office/drawing/2014/chart" uri="{C3380CC4-5D6E-409C-BE32-E72D297353CC}">
              <c16:uniqueId val="{000004BF-6533-4801-91F4-C60974D7FA9E}"/>
            </c:ext>
          </c:extLst>
        </c:ser>
        <c:ser>
          <c:idx val="117"/>
          <c:order val="139"/>
          <c:tx>
            <c:v>CelCeilingFor5</c:v>
          </c:tx>
          <c:spPr>
            <a:ln w="12700">
              <a:solidFill>
                <a:srgbClr val="008000"/>
              </a:solidFill>
              <a:prstDash val="sysDash"/>
            </a:ln>
          </c:spPr>
          <c:marker>
            <c:symbol val="none"/>
          </c:marker>
          <c:dLbls>
            <c:dLbl>
              <c:idx val="1"/>
              <c:tx>
                <c:strRef>
                  <c:f>'Celeration lines'!$L$55</c:f>
                  <c:strCache>
                    <c:ptCount val="1"/>
                  </c:strCache>
                </c:strRef>
              </c:tx>
              <c:spPr>
                <a:solidFill>
                  <a:schemeClr val="bg1">
                    <a:lumMod val="95000"/>
                  </a:schemeClr>
                </a:solidFill>
              </c:spPr>
              <c:txPr>
                <a:bodyPr/>
                <a:lstStyle/>
                <a:p>
                  <a:pPr>
                    <a:defRPr>
                      <a:solidFill>
                        <a:srgbClr val="008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{D8FFBE6E-A0DC-49BE-AEF6-F58C1FCB7FCB}</c15:txfldGUID>
                      <c15:f>'Celeration lines'!$L$55</c15:f>
                      <c15:dlblFieldTableCache>
                        <c:ptCount val="1"/>
                      </c15:dlblFieldTableCache>
                    </c15:dlblFTEntry>
                  </c15:dlblFieldTable>
                  <c15:showDataLabelsRange val="0"/>
                </c:ext>
                <c:ext xmlns:c16="http://schemas.microsoft.com/office/drawing/2014/chart" uri="{C3380CC4-5D6E-409C-BE32-E72D297353CC}">
                  <c16:uniqueId val="{000004C0-6533-4801-91F4-C60974D7FA9E}"/>
                </c:ext>
              </c:extLst>
            </c:dLbl>
            <c:spPr>
              <a:solidFill>
                <a:schemeClr val="bg1">
                  <a:lumMod val="95000"/>
                </a:schemeClr>
              </a:solidFill>
              <a:ln>
                <a:noFill/>
              </a:ln>
              <a:effectLst/>
            </c:spPr>
            <c:txPr>
              <a:bodyPr wrap="square" lIns="38100" tIns="19050" rIns="38100" bIns="19050" anchor="ctr">
                <a:spAutoFit/>
              </a:bodyPr>
              <a:lstStyle/>
              <a:p>
                <a:pPr>
                  <a:defRPr>
                    <a:solidFill>
                      <a:srgbClr val="008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lines'!$F$55:$F$56</c:f>
              <c:numCache>
                <c:formatCode>0</c:formatCode>
                <c:ptCount val="2"/>
              </c:numCache>
            </c:numRef>
          </c:xVal>
          <c:yVal>
            <c:numRef>
              <c:f>'Celeration lines'!$G$55:$G$56</c:f>
              <c:numCache>
                <c:formatCode>0.00</c:formatCode>
                <c:ptCount val="2"/>
              </c:numCache>
            </c:numRef>
          </c:yVal>
          <c:smooth val="0"/>
          <c:extLst>
            <c:ext xmlns:c16="http://schemas.microsoft.com/office/drawing/2014/chart" uri="{C3380CC4-5D6E-409C-BE32-E72D297353CC}">
              <c16:uniqueId val="{000004C1-6533-4801-91F4-C60974D7FA9E}"/>
            </c:ext>
          </c:extLst>
        </c:ser>
        <c:ser>
          <c:idx val="165"/>
          <c:order val="140"/>
          <c:tx>
            <c:v>CelCeilingUp5</c:v>
          </c:tx>
          <c:spPr>
            <a:ln w="12700">
              <a:solidFill>
                <a:srgbClr val="008000"/>
              </a:solidFill>
              <a:prstDash val="sysDash"/>
            </a:ln>
          </c:spPr>
          <c:marker>
            <c:symbol val="none"/>
          </c:marker>
          <c:xVal>
            <c:numRef>
              <c:f>'Celeration lines'!$H$55:$H$56</c:f>
              <c:numCache>
                <c:formatCode>0</c:formatCode>
                <c:ptCount val="2"/>
              </c:numCache>
            </c:numRef>
          </c:xVal>
          <c:yVal>
            <c:numRef>
              <c:f>'Celeration lines'!$I$55:$I$56</c:f>
              <c:numCache>
                <c:formatCode>0.00</c:formatCode>
                <c:ptCount val="2"/>
              </c:numCache>
            </c:numRef>
          </c:yVal>
          <c:smooth val="0"/>
          <c:extLst>
            <c:ext xmlns:c16="http://schemas.microsoft.com/office/drawing/2014/chart" uri="{C3380CC4-5D6E-409C-BE32-E72D297353CC}">
              <c16:uniqueId val="{000004C2-6533-4801-91F4-C60974D7FA9E}"/>
            </c:ext>
          </c:extLst>
        </c:ser>
        <c:ser>
          <c:idx val="166"/>
          <c:order val="141"/>
          <c:tx>
            <c:v>CelCeilingDwn5</c:v>
          </c:tx>
          <c:spPr>
            <a:ln w="12700">
              <a:solidFill>
                <a:srgbClr val="008000"/>
              </a:solidFill>
              <a:prstDash val="sysDash"/>
            </a:ln>
          </c:spPr>
          <c:marker>
            <c:symbol val="none"/>
          </c:marker>
          <c:xVal>
            <c:numRef>
              <c:f>'Celeration lines'!$J$55:$J$56</c:f>
              <c:numCache>
                <c:formatCode>0</c:formatCode>
                <c:ptCount val="2"/>
              </c:numCache>
            </c:numRef>
          </c:xVal>
          <c:yVal>
            <c:numRef>
              <c:f>'Celeration lines'!$K$55:$K$56</c:f>
              <c:numCache>
                <c:formatCode>0.00</c:formatCode>
                <c:ptCount val="2"/>
              </c:numCache>
            </c:numRef>
          </c:yVal>
          <c:smooth val="0"/>
          <c:extLst>
            <c:ext xmlns:c16="http://schemas.microsoft.com/office/drawing/2014/chart" uri="{C3380CC4-5D6E-409C-BE32-E72D297353CC}">
              <c16:uniqueId val="{000004C3-6533-4801-91F4-C60974D7FA9E}"/>
            </c:ext>
          </c:extLst>
        </c:ser>
        <c:ser>
          <c:idx val="167"/>
          <c:order val="142"/>
          <c:tx>
            <c:v>CelCeiling6</c:v>
          </c:tx>
          <c:spPr>
            <a:ln w="12700">
              <a:solidFill>
                <a:srgbClr val="008000"/>
              </a:solidFill>
            </a:ln>
          </c:spPr>
          <c:marker>
            <c:symbol val="none"/>
          </c:marker>
          <c:xVal>
            <c:numRef>
              <c:f>'Celeration lines'!$D$57:$D$58</c:f>
              <c:numCache>
                <c:formatCode>General</c:formatCode>
                <c:ptCount val="2"/>
              </c:numCache>
            </c:numRef>
          </c:xVal>
          <c:yVal>
            <c:numRef>
              <c:f>'Celeration lines'!$E$57:$E$58</c:f>
              <c:numCache>
                <c:formatCode>0.00</c:formatCode>
                <c:ptCount val="2"/>
              </c:numCache>
            </c:numRef>
          </c:yVal>
          <c:smooth val="0"/>
          <c:extLst>
            <c:ext xmlns:c16="http://schemas.microsoft.com/office/drawing/2014/chart" uri="{C3380CC4-5D6E-409C-BE32-E72D297353CC}">
              <c16:uniqueId val="{000004C4-6533-4801-91F4-C60974D7FA9E}"/>
            </c:ext>
          </c:extLst>
        </c:ser>
        <c:ser>
          <c:idx val="168"/>
          <c:order val="143"/>
          <c:tx>
            <c:v>CelCeilingFor6</c:v>
          </c:tx>
          <c:spPr>
            <a:ln w="12700">
              <a:solidFill>
                <a:srgbClr val="008000"/>
              </a:solidFill>
              <a:prstDash val="sysDash"/>
            </a:ln>
          </c:spPr>
          <c:marker>
            <c:symbol val="none"/>
          </c:marker>
          <c:dLbls>
            <c:dLbl>
              <c:idx val="1"/>
              <c:tx>
                <c:strRef>
                  <c:f>'Celeration lines'!$L$57</c:f>
                  <c:strCache>
                    <c:ptCount val="1"/>
                  </c:strCache>
                </c:strRef>
              </c:tx>
              <c:spPr>
                <a:solidFill>
                  <a:schemeClr val="bg1">
                    <a:lumMod val="95000"/>
                  </a:schemeClr>
                </a:solidFill>
              </c:spPr>
              <c:txPr>
                <a:bodyPr/>
                <a:lstStyle/>
                <a:p>
                  <a:pPr>
                    <a:defRPr>
                      <a:solidFill>
                        <a:srgbClr val="008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{DEE3A96C-D8A2-4B87-83FB-4B764E9259AE}</c15:txfldGUID>
                      <c15:f>'Celeration lines'!$L$57</c15:f>
                      <c15:dlblFieldTableCache>
                        <c:ptCount val="1"/>
                      </c15:dlblFieldTableCache>
                    </c15:dlblFTEntry>
                  </c15:dlblFieldTable>
                  <c15:showDataLabelsRange val="0"/>
                </c:ext>
                <c:ext xmlns:c16="http://schemas.microsoft.com/office/drawing/2014/chart" uri="{C3380CC4-5D6E-409C-BE32-E72D297353CC}">
                  <c16:uniqueId val="{000004C5-6533-4801-91F4-C60974D7FA9E}"/>
                </c:ext>
              </c:extLst>
            </c:dLbl>
            <c:spPr>
              <a:solidFill>
                <a:schemeClr val="bg1">
                  <a:lumMod val="95000"/>
                </a:schemeClr>
              </a:solidFill>
              <a:ln>
                <a:noFill/>
              </a:ln>
              <a:effectLst/>
            </c:spPr>
            <c:txPr>
              <a:bodyPr wrap="square" lIns="38100" tIns="19050" rIns="38100" bIns="19050" anchor="ctr">
                <a:spAutoFit/>
              </a:bodyPr>
              <a:lstStyle/>
              <a:p>
                <a:pPr>
                  <a:defRPr>
                    <a:solidFill>
                      <a:srgbClr val="008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lines'!$F$57:$F$58</c:f>
              <c:numCache>
                <c:formatCode>0</c:formatCode>
                <c:ptCount val="2"/>
              </c:numCache>
            </c:numRef>
          </c:xVal>
          <c:yVal>
            <c:numRef>
              <c:f>'Celeration lines'!$G$57:$G$58</c:f>
              <c:numCache>
                <c:formatCode>0.00</c:formatCode>
                <c:ptCount val="2"/>
              </c:numCache>
            </c:numRef>
          </c:yVal>
          <c:smooth val="0"/>
          <c:extLst>
            <c:ext xmlns:c16="http://schemas.microsoft.com/office/drawing/2014/chart" uri="{C3380CC4-5D6E-409C-BE32-E72D297353CC}">
              <c16:uniqueId val="{000004C6-6533-4801-91F4-C60974D7FA9E}"/>
            </c:ext>
          </c:extLst>
        </c:ser>
        <c:ser>
          <c:idx val="169"/>
          <c:order val="144"/>
          <c:tx>
            <c:v>CelCeilingUp6</c:v>
          </c:tx>
          <c:spPr>
            <a:ln w="12700">
              <a:solidFill>
                <a:srgbClr val="008000"/>
              </a:solidFill>
              <a:prstDash val="sysDash"/>
            </a:ln>
          </c:spPr>
          <c:marker>
            <c:symbol val="none"/>
          </c:marker>
          <c:xVal>
            <c:numRef>
              <c:f>'Celeration lines'!$H$57:$H$58</c:f>
              <c:numCache>
                <c:formatCode>0</c:formatCode>
                <c:ptCount val="2"/>
              </c:numCache>
            </c:numRef>
          </c:xVal>
          <c:yVal>
            <c:numRef>
              <c:f>'Celeration lines'!$I$57:$I$58</c:f>
              <c:numCache>
                <c:formatCode>0.00</c:formatCode>
                <c:ptCount val="2"/>
              </c:numCache>
            </c:numRef>
          </c:yVal>
          <c:smooth val="0"/>
          <c:extLst>
            <c:ext xmlns:c16="http://schemas.microsoft.com/office/drawing/2014/chart" uri="{C3380CC4-5D6E-409C-BE32-E72D297353CC}">
              <c16:uniqueId val="{000004C7-6533-4801-91F4-C60974D7FA9E}"/>
            </c:ext>
          </c:extLst>
        </c:ser>
        <c:ser>
          <c:idx val="170"/>
          <c:order val="145"/>
          <c:tx>
            <c:v>CelCeilingDwn6</c:v>
          </c:tx>
          <c:spPr>
            <a:ln w="12700">
              <a:solidFill>
                <a:srgbClr val="008000"/>
              </a:solidFill>
              <a:prstDash val="sysDash"/>
            </a:ln>
          </c:spPr>
          <c:marker>
            <c:symbol val="none"/>
          </c:marker>
          <c:xVal>
            <c:numRef>
              <c:f>'Celeration lines'!$J$57:$J$58</c:f>
              <c:numCache>
                <c:formatCode>0</c:formatCode>
                <c:ptCount val="2"/>
              </c:numCache>
            </c:numRef>
          </c:xVal>
          <c:yVal>
            <c:numRef>
              <c:f>'Celeration lines'!$K$57:$K$58</c:f>
              <c:numCache>
                <c:formatCode>0.00</c:formatCode>
                <c:ptCount val="2"/>
              </c:numCache>
            </c:numRef>
          </c:yVal>
          <c:smooth val="0"/>
          <c:extLst>
            <c:ext xmlns:c16="http://schemas.microsoft.com/office/drawing/2014/chart" uri="{C3380CC4-5D6E-409C-BE32-E72D297353CC}">
              <c16:uniqueId val="{000004C8-6533-4801-91F4-C60974D7FA9E}"/>
            </c:ext>
          </c:extLst>
        </c:ser>
        <c:ser>
          <c:idx val="171"/>
          <c:order val="146"/>
          <c:tx>
            <c:v>CelCeiling7</c:v>
          </c:tx>
          <c:spPr>
            <a:ln w="12700">
              <a:solidFill>
                <a:srgbClr val="008000"/>
              </a:solidFill>
            </a:ln>
          </c:spPr>
          <c:marker>
            <c:symbol val="none"/>
          </c:marker>
          <c:dPt>
            <c:idx val="0"/>
            <c:bubble3D val="0"/>
            <c:spPr>
              <a:ln w="12700">
                <a:solidFill>
                  <a:srgbClr val="008000"/>
                </a:solidFill>
                <a:prstDash val="solid"/>
              </a:ln>
            </c:spPr>
            <c:extLst>
              <c:ext xmlns:c16="http://schemas.microsoft.com/office/drawing/2014/chart" uri="{C3380CC4-5D6E-409C-BE32-E72D297353CC}">
                <c16:uniqueId val="{000004CA-6533-4801-91F4-C60974D7FA9E}"/>
              </c:ext>
            </c:extLst>
          </c:dPt>
          <c:dPt>
            <c:idx val="1"/>
            <c:bubble3D val="0"/>
            <c:spPr>
              <a:ln w="12700">
                <a:solidFill>
                  <a:srgbClr val="008000"/>
                </a:solidFill>
                <a:prstDash val="solid"/>
              </a:ln>
            </c:spPr>
            <c:extLst>
              <c:ext xmlns:c16="http://schemas.microsoft.com/office/drawing/2014/chart" uri="{C3380CC4-5D6E-409C-BE32-E72D297353CC}">
                <c16:uniqueId val="{000004CC-6533-4801-91F4-C60974D7FA9E}"/>
              </c:ext>
            </c:extLst>
          </c:dPt>
          <c:xVal>
            <c:numRef>
              <c:f>'Celeration lines'!$D$59:$D$60</c:f>
              <c:numCache>
                <c:formatCode>General</c:formatCode>
                <c:ptCount val="2"/>
              </c:numCache>
            </c:numRef>
          </c:xVal>
          <c:yVal>
            <c:numRef>
              <c:f>'Celeration lines'!$E$59:$E$60</c:f>
              <c:numCache>
                <c:formatCode>0.00</c:formatCode>
                <c:ptCount val="2"/>
              </c:numCache>
            </c:numRef>
          </c:yVal>
          <c:smooth val="0"/>
          <c:extLst>
            <c:ext xmlns:c16="http://schemas.microsoft.com/office/drawing/2014/chart" uri="{C3380CC4-5D6E-409C-BE32-E72D297353CC}">
              <c16:uniqueId val="{000004CD-6533-4801-91F4-C60974D7FA9E}"/>
            </c:ext>
          </c:extLst>
        </c:ser>
        <c:ser>
          <c:idx val="172"/>
          <c:order val="147"/>
          <c:tx>
            <c:v>CelCeilingFor7</c:v>
          </c:tx>
          <c:spPr>
            <a:ln w="12700">
              <a:solidFill>
                <a:srgbClr val="008000"/>
              </a:solidFill>
              <a:prstDash val="sysDash"/>
            </a:ln>
          </c:spPr>
          <c:marker>
            <c:symbol val="none"/>
          </c:marker>
          <c:dLbls>
            <c:dLbl>
              <c:idx val="1"/>
              <c:tx>
                <c:strRef>
                  <c:f>'Celeration lines'!$L$59</c:f>
                  <c:strCache>
                    <c:ptCount val="1"/>
                  </c:strCache>
                </c:strRef>
              </c:tx>
              <c:spPr>
                <a:solidFill>
                  <a:schemeClr val="bg1">
                    <a:lumMod val="95000"/>
                  </a:schemeClr>
                </a:solidFill>
              </c:spPr>
              <c:txPr>
                <a:bodyPr/>
                <a:lstStyle/>
                <a:p>
                  <a:pPr>
                    <a:defRPr>
                      <a:solidFill>
                        <a:srgbClr val="008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{270E1394-32DD-474A-A45B-BC3F6B8145AC}</c15:txfldGUID>
                      <c15:f>'Celeration lines'!$L$59</c15:f>
                      <c15:dlblFieldTableCache>
                        <c:ptCount val="1"/>
                      </c15:dlblFieldTableCache>
                    </c15:dlblFTEntry>
                  </c15:dlblFieldTable>
                  <c15:showDataLabelsRange val="0"/>
                </c:ext>
                <c:ext xmlns:c16="http://schemas.microsoft.com/office/drawing/2014/chart" uri="{C3380CC4-5D6E-409C-BE32-E72D297353CC}">
                  <c16:uniqueId val="{000004CE-6533-4801-91F4-C60974D7FA9E}"/>
                </c:ext>
              </c:extLst>
            </c:dLbl>
            <c:spPr>
              <a:solidFill>
                <a:schemeClr val="bg1">
                  <a:lumMod val="95000"/>
                </a:schemeClr>
              </a:solidFill>
              <a:ln>
                <a:noFill/>
              </a:ln>
              <a:effectLst/>
            </c:spPr>
            <c:txPr>
              <a:bodyPr wrap="square" lIns="38100" tIns="19050" rIns="38100" bIns="19050" anchor="ctr">
                <a:spAutoFit/>
              </a:bodyPr>
              <a:lstStyle/>
              <a:p>
                <a:pPr>
                  <a:defRPr>
                    <a:solidFill>
                      <a:srgbClr val="008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lines'!$F$59:$F$60</c:f>
              <c:numCache>
                <c:formatCode>0</c:formatCode>
                <c:ptCount val="2"/>
              </c:numCache>
            </c:numRef>
          </c:xVal>
          <c:yVal>
            <c:numRef>
              <c:f>'Celeration lines'!$G$59:$G$60</c:f>
              <c:numCache>
                <c:formatCode>0.00</c:formatCode>
                <c:ptCount val="2"/>
              </c:numCache>
            </c:numRef>
          </c:yVal>
          <c:smooth val="0"/>
          <c:extLst>
            <c:ext xmlns:c16="http://schemas.microsoft.com/office/drawing/2014/chart" uri="{C3380CC4-5D6E-409C-BE32-E72D297353CC}">
              <c16:uniqueId val="{000004CF-6533-4801-91F4-C60974D7FA9E}"/>
            </c:ext>
          </c:extLst>
        </c:ser>
        <c:ser>
          <c:idx val="173"/>
          <c:order val="148"/>
          <c:tx>
            <c:v>CelCeilingUp7</c:v>
          </c:tx>
          <c:spPr>
            <a:ln w="12700">
              <a:solidFill>
                <a:srgbClr val="008000"/>
              </a:solidFill>
              <a:prstDash val="sysDash"/>
            </a:ln>
          </c:spPr>
          <c:marker>
            <c:symbol val="none"/>
          </c:marker>
          <c:xVal>
            <c:numRef>
              <c:f>'Celeration lines'!$H$59:$H$60</c:f>
              <c:numCache>
                <c:formatCode>0</c:formatCode>
                <c:ptCount val="2"/>
              </c:numCache>
            </c:numRef>
          </c:xVal>
          <c:yVal>
            <c:numRef>
              <c:f>'Celeration lines'!$I$59:$I$60</c:f>
              <c:numCache>
                <c:formatCode>0.00</c:formatCode>
                <c:ptCount val="2"/>
              </c:numCache>
            </c:numRef>
          </c:yVal>
          <c:smooth val="0"/>
          <c:extLst>
            <c:ext xmlns:c16="http://schemas.microsoft.com/office/drawing/2014/chart" uri="{C3380CC4-5D6E-409C-BE32-E72D297353CC}">
              <c16:uniqueId val="{000004D0-6533-4801-91F4-C60974D7FA9E}"/>
            </c:ext>
          </c:extLst>
        </c:ser>
        <c:ser>
          <c:idx val="174"/>
          <c:order val="149"/>
          <c:tx>
            <c:v>CelCeilingDwn7</c:v>
          </c:tx>
          <c:spPr>
            <a:ln w="12700">
              <a:solidFill>
                <a:srgbClr val="008000"/>
              </a:solidFill>
              <a:prstDash val="sysDash"/>
            </a:ln>
          </c:spPr>
          <c:marker>
            <c:symbol val="none"/>
          </c:marker>
          <c:xVal>
            <c:numRef>
              <c:f>'Celeration lines'!$J$59:$J$60</c:f>
              <c:numCache>
                <c:formatCode>0</c:formatCode>
                <c:ptCount val="2"/>
              </c:numCache>
            </c:numRef>
          </c:xVal>
          <c:yVal>
            <c:numRef>
              <c:f>'Celeration lines'!$K$59:$K$60</c:f>
              <c:numCache>
                <c:formatCode>0.00</c:formatCode>
                <c:ptCount val="2"/>
              </c:numCache>
            </c:numRef>
          </c:yVal>
          <c:smooth val="0"/>
          <c:extLst>
            <c:ext xmlns:c16="http://schemas.microsoft.com/office/drawing/2014/chart" uri="{C3380CC4-5D6E-409C-BE32-E72D297353CC}">
              <c16:uniqueId val="{000004D1-6533-4801-91F4-C60974D7FA9E}"/>
            </c:ext>
          </c:extLst>
        </c:ser>
        <c:ser>
          <c:idx val="175"/>
          <c:order val="150"/>
          <c:tx>
            <c:v>CelCeiling8</c:v>
          </c:tx>
          <c:spPr>
            <a:ln w="12700">
              <a:solidFill>
                <a:srgbClr val="008000"/>
              </a:solidFill>
            </a:ln>
          </c:spPr>
          <c:marker>
            <c:symbol val="none"/>
          </c:marker>
          <c:xVal>
            <c:numRef>
              <c:f>'Celeration lines'!$D$61:$D$62</c:f>
              <c:numCache>
                <c:formatCode>General</c:formatCode>
                <c:ptCount val="2"/>
              </c:numCache>
            </c:numRef>
          </c:xVal>
          <c:yVal>
            <c:numRef>
              <c:f>'Celeration lines'!$E$61:$E$62</c:f>
              <c:numCache>
                <c:formatCode>0.00</c:formatCode>
                <c:ptCount val="2"/>
              </c:numCache>
            </c:numRef>
          </c:yVal>
          <c:smooth val="0"/>
          <c:extLst>
            <c:ext xmlns:c16="http://schemas.microsoft.com/office/drawing/2014/chart" uri="{C3380CC4-5D6E-409C-BE32-E72D297353CC}">
              <c16:uniqueId val="{000004D2-6533-4801-91F4-C60974D7FA9E}"/>
            </c:ext>
          </c:extLst>
        </c:ser>
        <c:ser>
          <c:idx val="176"/>
          <c:order val="151"/>
          <c:tx>
            <c:v>CelCeilingFor8</c:v>
          </c:tx>
          <c:spPr>
            <a:ln w="12700">
              <a:solidFill>
                <a:srgbClr val="008000"/>
              </a:solidFill>
              <a:prstDash val="sysDash"/>
            </a:ln>
          </c:spPr>
          <c:marker>
            <c:symbol val="none"/>
          </c:marker>
          <c:dLbls>
            <c:dLbl>
              <c:idx val="1"/>
              <c:tx>
                <c:strRef>
                  <c:f>'Celeration lines'!$L$61</c:f>
                  <c:strCache>
                    <c:ptCount val="1"/>
                  </c:strCache>
                </c:strRef>
              </c:tx>
              <c:spPr>
                <a:solidFill>
                  <a:schemeClr val="bg1">
                    <a:lumMod val="95000"/>
                  </a:schemeClr>
                </a:solidFill>
              </c:spPr>
              <c:txPr>
                <a:bodyPr/>
                <a:lstStyle/>
                <a:p>
                  <a:pPr>
                    <a:defRPr>
                      <a:solidFill>
                        <a:srgbClr val="008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{726E7819-8463-4D6C-A712-4CEE91C83455}</c15:txfldGUID>
                      <c15:f>'Celeration lines'!$L$61</c15:f>
                      <c15:dlblFieldTableCache>
                        <c:ptCount val="1"/>
                      </c15:dlblFieldTableCache>
                    </c15:dlblFTEntry>
                  </c15:dlblFieldTable>
                  <c15:showDataLabelsRange val="0"/>
                </c:ext>
                <c:ext xmlns:c16="http://schemas.microsoft.com/office/drawing/2014/chart" uri="{C3380CC4-5D6E-409C-BE32-E72D297353CC}">
                  <c16:uniqueId val="{000004D3-6533-4801-91F4-C60974D7FA9E}"/>
                </c:ext>
              </c:extLst>
            </c:dLbl>
            <c:spPr>
              <a:solidFill>
                <a:schemeClr val="bg1">
                  <a:lumMod val="95000"/>
                </a:schemeClr>
              </a:solidFill>
              <a:ln>
                <a:noFill/>
              </a:ln>
              <a:effectLst/>
            </c:spPr>
            <c:txPr>
              <a:bodyPr wrap="square" lIns="38100" tIns="19050" rIns="38100" bIns="19050" anchor="ctr">
                <a:spAutoFit/>
              </a:bodyPr>
              <a:lstStyle/>
              <a:p>
                <a:pPr>
                  <a:defRPr>
                    <a:solidFill>
                      <a:srgbClr val="008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lines'!$F$61:$F$62</c:f>
              <c:numCache>
                <c:formatCode>0</c:formatCode>
                <c:ptCount val="2"/>
              </c:numCache>
            </c:numRef>
          </c:xVal>
          <c:yVal>
            <c:numRef>
              <c:f>'Celeration lines'!$G$61:$G$62</c:f>
              <c:numCache>
                <c:formatCode>0.00</c:formatCode>
                <c:ptCount val="2"/>
              </c:numCache>
            </c:numRef>
          </c:yVal>
          <c:smooth val="0"/>
          <c:extLst>
            <c:ext xmlns:c16="http://schemas.microsoft.com/office/drawing/2014/chart" uri="{C3380CC4-5D6E-409C-BE32-E72D297353CC}">
              <c16:uniqueId val="{000004D4-6533-4801-91F4-C60974D7FA9E}"/>
            </c:ext>
          </c:extLst>
        </c:ser>
        <c:ser>
          <c:idx val="177"/>
          <c:order val="152"/>
          <c:tx>
            <c:v>CelCeilingUp8</c:v>
          </c:tx>
          <c:spPr>
            <a:ln w="12700">
              <a:solidFill>
                <a:srgbClr val="008000"/>
              </a:solidFill>
              <a:prstDash val="sysDash"/>
            </a:ln>
          </c:spPr>
          <c:marker>
            <c:symbol val="none"/>
          </c:marker>
          <c:xVal>
            <c:numRef>
              <c:f>'Celeration lines'!$H$61:$H$62</c:f>
              <c:numCache>
                <c:formatCode>0</c:formatCode>
                <c:ptCount val="2"/>
              </c:numCache>
            </c:numRef>
          </c:xVal>
          <c:yVal>
            <c:numRef>
              <c:f>'Celeration lines'!$I$61:$I$62</c:f>
              <c:numCache>
                <c:formatCode>0.00</c:formatCode>
                <c:ptCount val="2"/>
              </c:numCache>
            </c:numRef>
          </c:yVal>
          <c:smooth val="0"/>
          <c:extLst>
            <c:ext xmlns:c16="http://schemas.microsoft.com/office/drawing/2014/chart" uri="{C3380CC4-5D6E-409C-BE32-E72D297353CC}">
              <c16:uniqueId val="{000004D5-6533-4801-91F4-C60974D7FA9E}"/>
            </c:ext>
          </c:extLst>
        </c:ser>
        <c:ser>
          <c:idx val="178"/>
          <c:order val="153"/>
          <c:tx>
            <c:v>CelCeilingDwn8</c:v>
          </c:tx>
          <c:spPr>
            <a:ln w="12700">
              <a:solidFill>
                <a:srgbClr val="008000"/>
              </a:solidFill>
              <a:prstDash val="sysDash"/>
            </a:ln>
          </c:spPr>
          <c:marker>
            <c:symbol val="none"/>
          </c:marker>
          <c:xVal>
            <c:numRef>
              <c:f>'Celeration lines'!$J$61:$J$62</c:f>
              <c:numCache>
                <c:formatCode>0</c:formatCode>
                <c:ptCount val="2"/>
              </c:numCache>
            </c:numRef>
          </c:xVal>
          <c:yVal>
            <c:numRef>
              <c:f>'Celeration lines'!$K$61:$K$62</c:f>
              <c:numCache>
                <c:formatCode>0.00</c:formatCode>
                <c:ptCount val="2"/>
              </c:numCache>
            </c:numRef>
          </c:yVal>
          <c:smooth val="0"/>
          <c:extLst>
            <c:ext xmlns:c16="http://schemas.microsoft.com/office/drawing/2014/chart" uri="{C3380CC4-5D6E-409C-BE32-E72D297353CC}">
              <c16:uniqueId val="{000004D6-6533-4801-91F4-C60974D7FA9E}"/>
            </c:ext>
          </c:extLst>
        </c:ser>
        <c:ser>
          <c:idx val="179"/>
          <c:order val="154"/>
          <c:tx>
            <c:v>CelCeiling9</c:v>
          </c:tx>
          <c:spPr>
            <a:ln w="12700">
              <a:solidFill>
                <a:srgbClr val="008000"/>
              </a:solidFill>
            </a:ln>
          </c:spPr>
          <c:marker>
            <c:symbol val="none"/>
          </c:marker>
          <c:xVal>
            <c:numRef>
              <c:f>'Celeration lines'!$D$63:$D$64</c:f>
              <c:numCache>
                <c:formatCode>General</c:formatCode>
                <c:ptCount val="2"/>
              </c:numCache>
            </c:numRef>
          </c:xVal>
          <c:yVal>
            <c:numRef>
              <c:f>'Celeration lines'!$E$63:$E$64</c:f>
              <c:numCache>
                <c:formatCode>0.00</c:formatCode>
                <c:ptCount val="2"/>
              </c:numCache>
            </c:numRef>
          </c:yVal>
          <c:smooth val="0"/>
          <c:extLst>
            <c:ext xmlns:c16="http://schemas.microsoft.com/office/drawing/2014/chart" uri="{C3380CC4-5D6E-409C-BE32-E72D297353CC}">
              <c16:uniqueId val="{000004D7-6533-4801-91F4-C60974D7FA9E}"/>
            </c:ext>
          </c:extLst>
        </c:ser>
        <c:ser>
          <c:idx val="180"/>
          <c:order val="155"/>
          <c:tx>
            <c:v>CelCeilingFor9</c:v>
          </c:tx>
          <c:spPr>
            <a:ln w="12700">
              <a:solidFill>
                <a:srgbClr val="008000"/>
              </a:solidFill>
              <a:prstDash val="sysDash"/>
            </a:ln>
          </c:spPr>
          <c:marker>
            <c:symbol val="none"/>
          </c:marker>
          <c:dLbls>
            <c:dLbl>
              <c:idx val="1"/>
              <c:tx>
                <c:strRef>
                  <c:f>'Celeration lines'!$L$63</c:f>
                  <c:strCache>
                    <c:ptCount val="1"/>
                  </c:strCache>
                </c:strRef>
              </c:tx>
              <c:spPr>
                <a:solidFill>
                  <a:schemeClr val="bg1">
                    <a:lumMod val="95000"/>
                  </a:schemeClr>
                </a:solidFill>
              </c:spPr>
              <c:txPr>
                <a:bodyPr/>
                <a:lstStyle/>
                <a:p>
                  <a:pPr>
                    <a:defRPr sz="800">
                      <a:solidFill>
                        <a:srgbClr val="008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{CFCEC26B-CCAA-44E9-BE73-E1E2F08C7936}</c15:txfldGUID>
                      <c15:f>'Celeration lines'!$L$63</c15:f>
                      <c15:dlblFieldTableCache>
                        <c:ptCount val="1"/>
                      </c15:dlblFieldTableCache>
                    </c15:dlblFTEntry>
                  </c15:dlblFieldTable>
                  <c15:showDataLabelsRange val="0"/>
                </c:ext>
                <c:ext xmlns:c16="http://schemas.microsoft.com/office/drawing/2014/chart" uri="{C3380CC4-5D6E-409C-BE32-E72D297353CC}">
                  <c16:uniqueId val="{000004D8-6533-4801-91F4-C60974D7FA9E}"/>
                </c:ext>
              </c:extLst>
            </c:dLbl>
            <c:spPr>
              <a:solidFill>
                <a:schemeClr val="bg1">
                  <a:lumMod val="95000"/>
                </a:schemeClr>
              </a:solidFill>
              <a:ln>
                <a:noFill/>
              </a:ln>
              <a:effectLst/>
            </c:spPr>
            <c:txPr>
              <a:bodyPr wrap="square" lIns="38100" tIns="19050" rIns="38100" bIns="19050" anchor="ctr">
                <a:spAutoFit/>
              </a:bodyPr>
              <a:lstStyle/>
              <a:p>
                <a:pPr>
                  <a:defRPr sz="800">
                    <a:solidFill>
                      <a:srgbClr val="008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lines'!$F$63:$F$64</c:f>
              <c:numCache>
                <c:formatCode>0</c:formatCode>
                <c:ptCount val="2"/>
              </c:numCache>
            </c:numRef>
          </c:xVal>
          <c:yVal>
            <c:numRef>
              <c:f>'Celeration lines'!$G$63:$G$64</c:f>
              <c:numCache>
                <c:formatCode>0.00</c:formatCode>
                <c:ptCount val="2"/>
              </c:numCache>
            </c:numRef>
          </c:yVal>
          <c:smooth val="0"/>
          <c:extLst>
            <c:ext xmlns:c16="http://schemas.microsoft.com/office/drawing/2014/chart" uri="{C3380CC4-5D6E-409C-BE32-E72D297353CC}">
              <c16:uniqueId val="{000004D9-6533-4801-91F4-C60974D7FA9E}"/>
            </c:ext>
          </c:extLst>
        </c:ser>
        <c:ser>
          <c:idx val="181"/>
          <c:order val="156"/>
          <c:tx>
            <c:v>CelCeilingUp9</c:v>
          </c:tx>
          <c:spPr>
            <a:ln w="12700">
              <a:solidFill>
                <a:srgbClr val="008000"/>
              </a:solidFill>
              <a:prstDash val="sysDash"/>
            </a:ln>
          </c:spPr>
          <c:marker>
            <c:symbol val="none"/>
          </c:marker>
          <c:xVal>
            <c:numRef>
              <c:f>'Celeration lines'!$H$63:$H$64</c:f>
              <c:numCache>
                <c:formatCode>0</c:formatCode>
                <c:ptCount val="2"/>
              </c:numCache>
            </c:numRef>
          </c:xVal>
          <c:yVal>
            <c:numRef>
              <c:f>'Celeration lines'!$I$63:$I$64</c:f>
              <c:numCache>
                <c:formatCode>0.00</c:formatCode>
                <c:ptCount val="2"/>
              </c:numCache>
            </c:numRef>
          </c:yVal>
          <c:smooth val="0"/>
          <c:extLst>
            <c:ext xmlns:c16="http://schemas.microsoft.com/office/drawing/2014/chart" uri="{C3380CC4-5D6E-409C-BE32-E72D297353CC}">
              <c16:uniqueId val="{000004DA-6533-4801-91F4-C60974D7FA9E}"/>
            </c:ext>
          </c:extLst>
        </c:ser>
        <c:ser>
          <c:idx val="182"/>
          <c:order val="157"/>
          <c:tx>
            <c:v>CelCeilingDwn9</c:v>
          </c:tx>
          <c:spPr>
            <a:ln w="12700">
              <a:solidFill>
                <a:srgbClr val="008000"/>
              </a:solidFill>
              <a:prstDash val="sysDash"/>
            </a:ln>
          </c:spPr>
          <c:marker>
            <c:symbol val="none"/>
          </c:marker>
          <c:xVal>
            <c:numRef>
              <c:f>'Celeration lines'!$J$63:$J$64</c:f>
              <c:numCache>
                <c:formatCode>0</c:formatCode>
                <c:ptCount val="2"/>
              </c:numCache>
            </c:numRef>
          </c:xVal>
          <c:yVal>
            <c:numRef>
              <c:f>'Celeration lines'!$K$63:$K$64</c:f>
              <c:numCache>
                <c:formatCode>0.00</c:formatCode>
                <c:ptCount val="2"/>
              </c:numCache>
            </c:numRef>
          </c:yVal>
          <c:smooth val="0"/>
          <c:extLst>
            <c:ext xmlns:c16="http://schemas.microsoft.com/office/drawing/2014/chart" uri="{C3380CC4-5D6E-409C-BE32-E72D297353CC}">
              <c16:uniqueId val="{000004DB-6533-4801-91F4-C60974D7FA9E}"/>
            </c:ext>
          </c:extLst>
        </c:ser>
        <c:ser>
          <c:idx val="183"/>
          <c:order val="158"/>
          <c:tx>
            <c:v>CelCeiling10</c:v>
          </c:tx>
          <c:spPr>
            <a:ln w="12700">
              <a:solidFill>
                <a:srgbClr val="008000"/>
              </a:solidFill>
            </a:ln>
          </c:spPr>
          <c:marker>
            <c:symbol val="none"/>
          </c:marker>
          <c:xVal>
            <c:numRef>
              <c:f>'Celeration lines'!$D$65:$D$66</c:f>
              <c:numCache>
                <c:formatCode>General</c:formatCode>
                <c:ptCount val="2"/>
              </c:numCache>
            </c:numRef>
          </c:xVal>
          <c:yVal>
            <c:numRef>
              <c:f>'Celeration lines'!$E$65:$E$66</c:f>
              <c:numCache>
                <c:formatCode>0.00</c:formatCode>
                <c:ptCount val="2"/>
              </c:numCache>
            </c:numRef>
          </c:yVal>
          <c:smooth val="0"/>
          <c:extLst>
            <c:ext xmlns:c16="http://schemas.microsoft.com/office/drawing/2014/chart" uri="{C3380CC4-5D6E-409C-BE32-E72D297353CC}">
              <c16:uniqueId val="{000004DC-6533-4801-91F4-C60974D7FA9E}"/>
            </c:ext>
          </c:extLst>
        </c:ser>
        <c:ser>
          <c:idx val="184"/>
          <c:order val="159"/>
          <c:tx>
            <c:v>CelCeilingFor10</c:v>
          </c:tx>
          <c:spPr>
            <a:ln w="12700">
              <a:solidFill>
                <a:srgbClr val="008000"/>
              </a:solidFill>
              <a:prstDash val="sysDash"/>
            </a:ln>
          </c:spPr>
          <c:marker>
            <c:symbol val="none"/>
          </c:marker>
          <c:dLbls>
            <c:dLbl>
              <c:idx val="1"/>
              <c:tx>
                <c:strRef>
                  <c:f>'Celeration lines'!$L$65</c:f>
                  <c:strCache>
                    <c:ptCount val="1"/>
                  </c:strCache>
                </c:strRef>
              </c:tx>
              <c:spPr>
                <a:solidFill>
                  <a:schemeClr val="bg1">
                    <a:lumMod val="95000"/>
                  </a:schemeClr>
                </a:solidFill>
              </c:spPr>
              <c:txPr>
                <a:bodyPr/>
                <a:lstStyle/>
                <a:p>
                  <a:pPr>
                    <a:defRPr sz="800">
                      <a:solidFill>
                        <a:srgbClr val="008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{96E7D592-10C1-402E-B76D-444174A572AD}</c15:txfldGUID>
                      <c15:f>'Celeration lines'!$L$65</c15:f>
                      <c15:dlblFieldTableCache>
                        <c:ptCount val="1"/>
                      </c15:dlblFieldTableCache>
                    </c15:dlblFTEntry>
                  </c15:dlblFieldTable>
                  <c15:showDataLabelsRange val="0"/>
                </c:ext>
                <c:ext xmlns:c16="http://schemas.microsoft.com/office/drawing/2014/chart" uri="{C3380CC4-5D6E-409C-BE32-E72D297353CC}">
                  <c16:uniqueId val="{000004DD-6533-4801-91F4-C60974D7FA9E}"/>
                </c:ext>
              </c:extLst>
            </c:dLbl>
            <c:spPr>
              <a:solidFill>
                <a:schemeClr val="bg1">
                  <a:lumMod val="95000"/>
                </a:schemeClr>
              </a:solidFill>
              <a:ln>
                <a:noFill/>
              </a:ln>
              <a:effectLst/>
            </c:spPr>
            <c:txPr>
              <a:bodyPr wrap="square" lIns="38100" tIns="19050" rIns="38100" bIns="19050" anchor="ctr">
                <a:spAutoFit/>
              </a:bodyPr>
              <a:lstStyle/>
              <a:p>
                <a:pPr>
                  <a:defRPr sz="800">
                    <a:solidFill>
                      <a:srgbClr val="008000"/>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'Celeration lines'!$F$65:$F$66</c:f>
              <c:numCache>
                <c:formatCode>0</c:formatCode>
                <c:ptCount val="2"/>
              </c:numCache>
            </c:numRef>
          </c:xVal>
          <c:yVal>
            <c:numRef>
              <c:f>'Celeration lines'!$G$65:$G$66</c:f>
              <c:numCache>
                <c:formatCode>0.00</c:formatCode>
                <c:ptCount val="2"/>
              </c:numCache>
            </c:numRef>
          </c:yVal>
          <c:smooth val="0"/>
          <c:extLst>
            <c:ext xmlns:c16="http://schemas.microsoft.com/office/drawing/2014/chart" uri="{C3380CC4-5D6E-409C-BE32-E72D297353CC}">
              <c16:uniqueId val="{000004DE-6533-4801-91F4-C60974D7FA9E}"/>
            </c:ext>
          </c:extLst>
        </c:ser>
        <c:ser>
          <c:idx val="185"/>
          <c:order val="160"/>
          <c:tx>
            <c:v>CelCeilingUp10</c:v>
          </c:tx>
          <c:spPr>
            <a:ln w="12700">
              <a:solidFill>
                <a:srgbClr val="008000"/>
              </a:solidFill>
              <a:prstDash val="sysDash"/>
            </a:ln>
          </c:spPr>
          <c:marker>
            <c:symbol val="none"/>
          </c:marker>
          <c:xVal>
            <c:numRef>
              <c:f>'Celeration lines'!$H$65:$H$66</c:f>
              <c:numCache>
                <c:formatCode>0</c:formatCode>
                <c:ptCount val="2"/>
              </c:numCache>
            </c:numRef>
          </c:xVal>
          <c:yVal>
            <c:numRef>
              <c:f>'Celeration lines'!$I$65:$I$66</c:f>
              <c:numCache>
                <c:formatCode>0.00</c:formatCode>
                <c:ptCount val="2"/>
              </c:numCache>
            </c:numRef>
          </c:yVal>
          <c:smooth val="0"/>
          <c:extLst>
            <c:ext xmlns:c16="http://schemas.microsoft.com/office/drawing/2014/chart" uri="{C3380CC4-5D6E-409C-BE32-E72D297353CC}">
              <c16:uniqueId val="{000004DF-6533-4801-91F4-C60974D7FA9E}"/>
            </c:ext>
          </c:extLst>
        </c:ser>
        <c:ser>
          <c:idx val="186"/>
          <c:order val="161"/>
          <c:tx>
            <c:v>CelCeilingDwn10</c:v>
          </c:tx>
          <c:spPr>
            <a:ln w="12700">
              <a:solidFill>
                <a:srgbClr val="008000"/>
              </a:solidFill>
              <a:prstDash val="sysDash"/>
            </a:ln>
          </c:spPr>
          <c:marker>
            <c:symbol val="none"/>
          </c:marker>
          <c:xVal>
            <c:numRef>
              <c:f>'Celeration lines'!$J$65:$J$66</c:f>
              <c:numCache>
                <c:formatCode>0</c:formatCode>
                <c:ptCount val="2"/>
              </c:numCache>
            </c:numRef>
          </c:xVal>
          <c:yVal>
            <c:numRef>
              <c:f>'Celeration lines'!$K$65:$K$66</c:f>
              <c:numCache>
                <c:formatCode>0.00</c:formatCode>
                <c:ptCount val="2"/>
              </c:numCache>
            </c:numRef>
          </c:yVal>
          <c:smooth val="0"/>
          <c:extLst>
            <c:ext xmlns:c16="http://schemas.microsoft.com/office/drawing/2014/chart" uri="{C3380CC4-5D6E-409C-BE32-E72D297353CC}">
              <c16:uniqueId val="{000004E0-6533-4801-91F4-C60974D7FA9E}"/>
            </c:ext>
          </c:extLst>
        </c:ser>
        <c:ser>
          <c:idx val="29"/>
          <c:order val="162"/>
          <c:tx>
            <c:v>R_Counting_Times</c:v>
          </c:tx>
          <c:spPr>
            <a:ln w="28575">
              <a:noFill/>
            </a:ln>
          </c:spPr>
          <c:marker>
            <c:symbol val="none"/>
          </c:marker>
          <c:dLbls>
            <c:dLbl>
              <c:idx val="0"/>
              <c:tx>
                <c:strRef>
                  <c:f>Progress_Record!$BE$15</c:f>
                  <c:strCache>
                    <c:ptCount val="1"/>
                    <c:pt idx="0">
                      <c:v>6-S</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{B2CC776F-E1EC-4F93-8854-5B255E349423}</c15:txfldGUID>
                      <c15:f>Progress_Record!$BE$15</c15:f>
                      <c15:dlblFieldTableCache>
                        <c:ptCount val="1"/>
                        <c:pt idx="0">
                          <c:v>6-S</c:v>
                        </c:pt>
                      </c15:dlblFieldTableCache>
                    </c15:dlblFTEntry>
                  </c15:dlblFieldTable>
                  <c15:showDataLabelsRange val="0"/>
                </c:ext>
                <c:ext xmlns:c16="http://schemas.microsoft.com/office/drawing/2014/chart" uri="{C3380CC4-5D6E-409C-BE32-E72D297353CC}">
                  <c16:uniqueId val="{000004E1-6533-4801-91F4-C60974D7FA9E}"/>
                </c:ext>
              </c:extLst>
            </c:dLbl>
            <c:dLbl>
              <c:idx val="1"/>
              <c:tx>
                <c:strRef>
                  <c:f>Progress_Record!$BE$16</c:f>
                  <c:strCache>
                    <c:ptCount val="1"/>
                    <c:pt idx="0">
                      <c:v>10-S</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{E044E948-57F0-49E6-808A-CF8F9DDA8FE2}</c15:txfldGUID>
                      <c15:f>Progress_Record!$BE$16</c15:f>
                      <c15:dlblFieldTableCache>
                        <c:ptCount val="1"/>
                        <c:pt idx="0">
                          <c:v>10-S</c:v>
                        </c:pt>
                      </c15:dlblFieldTableCache>
                    </c15:dlblFTEntry>
                  </c15:dlblFieldTable>
                  <c15:showDataLabelsRange val="0"/>
                </c:ext>
                <c:ext xmlns:c16="http://schemas.microsoft.com/office/drawing/2014/chart" uri="{C3380CC4-5D6E-409C-BE32-E72D297353CC}">
                  <c16:uniqueId val="{000004E2-6533-4801-91F4-C60974D7FA9E}"/>
                </c:ext>
              </c:extLst>
            </c:dLbl>
            <c:dLbl>
              <c:idx val="2"/>
              <c:tx>
                <c:strRef>
                  <c:f>Progress_Record!$BE$17</c:f>
                  <c:strCache>
                    <c:ptCount val="1"/>
                    <c:pt idx="0">
                      <c:v>15-S</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{669A6692-06E8-4A22-AAC5-4E830BC5CD9F}</c15:txfldGUID>
                      <c15:f>Progress_Record!$BE$17</c15:f>
                      <c15:dlblFieldTableCache>
                        <c:ptCount val="1"/>
                        <c:pt idx="0">
                          <c:v>15-S</c:v>
                        </c:pt>
                      </c15:dlblFieldTableCache>
                    </c15:dlblFTEntry>
                  </c15:dlblFieldTable>
                  <c15:showDataLabelsRange val="0"/>
                </c:ext>
                <c:ext xmlns:c16="http://schemas.microsoft.com/office/drawing/2014/chart" uri="{C3380CC4-5D6E-409C-BE32-E72D297353CC}">
                  <c16:uniqueId val="{000004E3-6533-4801-91F4-C60974D7FA9E}"/>
                </c:ext>
              </c:extLst>
            </c:dLbl>
            <c:dLbl>
              <c:idx val="3"/>
              <c:tx>
                <c:strRef>
                  <c:f>Progress_Record!$BE$18</c:f>
                  <c:strCache>
                    <c:ptCount val="1"/>
                    <c:pt idx="0">
                      <c:v>30-S</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{CD12CFB9-5872-4CEE-8B07-6FE5DFF7F1B1}</c15:txfldGUID>
                      <c15:f>Progress_Record!$BE$18</c15:f>
                      <c15:dlblFieldTableCache>
                        <c:ptCount val="1"/>
                        <c:pt idx="0">
                          <c:v>30-S</c:v>
                        </c:pt>
                      </c15:dlblFieldTableCache>
                    </c15:dlblFTEntry>
                  </c15:dlblFieldTable>
                  <c15:showDataLabelsRange val="0"/>
                </c:ext>
                <c:ext xmlns:c16="http://schemas.microsoft.com/office/drawing/2014/chart" uri="{C3380CC4-5D6E-409C-BE32-E72D297353CC}">
                  <c16:uniqueId val="{000004E4-6533-4801-91F4-C60974D7FA9E}"/>
                </c:ext>
              </c:extLst>
            </c:dLbl>
            <c:dLbl>
              <c:idx val="4"/>
              <c:tx>
                <c:strRef>
                  <c:f>Progress_Record!$BE$19</c:f>
                  <c:strCache>
                    <c:ptCount val="1"/>
                    <c:pt idx="0">
                      <c:v>45-S</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{DEAD7FD1-D8C2-4DE7-8DF6-37579E6B37CF}</c15:txfldGUID>
                      <c15:f>Progress_Record!$BE$19</c15:f>
                      <c15:dlblFieldTableCache>
                        <c:ptCount val="1"/>
                        <c:pt idx="0">
                          <c:v>45-S</c:v>
                        </c:pt>
                      </c15:dlblFieldTableCache>
                    </c15:dlblFTEntry>
                  </c15:dlblFieldTable>
                  <c15:showDataLabelsRange val="0"/>
                </c:ext>
                <c:ext xmlns:c16="http://schemas.microsoft.com/office/drawing/2014/chart" uri="{C3380CC4-5D6E-409C-BE32-E72D297353CC}">
                  <c16:uniqueId val="{000004E5-6533-4801-91F4-C60974D7FA9E}"/>
                </c:ext>
              </c:extLst>
            </c:dLbl>
            <c:dLbl>
              <c:idx val="5"/>
              <c:tx>
                <c:strRef>
                  <c:f>Progress_Record!$BE$20</c:f>
                  <c:strCache>
                    <c:ptCount val="1"/>
                    <c:pt idx="0">
                      <c:v>1-M</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{4B453E87-D35A-41E7-9933-EAA12F2990A2}</c15:txfldGUID>
                      <c15:f>Progress_Record!$BE$20</c15:f>
                      <c15:dlblFieldTableCache>
                        <c:ptCount val="1"/>
                        <c:pt idx="0">
                          <c:v>1-M</c:v>
                        </c:pt>
                      </c15:dlblFieldTableCache>
                    </c15:dlblFTEntry>
                  </c15:dlblFieldTable>
                  <c15:showDataLabelsRange val="0"/>
                </c:ext>
                <c:ext xmlns:c16="http://schemas.microsoft.com/office/drawing/2014/chart" uri="{C3380CC4-5D6E-409C-BE32-E72D297353CC}">
                  <c16:uniqueId val="{000004E6-6533-4801-91F4-C60974D7FA9E}"/>
                </c:ext>
              </c:extLst>
            </c:dLbl>
            <c:dLbl>
              <c:idx val="6"/>
              <c:tx>
                <c:strRef>
                  <c:f>Progress_Record!$BE$21</c:f>
                  <c:strCache>
                    <c:ptCount val="1"/>
                    <c:pt idx="0">
                      <c:v>2-M</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{FF58066C-7136-4828-9FD2-663159A22FB2}</c15:txfldGUID>
                      <c15:f>Progress_Record!$BE$21</c15:f>
                      <c15:dlblFieldTableCache>
                        <c:ptCount val="1"/>
                        <c:pt idx="0">
                          <c:v>2-M</c:v>
                        </c:pt>
                      </c15:dlblFieldTableCache>
                    </c15:dlblFTEntry>
                  </c15:dlblFieldTable>
                  <c15:showDataLabelsRange val="0"/>
                </c:ext>
                <c:ext xmlns:c16="http://schemas.microsoft.com/office/drawing/2014/chart" uri="{C3380CC4-5D6E-409C-BE32-E72D297353CC}">
                  <c16:uniqueId val="{000004E7-6533-4801-91F4-C60974D7FA9E}"/>
                </c:ext>
              </c:extLst>
            </c:dLbl>
            <c:dLbl>
              <c:idx val="7"/>
              <c:tx>
                <c:strRef>
                  <c:f>Progress_Record!$BE$22</c:f>
                  <c:strCache>
                    <c:ptCount val="1"/>
                    <c:pt idx="0">
                      <c:v>5-M</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{1D88D826-1A16-479E-AD55-6EE4D9012DAD}</c15:txfldGUID>
                      <c15:f>Progress_Record!$BE$22</c15:f>
                      <c15:dlblFieldTableCache>
                        <c:ptCount val="1"/>
                        <c:pt idx="0">
                          <c:v>5-M</c:v>
                        </c:pt>
                      </c15:dlblFieldTableCache>
                    </c15:dlblFTEntry>
                  </c15:dlblFieldTable>
                  <c15:showDataLabelsRange val="0"/>
                </c:ext>
                <c:ext xmlns:c16="http://schemas.microsoft.com/office/drawing/2014/chart" uri="{C3380CC4-5D6E-409C-BE32-E72D297353CC}">
                  <c16:uniqueId val="{000004E8-6533-4801-91F4-C60974D7FA9E}"/>
                </c:ext>
              </c:extLst>
            </c:dLbl>
            <c:dLbl>
              <c:idx val="8"/>
              <c:tx>
                <c:strRef>
                  <c:f>Progress_Record!$BE$23</c:f>
                  <c:strCache>
                    <c:ptCount val="1"/>
                    <c:pt idx="0">
                      <c:v>10-M</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{68BE9A21-30A4-4A7F-9790-847B3419088F}</c15:txfldGUID>
                      <c15:f>Progress_Record!$BE$23</c15:f>
                      <c15:dlblFieldTableCache>
                        <c:ptCount val="1"/>
                        <c:pt idx="0">
                          <c:v>10-M</c:v>
                        </c:pt>
                      </c15:dlblFieldTableCache>
                    </c15:dlblFTEntry>
                  </c15:dlblFieldTable>
                  <c15:showDataLabelsRange val="0"/>
                </c:ext>
                <c:ext xmlns:c16="http://schemas.microsoft.com/office/drawing/2014/chart" uri="{C3380CC4-5D6E-409C-BE32-E72D297353CC}">
                  <c16:uniqueId val="{000004E9-6533-4801-91F4-C60974D7FA9E}"/>
                </c:ext>
              </c:extLst>
            </c:dLbl>
            <c:dLbl>
              <c:idx val="9"/>
              <c:tx>
                <c:strRef>
                  <c:f>Progress_Record!$BE$24</c:f>
                  <c:strCache>
                    <c:ptCount val="1"/>
                    <c:pt idx="0">
                      <c:v>30-M</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{155FE74D-81FF-42DA-B26E-827A7542BB95}</c15:txfldGUID>
                      <c15:f>Progress_Record!$BE$24</c15:f>
                      <c15:dlblFieldTableCache>
                        <c:ptCount val="1"/>
                        <c:pt idx="0">
                          <c:v>30-M</c:v>
                        </c:pt>
                      </c15:dlblFieldTableCache>
                    </c15:dlblFTEntry>
                  </c15:dlblFieldTable>
                  <c15:showDataLabelsRange val="0"/>
                </c:ext>
                <c:ext xmlns:c16="http://schemas.microsoft.com/office/drawing/2014/chart" uri="{C3380CC4-5D6E-409C-BE32-E72D297353CC}">
                  <c16:uniqueId val="{000004EA-6533-4801-91F4-C60974D7FA9E}"/>
                </c:ext>
              </c:extLst>
            </c:dLbl>
            <c:dLbl>
              <c:idx val="10"/>
              <c:tx>
                <c:strRef>
                  <c:f>Progress_Record!$BE$25</c:f>
                  <c:strCache>
                    <c:ptCount val="1"/>
                    <c:pt idx="0">
                      <c:v>1-H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{89115A71-85F6-4FB5-A513-C968B709BB73}</c15:txfldGUID>
                      <c15:f>Progress_Record!$BE$25</c15:f>
                      <c15:dlblFieldTableCache>
                        <c:ptCount val="1"/>
                        <c:pt idx="0">
                          <c:v>1-H</c:v>
                        </c:pt>
                      </c15:dlblFieldTableCache>
                    </c15:dlblFTEntry>
                  </c15:dlblFieldTable>
                  <c15:showDataLabelsRange val="0"/>
                </c:ext>
                <c:ext xmlns:c16="http://schemas.microsoft.com/office/drawing/2014/chart" uri="{C3380CC4-5D6E-409C-BE32-E72D297353CC}">
                  <c16:uniqueId val="{000004EB-6533-4801-91F4-C60974D7FA9E}"/>
                </c:ext>
              </c:extLst>
            </c:dLbl>
            <c:dLbl>
              <c:idx val="11"/>
              <c:tx>
                <c:strRef>
                  <c:f>Progress_Record!$BE$26</c:f>
                  <c:strCache>
                    <c:ptCount val="1"/>
                    <c:pt idx="0">
                      <c:v>2-H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{966D3886-CF47-4222-8B93-481EEF16248F}</c15:txfldGUID>
                      <c15:f>Progress_Record!$BE$26</c15:f>
                      <c15:dlblFieldTableCache>
                        <c:ptCount val="1"/>
                        <c:pt idx="0">
                          <c:v>2-H</c:v>
                        </c:pt>
                      </c15:dlblFieldTableCache>
                    </c15:dlblFTEntry>
                  </c15:dlblFieldTable>
                  <c15:showDataLabelsRange val="0"/>
                </c:ext>
                <c:ext xmlns:c16="http://schemas.microsoft.com/office/drawing/2014/chart" uri="{C3380CC4-5D6E-409C-BE32-E72D297353CC}">
                  <c16:uniqueId val="{000004EC-6533-4801-91F4-C60974D7FA9E}"/>
                </c:ext>
              </c:extLst>
            </c:dLbl>
            <c:dLbl>
              <c:idx val="12"/>
              <c:tx>
                <c:strRef>
                  <c:f>Progress_Record!$BE$27</c:f>
                  <c:strCache>
                    <c:ptCount val="1"/>
                    <c:pt idx="0">
                      <c:v>4-H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{E370C4A7-9BE6-461E-AFAB-75A33F993D0B}</c15:txfldGUID>
                      <c15:f>Progress_Record!$BE$27</c15:f>
                      <c15:dlblFieldTableCache>
                        <c:ptCount val="1"/>
                        <c:pt idx="0">
                          <c:v>4-H</c:v>
                        </c:pt>
                      </c15:dlblFieldTableCache>
                    </c15:dlblFTEntry>
                  </c15:dlblFieldTable>
                  <c15:showDataLabelsRange val="0"/>
                </c:ext>
                <c:ext xmlns:c16="http://schemas.microsoft.com/office/drawing/2014/chart" uri="{C3380CC4-5D6E-409C-BE32-E72D297353CC}">
                  <c16:uniqueId val="{000004ED-6533-4801-91F4-C60974D7FA9E}"/>
                </c:ext>
              </c:extLst>
            </c:dLbl>
            <c:dLbl>
              <c:idx val="13"/>
              <c:tx>
                <c:strRef>
                  <c:f>Progress_Record!$BE$28</c:f>
                  <c:strCache>
                    <c:ptCount val="1"/>
                    <c:pt idx="0">
                      <c:v>8-H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{D3065C63-DF2B-4D60-9A6D-F0460BD0F61F}</c15:txfldGUID>
                      <c15:f>Progress_Record!$BE$28</c15:f>
                      <c15:dlblFieldTableCache>
                        <c:ptCount val="1"/>
                        <c:pt idx="0">
                          <c:v>8-H</c:v>
                        </c:pt>
                      </c15:dlblFieldTableCache>
                    </c15:dlblFTEntry>
                  </c15:dlblFieldTable>
                  <c15:showDataLabelsRange val="0"/>
                </c:ext>
                <c:ext xmlns:c16="http://schemas.microsoft.com/office/drawing/2014/chart" uri="{C3380CC4-5D6E-409C-BE32-E72D297353CC}">
                  <c16:uniqueId val="{000004EE-6533-4801-91F4-C60974D7FA9E}"/>
                </c:ext>
              </c:extLst>
            </c:dLbl>
            <c:dLbl>
              <c:idx val="14"/>
              <c:tx>
                <c:strRef>
                  <c:f>Progress_Record!$BE$29</c:f>
                  <c:strCache>
                    <c:ptCount val="1"/>
                    <c:pt idx="0">
                      <c:v>16-H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{65A61880-94FD-4795-94FC-8E119A2DED19}</c15:txfldGUID>
                      <c15:f>Progress_Record!$BE$29</c15:f>
                      <c15:dlblFieldTableCache>
                        <c:ptCount val="1"/>
                        <c:pt idx="0">
                          <c:v>16-H</c:v>
                        </c:pt>
                      </c15:dlblFieldTableCache>
                    </c15:dlblFTEntry>
                  </c15:dlblFieldTable>
                  <c15:showDataLabelsRange val="0"/>
                </c:ext>
                <c:ext xmlns:c16="http://schemas.microsoft.com/office/drawing/2014/chart" uri="{C3380CC4-5D6E-409C-BE32-E72D297353CC}">
                  <c16:uniqueId val="{000004EF-6533-4801-91F4-C60974D7FA9E}"/>
                </c:ext>
              </c:extLst>
            </c:dLbl>
            <c:dLbl>
              <c:idx val="16"/>
              <c:layout>
                <c:manualLayout>
                  <c:x val="-1.4090909443938318E-3"/>
                  <c:y val="0"/>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4F0-6533-4801-91F4-C60974D7FA9E}"/>
                </c:ext>
              </c:extLst>
            </c:dLbl>
            <c:spPr>
              <a:noFill/>
              <a:ln>
                <a:noFill/>
              </a:ln>
              <a:effectLst/>
            </c:sp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Progress_Record!$BC$15:$BC$36</c:f>
              <c:numCache>
                <c:formatCode>General</c:formatCode>
                <c:ptCount val="22"/>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numCache>
            </c:numRef>
          </c:xVal>
          <c:yVal>
            <c:numRef>
              <c:f>Progress_Record!$BD$15:$BD$36</c:f>
              <c:numCache>
                <c:formatCode>0.00</c:formatCode>
                <c:ptCount val="22"/>
                <c:pt idx="0">
                  <c:v>0</c:v>
                </c:pt>
                <c:pt idx="1">
                  <c:v>0</c:v>
                </c:pt>
                <c:pt idx="2">
                  <c:v>0</c:v>
                </c:pt>
                <c:pt idx="3">
                  <c:v>0</c:v>
                </c:pt>
                <c:pt idx="4">
                  <c:v>0</c:v>
                </c:pt>
                <c:pt idx="5">
                  <c:v>0</c:v>
                </c:pt>
                <c:pt idx="6">
                  <c:v>0</c:v>
                </c:pt>
                <c:pt idx="7">
                  <c:v>0</c:v>
                </c:pt>
                <c:pt idx="8">
                  <c:v>0</c:v>
                </c:pt>
                <c:pt idx="9">
                  <c:v>0</c:v>
                </c:pt>
                <c:pt idx="10" formatCode="0.000">
                  <c:v>0</c:v>
                </c:pt>
                <c:pt idx="11" formatCode="0.000">
                  <c:v>0</c:v>
                </c:pt>
                <c:pt idx="12" formatCode="0.0000">
                  <c:v>0</c:v>
                </c:pt>
                <c:pt idx="13" formatCode="0.0000">
                  <c:v>0</c:v>
                </c:pt>
                <c:pt idx="14" formatCode="0.00000">
                  <c:v>0</c:v>
                </c:pt>
                <c:pt idx="15" formatCode="0.00000">
                  <c:v>0</c:v>
                </c:pt>
                <c:pt idx="16" formatCode="0%">
                  <c:v>1</c:v>
                </c:pt>
                <c:pt idx="17" formatCode="0%">
                  <c:v>0.8</c:v>
                </c:pt>
                <c:pt idx="18" formatCode="0%">
                  <c:v>0.6</c:v>
                </c:pt>
                <c:pt idx="19" formatCode="0%">
                  <c:v>0.4</c:v>
                </c:pt>
                <c:pt idx="20" formatCode="0%">
                  <c:v>0.2</c:v>
                </c:pt>
                <c:pt idx="21" formatCode="0%">
                  <c:v>0.1</c:v>
                </c:pt>
              </c:numCache>
            </c:numRef>
          </c:yVal>
          <c:smooth val="0"/>
          <c:extLst>
            <c:ext xmlns:c16="http://schemas.microsoft.com/office/drawing/2014/chart" uri="{C3380CC4-5D6E-409C-BE32-E72D297353CC}">
              <c16:uniqueId val="{000004F1-6533-4801-91F4-C60974D7FA9E}"/>
            </c:ext>
          </c:extLst>
        </c:ser>
        <c:dLbls>
          <c:showLegendKey val="0"/>
          <c:showVal val="0"/>
          <c:showCatName val="0"/>
          <c:showSerName val="0"/>
          <c:showPercent val="0"/>
          <c:showBubbleSize val="0"/>
        </c:dLbls>
        <c:axId val="2094172864"/>
        <c:axId val="2094390784"/>
      </c:scatterChart>
      <c:valAx>
        <c:axId val="2094172864"/>
        <c:scaling>
          <c:orientation val="minMax"/>
          <c:max val="140"/>
          <c:min val="0"/>
        </c:scaling>
        <c:delete val="0"/>
        <c:axPos val="b"/>
        <c:majorGridlines>
          <c:spPr>
            <a:ln w="9525">
              <a:solidFill>
                <a:srgbClr val="0033CC">
                  <a:alpha val="41000"/>
                </a:srgbClr>
              </a:solidFill>
            </a:ln>
          </c:spPr>
        </c:majorGridlines>
        <c:title>
          <c:tx>
            <c:strRef>
              <c:f>[0]!X_AxisLabel</c:f>
              <c:strCache>
                <c:ptCount val="1"/>
                <c:pt idx="0">
                  <c:v>SUCCESSIVE CALENDAR DAYS</c:v>
                </c:pt>
              </c:strCache>
            </c:strRef>
          </c:tx>
          <c:layout>
            <c:manualLayout>
              <c:xMode val="edge"/>
              <c:yMode val="edge"/>
              <c:x val="0.39952872311235654"/>
              <c:y val="0.90550780162380684"/>
            </c:manualLayout>
          </c:layout>
          <c:overlay val="0"/>
          <c:spPr>
            <a:noFill/>
            <a:ln w="25400">
              <a:noFill/>
            </a:ln>
          </c:spPr>
          <c:txPr>
            <a:bodyPr/>
            <a:lstStyle/>
            <a:p>
              <a:pPr>
                <a:defRPr sz="1400" b="1"/>
              </a:pPr>
              <a:endParaRPr lang="en-US"/>
            </a:p>
          </c:txPr>
        </c:title>
        <c:numFmt formatCode="General" sourceLinked="1"/>
        <c:majorTickMark val="out"/>
        <c:minorTickMark val="in"/>
        <c:tickLblPos val="nextTo"/>
        <c:spPr>
          <a:ln w="9525">
            <a:solidFill>
              <a:srgbClr val="0033CC">
                <a:alpha val="52000"/>
              </a:srgbClr>
            </a:solidFill>
            <a:prstDash val="solid"/>
          </a:ln>
        </c:spPr>
        <c:txPr>
          <a:bodyPr rot="0" vert="horz"/>
          <a:lstStyle/>
          <a:p>
            <a:pPr>
              <a:defRPr/>
            </a:pPr>
            <a:endParaRPr lang="en-US"/>
          </a:p>
        </c:txPr>
        <c:crossAx val="2094390784"/>
        <c:crossesAt val="0.1"/>
        <c:crossBetween val="midCat"/>
        <c:majorUnit val="7"/>
        <c:minorUnit val="1"/>
      </c:valAx>
      <c:valAx>
        <c:axId val="2094390784"/>
        <c:scaling>
          <c:logBase val="10"/>
          <c:orientation val="minMax"/>
          <c:max val="100000"/>
          <c:min val="0.1"/>
        </c:scaling>
        <c:delete val="0"/>
        <c:axPos val="l"/>
        <c:majorGridlines/>
        <c:minorGridlines>
          <c:spPr>
            <a:ln>
              <a:solidFill>
                <a:srgbClr val="0033CC">
                  <a:alpha val="19000"/>
                </a:srgbClr>
              </a:solidFill>
            </a:ln>
          </c:spPr>
        </c:minorGridlines>
        <c:title>
          <c:tx>
            <c:strRef>
              <c:f>[0]!Alt_Ylbl</c:f>
              <c:strCache>
                <c:ptCount val="1"/>
                <c:pt idx="0">
                  <c:v>EVENT FREQUENCY</c:v>
                </c:pt>
              </c:strCache>
            </c:strRef>
          </c:tx>
          <c:layout>
            <c:manualLayout>
              <c:xMode val="edge"/>
              <c:yMode val="edge"/>
              <c:x val="2.9768491187809543E-2"/>
              <c:y val="0.38238937954537855"/>
            </c:manualLayout>
          </c:layout>
          <c:overlay val="0"/>
          <c:spPr>
            <a:noFill/>
            <a:ln w="25400">
              <a:noFill/>
            </a:ln>
          </c:spPr>
          <c:txPr>
            <a:bodyPr/>
            <a:lstStyle/>
            <a:p>
              <a:pPr>
                <a:defRPr sz="1400" b="1"/>
              </a:pPr>
              <a:endParaRPr lang="en-US"/>
            </a:p>
          </c:txPr>
        </c:title>
        <c:numFmt formatCode="General" sourceLinked="0"/>
        <c:majorTickMark val="out"/>
        <c:minorTickMark val="in"/>
        <c:tickLblPos val="nextTo"/>
        <c:spPr>
          <a:ln w="9525">
            <a:solidFill>
              <a:srgbClr val="0033CC">
                <a:alpha val="51000"/>
              </a:srgbClr>
            </a:solidFill>
            <a:prstDash val="solid"/>
          </a:ln>
        </c:spPr>
        <c:txPr>
          <a:bodyPr rot="0" vert="horz"/>
          <a:lstStyle/>
          <a:p>
            <a:pPr>
              <a:defRPr/>
            </a:pPr>
            <a:endParaRPr lang="en-US"/>
          </a:p>
        </c:txPr>
        <c:crossAx val="2094172864"/>
        <c:crossesAt val="0"/>
        <c:crossBetween val="midCat"/>
        <c:majorUnit val="10"/>
        <c:minorUnit val="10"/>
      </c:valAx>
      <c:spPr>
        <a:noFill/>
        <a:ln w="6350">
          <a:solidFill>
            <a:srgbClr val="0033CC">
              <a:alpha val="50000"/>
            </a:srgbClr>
          </a:solidFill>
          <a:prstDash val="solid"/>
        </a:ln>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3175">
      <a:solidFill>
        <a:srgbClr val="000000"/>
      </a:solidFill>
      <a:prstDash val="solid"/>
    </a:ln>
  </c:spPr>
  <c:txPr>
    <a:bodyPr/>
    <a:lstStyle/>
    <a:p>
      <a:pPr>
        <a:defRPr sz="1000" b="0" i="0" u="none" strike="noStrike" baseline="0">
          <a:solidFill>
            <a:srgbClr val="0033CC"/>
          </a:solidFill>
          <a:latin typeface="+mn-lt"/>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05673758865248"/>
          <c:y val="0.12310606060606061"/>
          <c:w val="0.81560283687943258"/>
          <c:h val="0.71969696969696972"/>
        </c:manualLayout>
      </c:layout>
      <c:scatterChart>
        <c:scatterStyle val="lineMarker"/>
        <c:varyColors val="0"/>
        <c:ser>
          <c:idx val="59"/>
          <c:order val="0"/>
          <c:tx>
            <c:v>dates</c:v>
          </c:tx>
          <c:spPr>
            <a:ln w="28575">
              <a:noFill/>
            </a:ln>
          </c:spPr>
          <c:marker>
            <c:symbol val="none"/>
          </c:marker>
          <c:dLbls>
            <c:dLbl>
              <c:idx val="0"/>
              <c:tx>
                <c:strRef>
                  <c:f>Progress_Record!$U$6</c:f>
                  <c:strCache>
                    <c:ptCount val="1"/>
                    <c:pt idx="0">
                      <c:v>05/10/20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{09114327-7A39-46A6-8472-24D703AAD4B6}</c15:txfldGUID>
                      <c15:f>Progress_Record!$U$6</c15:f>
                      <c15:dlblFieldTableCache>
                        <c:ptCount val="1"/>
                        <c:pt idx="0">
                          <c:v>05/10/20</c:v>
                        </c:pt>
                      </c15:dlblFieldTableCache>
                    </c15:dlblFTEntry>
                  </c15:dlblFieldTable>
                  <c15:showDataLabelsRange val="0"/>
                </c:ext>
                <c:ext xmlns:c16="http://schemas.microsoft.com/office/drawing/2014/chart" uri="{C3380CC4-5D6E-409C-BE32-E72D297353CC}">
                  <c16:uniqueId val="{00000000-41C6-4D05-B7A4-0281A259BDA2}"/>
                </c:ext>
              </c:extLst>
            </c:dLbl>
            <c:dLbl>
              <c:idx val="5"/>
              <c:tx>
                <c:strRef>
                  <c:f>Progress_Record!$U$11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{AB5DC206-4CED-402A-ABBE-9F2E63D9F9F9}</c15:txfldGUID>
                      <c15:f>Progress_Record!$U$11</c15:f>
                      <c15:dlblFieldTableCache>
                        <c:ptCount val="1"/>
                        <c:pt idx="0">
                          <c:v>#N/A</c:v>
                        </c:pt>
                      </c15:dlblFieldTableCache>
                    </c15:dlblFTEntry>
                  </c15:dlblFieldTable>
                  <c15:showDataLabelsRange val="0"/>
                </c:ext>
                <c:ext xmlns:c16="http://schemas.microsoft.com/office/drawing/2014/chart" uri="{C3380CC4-5D6E-409C-BE32-E72D297353CC}">
                  <c16:uniqueId val="{00000001-41C6-4D05-B7A4-0281A259BDA2}"/>
                </c:ext>
              </c:extLst>
            </c:dLbl>
            <c:dLbl>
              <c:idx val="10"/>
              <c:tx>
                <c:strRef>
                  <c:f>Progress_Record!$U$16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{76E7773D-C169-4585-A355-57209DBBFAFA}</c15:txfldGUID>
                      <c15:f>Progress_Record!$U$16</c15:f>
                      <c15:dlblFieldTableCache>
                        <c:ptCount val="1"/>
                        <c:pt idx="0">
                          <c:v>#N/A</c:v>
                        </c:pt>
                      </c15:dlblFieldTableCache>
                    </c15:dlblFTEntry>
                  </c15:dlblFieldTable>
                  <c15:showDataLabelsRange val="0"/>
                </c:ext>
                <c:ext xmlns:c16="http://schemas.microsoft.com/office/drawing/2014/chart" uri="{C3380CC4-5D6E-409C-BE32-E72D297353CC}">
                  <c16:uniqueId val="{00000002-41C6-4D05-B7A4-0281A259BDA2}"/>
                </c:ext>
              </c:extLst>
            </c:dLbl>
            <c:dLbl>
              <c:idx val="15"/>
              <c:tx>
                <c:strRef>
                  <c:f>Progress_Record!$U$21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{CE3C3736-E05C-4FBF-A97C-3B3FE58994E5}</c15:txfldGUID>
                      <c15:f>Progress_Record!$U$21</c15:f>
                      <c15:dlblFieldTableCache>
                        <c:ptCount val="1"/>
                        <c:pt idx="0">
                          <c:v>#N/A</c:v>
                        </c:pt>
                      </c15:dlblFieldTableCache>
                    </c15:dlblFTEntry>
                  </c15:dlblFieldTable>
                  <c15:showDataLabelsRange val="0"/>
                </c:ext>
                <c:ext xmlns:c16="http://schemas.microsoft.com/office/drawing/2014/chart" uri="{C3380CC4-5D6E-409C-BE32-E72D297353CC}">
                  <c16:uniqueId val="{00000003-41C6-4D05-B7A4-0281A259BDA2}"/>
                </c:ext>
              </c:extLst>
            </c:dLbl>
            <c:dLbl>
              <c:idx val="20"/>
              <c:tx>
                <c:strRef>
                  <c:f>Progress_Record!$U$26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{AFFD4C3A-234E-4850-ACC7-EA536195493E}</c15:txfldGUID>
                      <c15:f>Progress_Record!$U$26</c15:f>
                      <c15:dlblFieldTableCache>
                        <c:ptCount val="1"/>
                        <c:pt idx="0">
                          <c:v>#N/A</c:v>
                        </c:pt>
                      </c15:dlblFieldTableCache>
                    </c15:dlblFTEntry>
                  </c15:dlblFieldTable>
                  <c15:showDataLabelsRange val="0"/>
                </c:ext>
                <c:ext xmlns:c16="http://schemas.microsoft.com/office/drawing/2014/chart" uri="{C3380CC4-5D6E-409C-BE32-E72D297353CC}">
                  <c16:uniqueId val="{00000004-41C6-4D05-B7A4-0281A259BDA2}"/>
                </c:ext>
              </c:extLst>
            </c:dLbl>
            <c:dLbl>
              <c:idx val="25"/>
              <c:tx>
                <c:strRef>
                  <c:f>Progress_Record!$U$31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{48788BB2-F5D5-449A-8AFF-1608A93170FD}</c15:txfldGUID>
                      <c15:f>Progress_Record!$U$31</c15:f>
                      <c15:dlblFieldTableCache>
                        <c:ptCount val="1"/>
                        <c:pt idx="0">
                          <c:v>#N/A</c:v>
                        </c:pt>
                      </c15:dlblFieldTableCache>
                    </c15:dlblFTEntry>
                  </c15:dlblFieldTable>
                  <c15:showDataLabelsRange val="0"/>
                </c:ext>
                <c:ext xmlns:c16="http://schemas.microsoft.com/office/drawing/2014/chart" uri="{C3380CC4-5D6E-409C-BE32-E72D297353CC}">
                  <c16:uniqueId val="{00000005-41C6-4D05-B7A4-0281A259BDA2}"/>
                </c:ext>
              </c:extLst>
            </c:dLbl>
            <c:dLbl>
              <c:idx val="30"/>
              <c:tx>
                <c:strRef>
                  <c:f>Progress_Record!$U$36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{7A27859A-6902-4DA8-9EC6-5FA8EAF17CD7}</c15:txfldGUID>
                      <c15:f>Progress_Record!$U$36</c15:f>
                      <c15:dlblFieldTableCache>
                        <c:ptCount val="1"/>
                        <c:pt idx="0">
                          <c:v>#N/A</c:v>
                        </c:pt>
                      </c15:dlblFieldTableCache>
                    </c15:dlblFTEntry>
                  </c15:dlblFieldTable>
                  <c15:showDataLabelsRange val="0"/>
                </c:ext>
                <c:ext xmlns:c16="http://schemas.microsoft.com/office/drawing/2014/chart" uri="{C3380CC4-5D6E-409C-BE32-E72D297353CC}">
                  <c16:uniqueId val="{00000006-41C6-4D05-B7A4-0281A259BDA2}"/>
                </c:ext>
              </c:extLst>
            </c:dLbl>
            <c:dLbl>
              <c:idx val="35"/>
              <c:tx>
                <c:strRef>
                  <c:f>Progress_Record!$U$41</c:f>
                  <c:strCache>
                    <c:ptCount val="1"/>
                    <c:pt idx="0">
                      <c:v>06/14/20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{3E4BC7B7-B07C-4973-B5A6-1A2C0CDF5BFA}</c15:txfldGUID>
                      <c15:f>Progress_Record!$U$41</c15:f>
                      <c15:dlblFieldTableCache>
                        <c:ptCount val="1"/>
                        <c:pt idx="0">
                          <c:v>06/14/20</c:v>
                        </c:pt>
                      </c15:dlblFieldTableCache>
                    </c15:dlblFTEntry>
                  </c15:dlblFieldTable>
                  <c15:showDataLabelsRange val="0"/>
                </c:ext>
                <c:ext xmlns:c16="http://schemas.microsoft.com/office/drawing/2014/chart" uri="{C3380CC4-5D6E-409C-BE32-E72D297353CC}">
                  <c16:uniqueId val="{00000007-41C6-4D05-B7A4-0281A259BDA2}"/>
                </c:ext>
              </c:extLst>
            </c:dLbl>
            <c:dLbl>
              <c:idx val="40"/>
              <c:tx>
                <c:strRef>
                  <c:f>Progress_Record!$U$46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{E27408FD-BBBF-4870-808A-8D3AF007EF41}</c15:txfldGUID>
                      <c15:f>Progress_Record!$U$46</c15:f>
                      <c15:dlblFieldTableCache>
                        <c:ptCount val="1"/>
                        <c:pt idx="0">
                          <c:v>#N/A</c:v>
                        </c:pt>
                      </c15:dlblFieldTableCache>
                    </c15:dlblFTEntry>
                  </c15:dlblFieldTable>
                  <c15:showDataLabelsRange val="0"/>
                </c:ext>
                <c:ext xmlns:c16="http://schemas.microsoft.com/office/drawing/2014/chart" uri="{C3380CC4-5D6E-409C-BE32-E72D297353CC}">
                  <c16:uniqueId val="{00000008-41C6-4D05-B7A4-0281A259BDA2}"/>
                </c:ext>
              </c:extLst>
            </c:dLbl>
            <c:dLbl>
              <c:idx val="45"/>
              <c:tx>
                <c:strRef>
                  <c:f>Progress_Record!$U$51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{F81B88B3-4898-4984-9160-3DC605F65B43}</c15:txfldGUID>
                      <c15:f>Progress_Record!$U$51</c15:f>
                      <c15:dlblFieldTableCache>
                        <c:ptCount val="1"/>
                        <c:pt idx="0">
                          <c:v>#N/A</c:v>
                        </c:pt>
                      </c15:dlblFieldTableCache>
                    </c15:dlblFTEntry>
                  </c15:dlblFieldTable>
                  <c15:showDataLabelsRange val="0"/>
                </c:ext>
                <c:ext xmlns:c16="http://schemas.microsoft.com/office/drawing/2014/chart" uri="{C3380CC4-5D6E-409C-BE32-E72D297353CC}">
                  <c16:uniqueId val="{00000009-41C6-4D05-B7A4-0281A259BDA2}"/>
                </c:ext>
              </c:extLst>
            </c:dLbl>
            <c:dLbl>
              <c:idx val="50"/>
              <c:tx>
                <c:strRef>
                  <c:f>Progress_Record!$U$56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{DF224BD7-8C57-4CC8-9FDF-6E753957CF85}</c15:txfldGUID>
                      <c15:f>Progress_Record!$U$56</c15:f>
                      <c15:dlblFieldTableCache>
                        <c:ptCount val="1"/>
                        <c:pt idx="0">
                          <c:v>#N/A</c:v>
                        </c:pt>
                      </c15:dlblFieldTableCache>
                    </c15:dlblFTEntry>
                  </c15:dlblFieldTable>
                  <c15:showDataLabelsRange val="0"/>
                </c:ext>
                <c:ext xmlns:c16="http://schemas.microsoft.com/office/drawing/2014/chart" uri="{C3380CC4-5D6E-409C-BE32-E72D297353CC}">
                  <c16:uniqueId val="{0000000A-41C6-4D05-B7A4-0281A259BDA2}"/>
                </c:ext>
              </c:extLst>
            </c:dLbl>
            <c:dLbl>
              <c:idx val="55"/>
              <c:tx>
                <c:strRef>
                  <c:f>Progress_Record!$U$61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{985C64D0-8CA4-4E03-9614-41805FCFE4C3}</c15:txfldGUID>
                      <c15:f>Progress_Record!$U$61</c15:f>
                      <c15:dlblFieldTableCache>
                        <c:ptCount val="1"/>
                        <c:pt idx="0">
                          <c:v>#N/A</c:v>
                        </c:pt>
                      </c15:dlblFieldTableCache>
                    </c15:dlblFTEntry>
                  </c15:dlblFieldTable>
                  <c15:showDataLabelsRange val="0"/>
                </c:ext>
                <c:ext xmlns:c16="http://schemas.microsoft.com/office/drawing/2014/chart" uri="{C3380CC4-5D6E-409C-BE32-E72D297353CC}">
                  <c16:uniqueId val="{0000000B-41C6-4D05-B7A4-0281A259BDA2}"/>
                </c:ext>
              </c:extLst>
            </c:dLbl>
            <c:dLbl>
              <c:idx val="60"/>
              <c:tx>
                <c:strRef>
                  <c:f>Progress_Record!$U$66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{57B4CF67-89FC-48B3-9A9B-3A8534DB3195}</c15:txfldGUID>
                      <c15:f>Progress_Record!$U$66</c15:f>
                      <c15:dlblFieldTableCache>
                        <c:ptCount val="1"/>
                        <c:pt idx="0">
                          <c:v>#N/A</c:v>
                        </c:pt>
                      </c15:dlblFieldTableCache>
                    </c15:dlblFTEntry>
                  </c15:dlblFieldTable>
                  <c15:showDataLabelsRange val="0"/>
                </c:ext>
                <c:ext xmlns:c16="http://schemas.microsoft.com/office/drawing/2014/chart" uri="{C3380CC4-5D6E-409C-BE32-E72D297353CC}">
                  <c16:uniqueId val="{0000000C-41C6-4D05-B7A4-0281A259BDA2}"/>
                </c:ext>
              </c:extLst>
            </c:dLbl>
            <c:dLbl>
              <c:idx val="65"/>
              <c:tx>
                <c:strRef>
                  <c:f>Progress_Record!$U$71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{F2E4A4C3-2B36-4B47-8F74-3AF19EA12437}</c15:txfldGUID>
                      <c15:f>Progress_Record!$U$71</c15:f>
                      <c15:dlblFieldTableCache>
                        <c:ptCount val="1"/>
                        <c:pt idx="0">
                          <c:v>#N/A</c:v>
                        </c:pt>
                      </c15:dlblFieldTableCache>
                    </c15:dlblFTEntry>
                  </c15:dlblFieldTable>
                  <c15:showDataLabelsRange val="0"/>
                </c:ext>
                <c:ext xmlns:c16="http://schemas.microsoft.com/office/drawing/2014/chart" uri="{C3380CC4-5D6E-409C-BE32-E72D297353CC}">
                  <c16:uniqueId val="{0000000D-41C6-4D05-B7A4-0281A259BDA2}"/>
                </c:ext>
              </c:extLst>
            </c:dLbl>
            <c:dLbl>
              <c:idx val="70"/>
              <c:tx>
                <c:strRef>
                  <c:f>Progress_Record!$U$76</c:f>
                  <c:strCache>
                    <c:ptCount val="1"/>
                    <c:pt idx="0">
                      <c:v>07/19/20</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{7C4D7134-873E-4789-9F1D-C9417AE024D1}</c15:txfldGUID>
                      <c15:f>Progress_Record!$U$76</c15:f>
                      <c15:dlblFieldTableCache>
                        <c:ptCount val="1"/>
                        <c:pt idx="0">
                          <c:v>07/19/20</c:v>
                        </c:pt>
                      </c15:dlblFieldTableCache>
                    </c15:dlblFTEntry>
                  </c15:dlblFieldTable>
                  <c15:showDataLabelsRange val="0"/>
                </c:ext>
                <c:ext xmlns:c16="http://schemas.microsoft.com/office/drawing/2014/chart" uri="{C3380CC4-5D6E-409C-BE32-E72D297353CC}">
                  <c16:uniqueId val="{0000000E-41C6-4D05-B7A4-0281A259BDA2}"/>
                </c:ext>
              </c:extLst>
            </c:dLbl>
            <c:dLbl>
              <c:idx val="75"/>
              <c:tx>
                <c:strRef>
                  <c:f>Progress_Record!$U$81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{DB1A08BD-A87A-4E8B-864D-3CA9D5986FEB}</c15:txfldGUID>
                      <c15:f>Progress_Record!$U$81</c15:f>
                      <c15:dlblFieldTableCache>
                        <c:ptCount val="1"/>
                        <c:pt idx="0">
                          <c:v>#N/A</c:v>
                        </c:pt>
                      </c15:dlblFieldTableCache>
                    </c15:dlblFTEntry>
                  </c15:dlblFieldTable>
                  <c15:showDataLabelsRange val="0"/>
                </c:ext>
                <c:ext xmlns:c16="http://schemas.microsoft.com/office/drawing/2014/chart" uri="{C3380CC4-5D6E-409C-BE32-E72D297353CC}">
                  <c16:uniqueId val="{0000000F-41C6-4D05-B7A4-0281A259BDA2}"/>
                </c:ext>
              </c:extLst>
            </c:dLbl>
            <c:dLbl>
              <c:idx val="80"/>
              <c:tx>
                <c:strRef>
                  <c:f>Progress_Record!$U$86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{1AC1EEB2-434A-4A2C-9410-FD6AC6CA16BB}</c15:txfldGUID>
                      <c15:f>Progress_Record!$U$86</c15:f>
                      <c15:dlblFieldTableCache>
                        <c:ptCount val="1"/>
                        <c:pt idx="0">
                          <c:v>#N/A</c:v>
                        </c:pt>
                      </c15:dlblFieldTableCache>
                    </c15:dlblFTEntry>
                  </c15:dlblFieldTable>
                  <c15:showDataLabelsRange val="0"/>
                </c:ext>
                <c:ext xmlns:c16="http://schemas.microsoft.com/office/drawing/2014/chart" uri="{C3380CC4-5D6E-409C-BE32-E72D297353CC}">
                  <c16:uniqueId val="{00000010-41C6-4D05-B7A4-0281A259BDA2}"/>
                </c:ext>
              </c:extLst>
            </c:dLbl>
            <c:dLbl>
              <c:idx val="85"/>
              <c:tx>
                <c:strRef>
                  <c:f>Progress_Record!$U$91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{FD739A03-B219-4326-AE1D-F9A869131BD0}</c15:txfldGUID>
                      <c15:f>Progress_Record!$U$91</c15:f>
                      <c15:dlblFieldTableCache>
                        <c:ptCount val="1"/>
                        <c:pt idx="0">
                          <c:v>#N/A</c:v>
                        </c:pt>
                      </c15:dlblFieldTableCache>
                    </c15:dlblFTEntry>
                  </c15:dlblFieldTable>
                  <c15:showDataLabelsRange val="0"/>
                </c:ext>
                <c:ext xmlns:c16="http://schemas.microsoft.com/office/drawing/2014/chart" uri="{C3380CC4-5D6E-409C-BE32-E72D297353CC}">
                  <c16:uniqueId val="{00000011-41C6-4D05-B7A4-0281A259BDA2}"/>
                </c:ext>
              </c:extLst>
            </c:dLbl>
            <c:dLbl>
              <c:idx val="90"/>
              <c:tx>
                <c:strRef>
                  <c:f>Progress_Record!$U$96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{FD9A782D-EC4D-4839-8E10-E8EBD44BC33F}</c15:txfldGUID>
                      <c15:f>Progress_Record!$U$96</c15:f>
                      <c15:dlblFieldTableCache>
                        <c:ptCount val="1"/>
                        <c:pt idx="0">
                          <c:v>#N/A</c:v>
                        </c:pt>
                      </c15:dlblFieldTableCache>
                    </c15:dlblFTEntry>
                  </c15:dlblFieldTable>
                  <c15:showDataLabelsRange val="0"/>
                </c:ext>
                <c:ext xmlns:c16="http://schemas.microsoft.com/office/drawing/2014/chart" uri="{C3380CC4-5D6E-409C-BE32-E72D297353CC}">
                  <c16:uniqueId val="{00000012-41C6-4D05-B7A4-0281A259BDA2}"/>
                </c:ext>
              </c:extLst>
            </c:dLbl>
            <c:dLbl>
              <c:idx val="95"/>
              <c:tx>
                <c:strRef>
                  <c:f>Progress_Record!$U$101</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{5F88F305-50E5-424B-A5D8-612DCA1A9C61}</c15:txfldGUID>
                      <c15:f>Progress_Record!$U$101</c15:f>
                      <c15:dlblFieldTableCache>
                        <c:ptCount val="1"/>
                        <c:pt idx="0">
                          <c:v>#N/A</c:v>
                        </c:pt>
                      </c15:dlblFieldTableCache>
                    </c15:dlblFTEntry>
                  </c15:dlblFieldTable>
                  <c15:showDataLabelsRange val="0"/>
                </c:ext>
                <c:ext xmlns:c16="http://schemas.microsoft.com/office/drawing/2014/chart" uri="{C3380CC4-5D6E-409C-BE32-E72D297353CC}">
                  <c16:uniqueId val="{00000013-41C6-4D05-B7A4-0281A259BDA2}"/>
                </c:ext>
              </c:extLst>
            </c:dLbl>
            <c:dLbl>
              <c:idx val="100"/>
              <c:tx>
                <c:strRef>
                  <c:f>Progress_Record!$U$106</c:f>
                  <c:strCache>
                    <c:ptCount val="1"/>
                    <c:pt idx="0">
                      <c:v>#N/A</c:v>
                    </c:pt>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{5288F834-74C2-475A-ACB1-6EE0E889008B}</c15:txfldGUID>
                      <c15:f>Progress_Record!$U$106</c15:f>
                      <c15:dlblFieldTableCache>
                        <c:ptCount val="1"/>
                        <c:pt idx="0">
                          <c:v>#N/A</c:v>
                        </c:pt>
                      </c15:dlblFieldTableCache>
                    </c15:dlblFTEntry>
                  </c15:dlblFieldTable>
                  <c15:showDataLabelsRange val="0"/>
                </c:ext>
                <c:ext xmlns:c16="http://schemas.microsoft.com/office/drawing/2014/chart" uri="{C3380CC4-5D6E-409C-BE32-E72D297353CC}">
                  <c16:uniqueId val="{00000014-41C6-4D05-B7A4-0281A259BDA2}"/>
                </c:ext>
              </c:extLst>
            </c:dLbl>
            <c:spPr>
              <a:noFill/>
              <a:ln w="25400">
                <a:noFill/>
              </a:ln>
            </c:spPr>
            <c:txPr>
              <a:bodyPr rot="-2700000" vert="horz"/>
              <a:lstStyle/>
              <a:p>
                <a:pPr algn="ctr">
                  <a:defRPr sz="900" b="1" i="0" u="none" strike="noStrike" baseline="0">
                    <a:solidFill>
                      <a:srgbClr val="0000D4"/>
                    </a:solidFill>
                    <a:latin typeface="+mn-lt"/>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Progress_Record!$R$6:$R$106</c:f>
              <c:numCache>
                <c:formatCode>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Progress_Record!$T$6:$T$106</c:f>
              <c:numCache>
                <c:formatCode>0.0</c:formatCode>
                <c:ptCount val="101"/>
              </c:numCache>
            </c:numRef>
          </c:yVal>
          <c:smooth val="0"/>
          <c:extLst>
            <c:ext xmlns:c16="http://schemas.microsoft.com/office/drawing/2014/chart" uri="{C3380CC4-5D6E-409C-BE32-E72D297353CC}">
              <c16:uniqueId val="{00000015-41C6-4D05-B7A4-0281A259BDA2}"/>
            </c:ext>
          </c:extLst>
        </c:ser>
        <c:ser>
          <c:idx val="2"/>
          <c:order val="1"/>
          <c:tx>
            <c:v>Record Floor</c:v>
          </c:tx>
          <c:spPr>
            <a:ln w="28575">
              <a:noFill/>
            </a:ln>
          </c:spPr>
          <c:marker>
            <c:symbol val="dash"/>
            <c:size val="4"/>
            <c:spPr>
              <a:noFill/>
              <a:ln>
                <a:solidFill>
                  <a:srgbClr val="0000D4"/>
                </a:solidFill>
                <a:prstDash val="solid"/>
              </a:ln>
            </c:spPr>
          </c:marker>
          <c:xVal>
            <c:numRef>
              <c:f>Progress_Record!$D$6:$D$106</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Progress_Record!$I$6:$I$106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16-41C6-4D05-B7A4-0281A259BDA2}"/>
            </c:ext>
          </c:extLst>
        </c:ser>
        <c:ser>
          <c:idx val="0"/>
          <c:order val="2"/>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18-41C6-4D05-B7A4-0281A259BDA2}"/>
                </c:ext>
              </c:extLst>
            </c:dLbl>
            <c:dLbl>
              <c:idx val="2"/>
              <c:layout>
                <c:manualLayout>
                  <c:x val="-1.7910124375279689E-2"/>
                  <c:y val="1.9122748884579273E-2"/>
                </c:manualLayout>
              </c:layout>
              <c:tx>
                <c:strRef>
                  <c:f>'Notes &amp; Phase Changes'!$E$3</c:f>
                  <c:strCache>
                    <c:ptCount val="1"/>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{C6095193-44C7-4B68-99FD-010D1AE1F2D0}</c15:txfldGUID>
                      <c15:f>'Notes &amp; Phase Changes'!$E$3</c15:f>
                      <c15:dlblFieldTableCache>
                        <c:ptCount val="1"/>
                      </c15:dlblFieldTableCache>
                    </c15:dlblFTEntry>
                  </c15:dlblFieldTable>
                  <c15:showDataLabelsRange val="0"/>
                </c:ext>
                <c:ext xmlns:c16="http://schemas.microsoft.com/office/drawing/2014/chart" uri="{C3380CC4-5D6E-409C-BE32-E72D297353CC}">
                  <c16:uniqueId val="{00000019-41C6-4D05-B7A4-0281A259BDA2}"/>
                </c:ext>
              </c:extLst>
            </c:dLbl>
            <c:spPr>
              <a:noFill/>
              <a:ln w="25400">
                <a:noFill/>
              </a:ln>
            </c:spPr>
            <c:txPr>
              <a:bodyPr/>
              <a:lstStyle/>
              <a:p>
                <a:pPr>
                  <a:defRPr sz="800" b="0" i="0" u="none" strike="noStrike" baseline="0">
                    <a:solidFill>
                      <a:srgbClr val="0000D4"/>
                    </a:solidFill>
                    <a:latin typeface="+mn-lt"/>
                    <a:ea typeface="Arial"/>
                    <a:cs typeface="Arial"/>
                  </a:defRPr>
                </a:pPr>
                <a:endParaRPr lang="en-US"/>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Changes'!$G$3:$G$5</c:f>
              <c:numCache>
                <c:formatCode>General</c:formatCode>
                <c:ptCount val="3"/>
                <c:pt idx="0">
                  <c:v>#N/A</c:v>
                </c:pt>
                <c:pt idx="1">
                  <c:v>#N/A</c:v>
                </c:pt>
                <c:pt idx="2">
                  <c:v>#N/A</c:v>
                </c:pt>
              </c:numCache>
            </c:numRef>
          </c:xVal>
          <c:yVal>
            <c:numRef>
              <c:f>'Notes &amp; Phase Changes'!$H$3:$H$5</c:f>
              <c:numCache>
                <c:formatCode>General</c:formatCode>
                <c:ptCount val="3"/>
                <c:pt idx="0">
                  <c:v>#N/A</c:v>
                </c:pt>
                <c:pt idx="1">
                  <c:v>#N/A</c:v>
                </c:pt>
                <c:pt idx="2">
                  <c:v>#N/A</c:v>
                </c:pt>
              </c:numCache>
            </c:numRef>
          </c:yVal>
          <c:smooth val="0"/>
          <c:extLst>
            <c:ext xmlns:c16="http://schemas.microsoft.com/office/drawing/2014/chart" uri="{C3380CC4-5D6E-409C-BE32-E72D297353CC}">
              <c16:uniqueId val="{0000001A-41C6-4D05-B7A4-0281A259BDA2}"/>
            </c:ext>
          </c:extLst>
        </c:ser>
        <c:ser>
          <c:idx val="1"/>
          <c:order val="3"/>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1C-41C6-4D05-B7A4-0281A259BDA2}"/>
                </c:ext>
              </c:extLst>
            </c:dLbl>
            <c:dLbl>
              <c:idx val="2"/>
              <c:tx>
                <c:strRef>
                  <c:f>'Notes &amp; Phase Changes'!$E$4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{D72E2B7F-7062-433C-BE2D-57889DBDDEED}</c15:txfldGUID>
                      <c15:f>'Notes &amp; Phase Changes'!$E$4</c15:f>
                      <c15:dlblFieldTableCache>
                        <c:ptCount val="1"/>
                      </c15:dlblFieldTableCache>
                    </c15:dlblFTEntry>
                  </c15:dlblFieldTable>
                  <c15:showDataLabelsRange val="0"/>
                </c:ext>
                <c:ext xmlns:c16="http://schemas.microsoft.com/office/drawing/2014/chart" uri="{C3380CC4-5D6E-409C-BE32-E72D297353CC}">
                  <c16:uniqueId val="{0000001D-41C6-4D05-B7A4-0281A259BDA2}"/>
                </c:ext>
              </c:extLst>
            </c:dLbl>
            <c:spPr>
              <a:noFill/>
              <a:ln w="25400">
                <a:noFill/>
              </a:ln>
            </c:spPr>
            <c:txPr>
              <a:bodyPr/>
              <a:lstStyle/>
              <a:p>
                <a:pPr>
                  <a:defRPr sz="800" b="0" i="0" u="none" strike="noStrike" baseline="0">
                    <a:solidFill>
                      <a:srgbClr val="0000D4"/>
                    </a:solidFill>
                    <a:latin typeface="+mn-lt"/>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Changes'!$G$6:$G$8</c:f>
              <c:numCache>
                <c:formatCode>General</c:formatCode>
                <c:ptCount val="3"/>
                <c:pt idx="0">
                  <c:v>#N/A</c:v>
                </c:pt>
                <c:pt idx="1">
                  <c:v>#N/A</c:v>
                </c:pt>
                <c:pt idx="2">
                  <c:v>#N/A</c:v>
                </c:pt>
              </c:numCache>
            </c:numRef>
          </c:xVal>
          <c:yVal>
            <c:numRef>
              <c:f>'Notes &amp; Phase Changes'!$H$6:$H$8</c:f>
              <c:numCache>
                <c:formatCode>General</c:formatCode>
                <c:ptCount val="3"/>
                <c:pt idx="0">
                  <c:v>#N/A</c:v>
                </c:pt>
                <c:pt idx="1">
                  <c:v>#N/A</c:v>
                </c:pt>
                <c:pt idx="2">
                  <c:v>#N/A</c:v>
                </c:pt>
              </c:numCache>
            </c:numRef>
          </c:yVal>
          <c:smooth val="0"/>
          <c:extLst>
            <c:ext xmlns:c16="http://schemas.microsoft.com/office/drawing/2014/chart" uri="{C3380CC4-5D6E-409C-BE32-E72D297353CC}">
              <c16:uniqueId val="{0000001E-41C6-4D05-B7A4-0281A259BDA2}"/>
            </c:ext>
          </c:extLst>
        </c:ser>
        <c:ser>
          <c:idx val="3"/>
          <c:order val="4"/>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20-41C6-4D05-B7A4-0281A259BDA2}"/>
                </c:ext>
              </c:extLst>
            </c:dLbl>
            <c:dLbl>
              <c:idx val="2"/>
              <c:tx>
                <c:strRef>
                  <c:f>'Notes &amp; Phase Changes'!$E$5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{53929564-07F3-4035-B041-A3B68402F455}</c15:txfldGUID>
                      <c15:f>'Notes &amp; Phase Changes'!$E$5</c15:f>
                      <c15:dlblFieldTableCache>
                        <c:ptCount val="1"/>
                      </c15:dlblFieldTableCache>
                    </c15:dlblFTEntry>
                  </c15:dlblFieldTable>
                  <c15:showDataLabelsRange val="0"/>
                </c:ext>
                <c:ext xmlns:c16="http://schemas.microsoft.com/office/drawing/2014/chart" uri="{C3380CC4-5D6E-409C-BE32-E72D297353CC}">
                  <c16:uniqueId val="{00000021-41C6-4D05-B7A4-0281A259BDA2}"/>
                </c:ext>
              </c:extLst>
            </c:dLbl>
            <c:spPr>
              <a:noFill/>
              <a:ln w="25400">
                <a:noFill/>
              </a:ln>
            </c:spPr>
            <c:txPr>
              <a:bodyPr/>
              <a:lstStyle/>
              <a:p>
                <a:pPr>
                  <a:defRPr sz="800" b="0" i="0" u="none" strike="noStrike" baseline="0">
                    <a:solidFill>
                      <a:srgbClr val="0000D4"/>
                    </a:solidFill>
                    <a:latin typeface="+mn-lt"/>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Changes'!$G$9:$G$11</c:f>
              <c:numCache>
                <c:formatCode>General</c:formatCode>
                <c:ptCount val="3"/>
                <c:pt idx="0">
                  <c:v>#N/A</c:v>
                </c:pt>
                <c:pt idx="1">
                  <c:v>#N/A</c:v>
                </c:pt>
                <c:pt idx="2">
                  <c:v>#N/A</c:v>
                </c:pt>
              </c:numCache>
            </c:numRef>
          </c:xVal>
          <c:yVal>
            <c:numRef>
              <c:f>'Notes &amp; Phase Changes'!$H$9:$H$11</c:f>
              <c:numCache>
                <c:formatCode>General</c:formatCode>
                <c:ptCount val="3"/>
                <c:pt idx="0">
                  <c:v>#N/A</c:v>
                </c:pt>
                <c:pt idx="1">
                  <c:v>#N/A</c:v>
                </c:pt>
                <c:pt idx="2">
                  <c:v>#N/A</c:v>
                </c:pt>
              </c:numCache>
            </c:numRef>
          </c:yVal>
          <c:smooth val="0"/>
          <c:extLst>
            <c:ext xmlns:c16="http://schemas.microsoft.com/office/drawing/2014/chart" uri="{C3380CC4-5D6E-409C-BE32-E72D297353CC}">
              <c16:uniqueId val="{00000022-41C6-4D05-B7A4-0281A259BDA2}"/>
            </c:ext>
          </c:extLst>
        </c:ser>
        <c:ser>
          <c:idx val="4"/>
          <c:order val="5"/>
          <c:spPr>
            <a:ln w="12700">
              <a:solidFill>
                <a:srgbClr val="000000"/>
              </a:solidFill>
              <a:prstDash val="solid"/>
            </a:ln>
          </c:spPr>
          <c:marker>
            <c:symbol val="none"/>
          </c:marker>
          <c:dPt>
            <c:idx val="0"/>
            <c:bubble3D val="0"/>
            <c:spPr>
              <a:ln w="3175">
                <a:solidFill>
                  <a:srgbClr val="000000"/>
                </a:solidFill>
                <a:prstDash val="solid"/>
              </a:ln>
            </c:spPr>
            <c:extLst>
              <c:ext xmlns:c16="http://schemas.microsoft.com/office/drawing/2014/chart" uri="{C3380CC4-5D6E-409C-BE32-E72D297353CC}">
                <c16:uniqueId val="{00000024-41C6-4D05-B7A4-0281A259BDA2}"/>
              </c:ext>
            </c:extLst>
          </c:dPt>
          <c:dPt>
            <c:idx val="1"/>
            <c:bubble3D val="0"/>
            <c:spPr>
              <a:ln w="3175">
                <a:solidFill>
                  <a:srgbClr val="000000"/>
                </a:solidFill>
                <a:prstDash val="solid"/>
              </a:ln>
            </c:spPr>
            <c:extLst>
              <c:ext xmlns:c16="http://schemas.microsoft.com/office/drawing/2014/chart" uri="{C3380CC4-5D6E-409C-BE32-E72D297353CC}">
                <c16:uniqueId val="{00000026-41C6-4D05-B7A4-0281A259BDA2}"/>
              </c:ext>
            </c:extLst>
          </c:dPt>
          <c:dPt>
            <c:idx val="2"/>
            <c:bubble3D val="0"/>
            <c:spPr>
              <a:ln w="3175">
                <a:solidFill>
                  <a:srgbClr val="000000"/>
                </a:solidFill>
                <a:prstDash val="solid"/>
              </a:ln>
            </c:spPr>
            <c:extLst>
              <c:ext xmlns:c16="http://schemas.microsoft.com/office/drawing/2014/chart" uri="{C3380CC4-5D6E-409C-BE32-E72D297353CC}">
                <c16:uniqueId val="{00000028-41C6-4D05-B7A4-0281A259BDA2}"/>
              </c:ext>
            </c:extLst>
          </c:dPt>
          <c:dLbls>
            <c:dLbl>
              <c:idx val="0"/>
              <c:delete val="1"/>
              <c:extLst>
                <c:ext xmlns:c15="http://schemas.microsoft.com/office/drawing/2012/chart" uri="{CE6537A1-D6FC-4f65-9D91-7224C49458BB}"/>
                <c:ext xmlns:c16="http://schemas.microsoft.com/office/drawing/2014/chart" uri="{C3380CC4-5D6E-409C-BE32-E72D297353CC}">
                  <c16:uniqueId val="{00000024-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26-41C6-4D05-B7A4-0281A259BDA2}"/>
                </c:ext>
              </c:extLst>
            </c:dLbl>
            <c:dLbl>
              <c:idx val="2"/>
              <c:tx>
                <c:strRef>
                  <c:f>'Notes &amp; Phase Changes'!$E$6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{6D487931-E18A-4500-9504-DB968F12BB17}</c15:txfldGUID>
                      <c15:f>'Notes &amp; Phase Changes'!$E$6</c15:f>
                      <c15:dlblFieldTableCache>
                        <c:ptCount val="1"/>
                      </c15:dlblFieldTableCache>
                    </c15:dlblFTEntry>
                  </c15:dlblFieldTable>
                  <c15:showDataLabelsRange val="0"/>
                </c:ext>
                <c:ext xmlns:c16="http://schemas.microsoft.com/office/drawing/2014/chart" uri="{C3380CC4-5D6E-409C-BE32-E72D297353CC}">
                  <c16:uniqueId val="{00000028-41C6-4D05-B7A4-0281A259BDA2}"/>
                </c:ext>
              </c:extLst>
            </c:dLbl>
            <c:spPr>
              <a:noFill/>
              <a:ln w="25400">
                <a:noFill/>
              </a:ln>
            </c:spPr>
            <c:txPr>
              <a:bodyPr/>
              <a:lstStyle/>
              <a:p>
                <a:pPr>
                  <a:defRPr sz="800" b="0" i="0" u="none" strike="noStrike" baseline="0">
                    <a:solidFill>
                      <a:srgbClr val="0000D4"/>
                    </a:solidFill>
                    <a:latin typeface="+mn-lt"/>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Changes'!$G$12:$G$14</c:f>
              <c:numCache>
                <c:formatCode>General</c:formatCode>
                <c:ptCount val="3"/>
                <c:pt idx="0">
                  <c:v>#N/A</c:v>
                </c:pt>
                <c:pt idx="1">
                  <c:v>#N/A</c:v>
                </c:pt>
                <c:pt idx="2">
                  <c:v>#N/A</c:v>
                </c:pt>
              </c:numCache>
            </c:numRef>
          </c:xVal>
          <c:yVal>
            <c:numRef>
              <c:f>'Notes &amp; Phase Changes'!$H$12:$H$14</c:f>
              <c:numCache>
                <c:formatCode>General</c:formatCode>
                <c:ptCount val="3"/>
                <c:pt idx="0">
                  <c:v>#N/A</c:v>
                </c:pt>
                <c:pt idx="1">
                  <c:v>#N/A</c:v>
                </c:pt>
                <c:pt idx="2">
                  <c:v>#N/A</c:v>
                </c:pt>
              </c:numCache>
            </c:numRef>
          </c:yVal>
          <c:smooth val="0"/>
          <c:extLst>
            <c:ext xmlns:c16="http://schemas.microsoft.com/office/drawing/2014/chart" uri="{C3380CC4-5D6E-409C-BE32-E72D297353CC}">
              <c16:uniqueId val="{00000029-41C6-4D05-B7A4-0281A259BDA2}"/>
            </c:ext>
          </c:extLst>
        </c:ser>
        <c:ser>
          <c:idx val="8"/>
          <c:order val="6"/>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2B-41C6-4D05-B7A4-0281A259BDA2}"/>
                </c:ext>
              </c:extLst>
            </c:dLbl>
            <c:dLbl>
              <c:idx val="2"/>
              <c:tx>
                <c:strRef>
                  <c:f>'Notes &amp; Phase Changes'!$E$6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{7BDA0C87-7BD7-4F0D-BCEA-73B1AFC984C7}</c15:txfldGUID>
                      <c15:f>'Notes &amp; Phase Changes'!$E$6</c15:f>
                      <c15:dlblFieldTableCache>
                        <c:ptCount val="1"/>
                      </c15:dlblFieldTableCache>
                    </c15:dlblFTEntry>
                  </c15:dlblFieldTable>
                  <c15:showDataLabelsRange val="0"/>
                </c:ext>
                <c:ext xmlns:c16="http://schemas.microsoft.com/office/drawing/2014/chart" uri="{C3380CC4-5D6E-409C-BE32-E72D297353CC}">
                  <c16:uniqueId val="{0000002C-41C6-4D05-B7A4-0281A259BDA2}"/>
                </c:ext>
              </c:extLst>
            </c:dLbl>
            <c:spPr>
              <a:noFill/>
              <a:ln w="25400">
                <a:noFill/>
              </a:ln>
            </c:spPr>
            <c:txPr>
              <a:bodyPr/>
              <a:lstStyle/>
              <a:p>
                <a:pPr>
                  <a:defRPr sz="800" b="0" i="0" u="none" strike="noStrike" baseline="0">
                    <a:solidFill>
                      <a:srgbClr val="0000D4"/>
                    </a:solidFill>
                    <a:latin typeface="+mn-lt"/>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Changes'!$G$15:$G$17</c:f>
              <c:numCache>
                <c:formatCode>General</c:formatCode>
                <c:ptCount val="3"/>
                <c:pt idx="0">
                  <c:v>#N/A</c:v>
                </c:pt>
                <c:pt idx="1">
                  <c:v>#N/A</c:v>
                </c:pt>
                <c:pt idx="2">
                  <c:v>#N/A</c:v>
                </c:pt>
              </c:numCache>
            </c:numRef>
          </c:xVal>
          <c:yVal>
            <c:numRef>
              <c:f>'Notes &amp; Phase Changes'!$H$15:$H$17</c:f>
              <c:numCache>
                <c:formatCode>General</c:formatCode>
                <c:ptCount val="3"/>
                <c:pt idx="0">
                  <c:v>#N/A</c:v>
                </c:pt>
                <c:pt idx="1">
                  <c:v>#N/A</c:v>
                </c:pt>
                <c:pt idx="2">
                  <c:v>#N/A</c:v>
                </c:pt>
              </c:numCache>
            </c:numRef>
          </c:yVal>
          <c:smooth val="0"/>
          <c:extLst>
            <c:ext xmlns:c16="http://schemas.microsoft.com/office/drawing/2014/chart" uri="{C3380CC4-5D6E-409C-BE32-E72D297353CC}">
              <c16:uniqueId val="{0000002D-41C6-4D05-B7A4-0281A259BDA2}"/>
            </c:ext>
          </c:extLst>
        </c:ser>
        <c:ser>
          <c:idx val="9"/>
          <c:order val="7"/>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2F-41C6-4D05-B7A4-0281A259BDA2}"/>
                </c:ext>
              </c:extLst>
            </c:dLbl>
            <c:dLbl>
              <c:idx val="2"/>
              <c:tx>
                <c:strRef>
                  <c:f>'Notes &amp; Phase Changes'!$E$8</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{50D09313-C6FD-44B4-B8A6-7031172E3D31}</c15:txfldGUID>
                      <c15:f>'Notes &amp; Phase Changes'!$E$8</c15:f>
                      <c15:dlblFieldTableCache>
                        <c:ptCount val="1"/>
                      </c15:dlblFieldTableCache>
                    </c15:dlblFTEntry>
                  </c15:dlblFieldTable>
                  <c15:showDataLabelsRange val="0"/>
                </c:ext>
                <c:ext xmlns:c16="http://schemas.microsoft.com/office/drawing/2014/chart" uri="{C3380CC4-5D6E-409C-BE32-E72D297353CC}">
                  <c16:uniqueId val="{00000030-41C6-4D05-B7A4-0281A259BDA2}"/>
                </c:ext>
              </c:extLst>
            </c:dLbl>
            <c:spPr>
              <a:noFill/>
              <a:ln w="25400">
                <a:noFill/>
              </a:ln>
            </c:spPr>
            <c:txPr>
              <a:bodyPr/>
              <a:lstStyle/>
              <a:p>
                <a:pPr>
                  <a:defRPr sz="800" b="0" i="0" u="none" strike="noStrike" baseline="0">
                    <a:solidFill>
                      <a:srgbClr val="0000D4"/>
                    </a:solidFill>
                    <a:latin typeface="+mn-lt"/>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Changes'!$G$18:$G$20</c:f>
              <c:numCache>
                <c:formatCode>General</c:formatCode>
                <c:ptCount val="3"/>
                <c:pt idx="0">
                  <c:v>#N/A</c:v>
                </c:pt>
                <c:pt idx="1">
                  <c:v>#N/A</c:v>
                </c:pt>
                <c:pt idx="2">
                  <c:v>#N/A</c:v>
                </c:pt>
              </c:numCache>
            </c:numRef>
          </c:xVal>
          <c:yVal>
            <c:numRef>
              <c:f>'Notes &amp; Phase Changes'!$H$18:$H$20</c:f>
              <c:numCache>
                <c:formatCode>General</c:formatCode>
                <c:ptCount val="3"/>
                <c:pt idx="0">
                  <c:v>#N/A</c:v>
                </c:pt>
                <c:pt idx="1">
                  <c:v>#N/A</c:v>
                </c:pt>
                <c:pt idx="2">
                  <c:v>#N/A</c:v>
                </c:pt>
              </c:numCache>
            </c:numRef>
          </c:yVal>
          <c:smooth val="0"/>
          <c:extLst>
            <c:ext xmlns:c16="http://schemas.microsoft.com/office/drawing/2014/chart" uri="{C3380CC4-5D6E-409C-BE32-E72D297353CC}">
              <c16:uniqueId val="{00000031-41C6-4D05-B7A4-0281A259BDA2}"/>
            </c:ext>
          </c:extLst>
        </c:ser>
        <c:ser>
          <c:idx val="10"/>
          <c:order val="8"/>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33-41C6-4D05-B7A4-0281A259BDA2}"/>
                </c:ext>
              </c:extLst>
            </c:dLbl>
            <c:dLbl>
              <c:idx val="2"/>
              <c:tx>
                <c:strRef>
                  <c:f>'Notes &amp; Phase Changes'!$E$9</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{A2FD28BB-DED2-4437-A3C0-D45B8DFFBAA0}</c15:txfldGUID>
                      <c15:f>'Notes &amp; Phase Changes'!$E$9</c15:f>
                      <c15:dlblFieldTableCache>
                        <c:ptCount val="1"/>
                      </c15:dlblFieldTableCache>
                    </c15:dlblFTEntry>
                  </c15:dlblFieldTable>
                  <c15:showDataLabelsRange val="0"/>
                </c:ext>
                <c:ext xmlns:c16="http://schemas.microsoft.com/office/drawing/2014/chart" uri="{C3380CC4-5D6E-409C-BE32-E72D297353CC}">
                  <c16:uniqueId val="{0000003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Changes'!$G$21:$G$23</c:f>
              <c:numCache>
                <c:formatCode>General</c:formatCode>
                <c:ptCount val="3"/>
                <c:pt idx="0">
                  <c:v>#N/A</c:v>
                </c:pt>
                <c:pt idx="1">
                  <c:v>#N/A</c:v>
                </c:pt>
                <c:pt idx="2">
                  <c:v>#N/A</c:v>
                </c:pt>
              </c:numCache>
            </c:numRef>
          </c:xVal>
          <c:yVal>
            <c:numRef>
              <c:f>'Notes &amp; Phase Changes'!$H$21:$H$23</c:f>
              <c:numCache>
                <c:formatCode>General</c:formatCode>
                <c:ptCount val="3"/>
                <c:pt idx="0">
                  <c:v>#N/A</c:v>
                </c:pt>
                <c:pt idx="1">
                  <c:v>#N/A</c:v>
                </c:pt>
                <c:pt idx="2">
                  <c:v>#N/A</c:v>
                </c:pt>
              </c:numCache>
            </c:numRef>
          </c:yVal>
          <c:smooth val="0"/>
          <c:extLst>
            <c:ext xmlns:c16="http://schemas.microsoft.com/office/drawing/2014/chart" uri="{C3380CC4-5D6E-409C-BE32-E72D297353CC}">
              <c16:uniqueId val="{00000035-41C6-4D05-B7A4-0281A259BDA2}"/>
            </c:ext>
          </c:extLst>
        </c:ser>
        <c:ser>
          <c:idx val="11"/>
          <c:order val="9"/>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37-41C6-4D05-B7A4-0281A259BDA2}"/>
                </c:ext>
              </c:extLst>
            </c:dLbl>
            <c:dLbl>
              <c:idx val="2"/>
              <c:tx>
                <c:strRef>
                  <c:f>'Notes &amp; Phase Changes'!$E$10</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{918D3808-AF35-4DB3-8489-AA88B128A090}</c15:txfldGUID>
                      <c15:f>'Notes &amp; Phase Changes'!$E$10</c15:f>
                      <c15:dlblFieldTableCache>
                        <c:ptCount val="1"/>
                      </c15:dlblFieldTableCache>
                    </c15:dlblFTEntry>
                  </c15:dlblFieldTable>
                  <c15:showDataLabelsRange val="0"/>
                </c:ext>
                <c:ext xmlns:c16="http://schemas.microsoft.com/office/drawing/2014/chart" uri="{C3380CC4-5D6E-409C-BE32-E72D297353CC}">
                  <c16:uniqueId val="{0000003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Changes'!$G$24:$G$26</c:f>
              <c:numCache>
                <c:formatCode>General</c:formatCode>
                <c:ptCount val="3"/>
                <c:pt idx="0">
                  <c:v>#N/A</c:v>
                </c:pt>
                <c:pt idx="1">
                  <c:v>#N/A</c:v>
                </c:pt>
                <c:pt idx="2">
                  <c:v>#N/A</c:v>
                </c:pt>
              </c:numCache>
            </c:numRef>
          </c:xVal>
          <c:yVal>
            <c:numRef>
              <c:f>'Notes &amp; Phase Changes'!$H$24:$H$26</c:f>
              <c:numCache>
                <c:formatCode>General</c:formatCode>
                <c:ptCount val="3"/>
                <c:pt idx="0">
                  <c:v>#N/A</c:v>
                </c:pt>
                <c:pt idx="1">
                  <c:v>#N/A</c:v>
                </c:pt>
                <c:pt idx="2">
                  <c:v>#N/A</c:v>
                </c:pt>
              </c:numCache>
            </c:numRef>
          </c:yVal>
          <c:smooth val="0"/>
          <c:extLst>
            <c:ext xmlns:c16="http://schemas.microsoft.com/office/drawing/2014/chart" uri="{C3380CC4-5D6E-409C-BE32-E72D297353CC}">
              <c16:uniqueId val="{00000039-41C6-4D05-B7A4-0281A259BDA2}"/>
            </c:ext>
          </c:extLst>
        </c:ser>
        <c:ser>
          <c:idx val="12"/>
          <c:order val="10"/>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3B-41C6-4D05-B7A4-0281A259BDA2}"/>
                </c:ext>
              </c:extLst>
            </c:dLbl>
            <c:dLbl>
              <c:idx val="2"/>
              <c:tx>
                <c:strRef>
                  <c:f>'Notes &amp; Phase Changes'!$E$11</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{1B684B0D-B2BE-440D-BF47-7DF460973E35}</c15:txfldGUID>
                      <c15:f>'Notes &amp; Phase Changes'!$E$11</c15:f>
                      <c15:dlblFieldTableCache>
                        <c:ptCount val="1"/>
                      </c15:dlblFieldTableCache>
                    </c15:dlblFTEntry>
                  </c15:dlblFieldTable>
                  <c15:showDataLabelsRange val="0"/>
                </c:ext>
                <c:ext xmlns:c16="http://schemas.microsoft.com/office/drawing/2014/chart" uri="{C3380CC4-5D6E-409C-BE32-E72D297353CC}">
                  <c16:uniqueId val="{0000003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Changes'!$G$27:$G$29</c:f>
              <c:numCache>
                <c:formatCode>General</c:formatCode>
                <c:ptCount val="3"/>
                <c:pt idx="0">
                  <c:v>#N/A</c:v>
                </c:pt>
                <c:pt idx="1">
                  <c:v>#N/A</c:v>
                </c:pt>
                <c:pt idx="2">
                  <c:v>#N/A</c:v>
                </c:pt>
              </c:numCache>
            </c:numRef>
          </c:xVal>
          <c:yVal>
            <c:numRef>
              <c:f>'Notes &amp; Phase Changes'!$H$27:$H$29</c:f>
              <c:numCache>
                <c:formatCode>General</c:formatCode>
                <c:ptCount val="3"/>
                <c:pt idx="0">
                  <c:v>#N/A</c:v>
                </c:pt>
                <c:pt idx="1">
                  <c:v>#N/A</c:v>
                </c:pt>
                <c:pt idx="2">
                  <c:v>#N/A</c:v>
                </c:pt>
              </c:numCache>
            </c:numRef>
          </c:yVal>
          <c:smooth val="0"/>
          <c:extLst>
            <c:ext xmlns:c16="http://schemas.microsoft.com/office/drawing/2014/chart" uri="{C3380CC4-5D6E-409C-BE32-E72D297353CC}">
              <c16:uniqueId val="{0000003D-41C6-4D05-B7A4-0281A259BDA2}"/>
            </c:ext>
          </c:extLst>
        </c:ser>
        <c:ser>
          <c:idx val="13"/>
          <c:order val="11"/>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3F-41C6-4D05-B7A4-0281A259BDA2}"/>
                </c:ext>
              </c:extLst>
            </c:dLbl>
            <c:dLbl>
              <c:idx val="2"/>
              <c:tx>
                <c:strRef>
                  <c:f>'Notes &amp; Phase Changes'!$E$12</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{92AE7284-1B36-477A-B05B-128765230B58}</c15:txfldGUID>
                      <c15:f>'Notes &amp; Phase Changes'!$E$12</c15:f>
                      <c15:dlblFieldTableCache>
                        <c:ptCount val="1"/>
                      </c15:dlblFieldTableCache>
                    </c15:dlblFTEntry>
                  </c15:dlblFieldTable>
                  <c15:showDataLabelsRange val="0"/>
                </c:ext>
                <c:ext xmlns:c16="http://schemas.microsoft.com/office/drawing/2014/chart" uri="{C3380CC4-5D6E-409C-BE32-E72D297353CC}">
                  <c16:uniqueId val="{0000004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Changes'!$G$30:$G$32</c:f>
              <c:numCache>
                <c:formatCode>General</c:formatCode>
                <c:ptCount val="3"/>
                <c:pt idx="0">
                  <c:v>#N/A</c:v>
                </c:pt>
                <c:pt idx="1">
                  <c:v>#N/A</c:v>
                </c:pt>
                <c:pt idx="2">
                  <c:v>#N/A</c:v>
                </c:pt>
              </c:numCache>
            </c:numRef>
          </c:xVal>
          <c:yVal>
            <c:numRef>
              <c:f>'Notes &amp; Phase Changes'!$H$30:$H$32</c:f>
              <c:numCache>
                <c:formatCode>General</c:formatCode>
                <c:ptCount val="3"/>
                <c:pt idx="0">
                  <c:v>#N/A</c:v>
                </c:pt>
                <c:pt idx="1">
                  <c:v>#N/A</c:v>
                </c:pt>
                <c:pt idx="2">
                  <c:v>#N/A</c:v>
                </c:pt>
              </c:numCache>
            </c:numRef>
          </c:yVal>
          <c:smooth val="0"/>
          <c:extLst>
            <c:ext xmlns:c16="http://schemas.microsoft.com/office/drawing/2014/chart" uri="{C3380CC4-5D6E-409C-BE32-E72D297353CC}">
              <c16:uniqueId val="{00000041-41C6-4D05-B7A4-0281A259BDA2}"/>
            </c:ext>
          </c:extLst>
        </c:ser>
        <c:ser>
          <c:idx val="14"/>
          <c:order val="12"/>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43-41C6-4D05-B7A4-0281A259BDA2}"/>
                </c:ext>
              </c:extLst>
            </c:dLbl>
            <c:dLbl>
              <c:idx val="2"/>
              <c:tx>
                <c:strRef>
                  <c:f>'Notes &amp; Phase Changes'!$E$13</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{3894FFA3-4057-4707-A693-52547B2A1FA2}</c15:txfldGUID>
                      <c15:f>'Notes &amp; Phase Changes'!$E$13</c15:f>
                      <c15:dlblFieldTableCache>
                        <c:ptCount val="1"/>
                      </c15:dlblFieldTableCache>
                    </c15:dlblFTEntry>
                  </c15:dlblFieldTable>
                  <c15:showDataLabelsRange val="0"/>
                </c:ext>
                <c:ext xmlns:c16="http://schemas.microsoft.com/office/drawing/2014/chart" uri="{C3380CC4-5D6E-409C-BE32-E72D297353CC}">
                  <c16:uniqueId val="{0000004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Changes'!$G$33:$G$35</c:f>
              <c:numCache>
                <c:formatCode>General</c:formatCode>
                <c:ptCount val="3"/>
                <c:pt idx="0">
                  <c:v>#N/A</c:v>
                </c:pt>
                <c:pt idx="1">
                  <c:v>#N/A</c:v>
                </c:pt>
                <c:pt idx="2">
                  <c:v>#N/A</c:v>
                </c:pt>
              </c:numCache>
            </c:numRef>
          </c:xVal>
          <c:yVal>
            <c:numRef>
              <c:f>'Notes &amp; Phase Changes'!$H$33:$H$35</c:f>
              <c:numCache>
                <c:formatCode>General</c:formatCode>
                <c:ptCount val="3"/>
                <c:pt idx="0">
                  <c:v>#N/A</c:v>
                </c:pt>
                <c:pt idx="1">
                  <c:v>#N/A</c:v>
                </c:pt>
                <c:pt idx="2">
                  <c:v>#N/A</c:v>
                </c:pt>
              </c:numCache>
            </c:numRef>
          </c:yVal>
          <c:smooth val="0"/>
          <c:extLst>
            <c:ext xmlns:c16="http://schemas.microsoft.com/office/drawing/2014/chart" uri="{C3380CC4-5D6E-409C-BE32-E72D297353CC}">
              <c16:uniqueId val="{00000045-41C6-4D05-B7A4-0281A259BDA2}"/>
            </c:ext>
          </c:extLst>
        </c:ser>
        <c:ser>
          <c:idx val="15"/>
          <c:order val="13"/>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47-41C6-4D05-B7A4-0281A259BDA2}"/>
                </c:ext>
              </c:extLst>
            </c:dLbl>
            <c:dLbl>
              <c:idx val="2"/>
              <c:tx>
                <c:strRef>
                  <c:f>'Notes &amp; Phase Changes'!$E$14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{2920A0D5-DFB5-4C9A-83CB-B48745F24965}</c15:txfldGUID>
                      <c15:f>'Notes &amp; Phase Changes'!$E$14</c15:f>
                      <c15:dlblFieldTableCache>
                        <c:ptCount val="1"/>
                      </c15:dlblFieldTableCache>
                    </c15:dlblFTEntry>
                  </c15:dlblFieldTable>
                  <c15:showDataLabelsRange val="0"/>
                </c:ext>
                <c:ext xmlns:c16="http://schemas.microsoft.com/office/drawing/2014/chart" uri="{C3380CC4-5D6E-409C-BE32-E72D297353CC}">
                  <c16:uniqueId val="{0000004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Changes'!$G$36:$G$38</c:f>
              <c:numCache>
                <c:formatCode>General</c:formatCode>
                <c:ptCount val="3"/>
                <c:pt idx="0">
                  <c:v>#N/A</c:v>
                </c:pt>
                <c:pt idx="1">
                  <c:v>#N/A</c:v>
                </c:pt>
                <c:pt idx="2">
                  <c:v>#N/A</c:v>
                </c:pt>
              </c:numCache>
            </c:numRef>
          </c:xVal>
          <c:yVal>
            <c:numRef>
              <c:f>'Notes &amp; Phase Changes'!$H$36:$H$38</c:f>
              <c:numCache>
                <c:formatCode>General</c:formatCode>
                <c:ptCount val="3"/>
                <c:pt idx="0">
                  <c:v>#N/A</c:v>
                </c:pt>
                <c:pt idx="1">
                  <c:v>#N/A</c:v>
                </c:pt>
                <c:pt idx="2">
                  <c:v>#N/A</c:v>
                </c:pt>
              </c:numCache>
            </c:numRef>
          </c:yVal>
          <c:smooth val="0"/>
          <c:extLst>
            <c:ext xmlns:c16="http://schemas.microsoft.com/office/drawing/2014/chart" uri="{C3380CC4-5D6E-409C-BE32-E72D297353CC}">
              <c16:uniqueId val="{00000049-41C6-4D05-B7A4-0281A259BDA2}"/>
            </c:ext>
          </c:extLst>
        </c:ser>
        <c:ser>
          <c:idx val="16"/>
          <c:order val="14"/>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4B-41C6-4D05-B7A4-0281A259BDA2}"/>
                </c:ext>
              </c:extLst>
            </c:dLbl>
            <c:dLbl>
              <c:idx val="2"/>
              <c:tx>
                <c:strRef>
                  <c:f>'Notes &amp; Phase Changes'!$E$15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{29F3057D-4A94-4979-A28F-96E75C1BBD03}</c15:txfldGUID>
                      <c15:f>'Notes &amp; Phase Changes'!$E$15</c15:f>
                      <c15:dlblFieldTableCache>
                        <c:ptCount val="1"/>
                      </c15:dlblFieldTableCache>
                    </c15:dlblFTEntry>
                  </c15:dlblFieldTable>
                  <c15:showDataLabelsRange val="0"/>
                </c:ext>
                <c:ext xmlns:c16="http://schemas.microsoft.com/office/drawing/2014/chart" uri="{C3380CC4-5D6E-409C-BE32-E72D297353CC}">
                  <c16:uniqueId val="{0000004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Changes'!$G$39:$G$41</c:f>
              <c:numCache>
                <c:formatCode>General</c:formatCode>
                <c:ptCount val="3"/>
                <c:pt idx="0">
                  <c:v>#N/A</c:v>
                </c:pt>
                <c:pt idx="1">
                  <c:v>#N/A</c:v>
                </c:pt>
                <c:pt idx="2">
                  <c:v>#N/A</c:v>
                </c:pt>
              </c:numCache>
            </c:numRef>
          </c:xVal>
          <c:yVal>
            <c:numRef>
              <c:f>'Notes &amp; Phase Changes'!$H$39:$H$41</c:f>
              <c:numCache>
                <c:formatCode>General</c:formatCode>
                <c:ptCount val="3"/>
                <c:pt idx="0">
                  <c:v>#N/A</c:v>
                </c:pt>
                <c:pt idx="1">
                  <c:v>#N/A</c:v>
                </c:pt>
                <c:pt idx="2">
                  <c:v>#N/A</c:v>
                </c:pt>
              </c:numCache>
            </c:numRef>
          </c:yVal>
          <c:smooth val="0"/>
          <c:extLst>
            <c:ext xmlns:c16="http://schemas.microsoft.com/office/drawing/2014/chart" uri="{C3380CC4-5D6E-409C-BE32-E72D297353CC}">
              <c16:uniqueId val="{0000004D-41C6-4D05-B7A4-0281A259BDA2}"/>
            </c:ext>
          </c:extLst>
        </c:ser>
        <c:ser>
          <c:idx val="17"/>
          <c:order val="15"/>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4F-41C6-4D05-B7A4-0281A259BDA2}"/>
                </c:ext>
              </c:extLst>
            </c:dLbl>
            <c:dLbl>
              <c:idx val="2"/>
              <c:tx>
                <c:strRef>
                  <c:f>'Notes &amp; Phase Changes'!$E$16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{C724D916-6808-43B9-B4BA-03BCDD721986}</c15:txfldGUID>
                      <c15:f>'Notes &amp; Phase Changes'!$E$16</c15:f>
                      <c15:dlblFieldTableCache>
                        <c:ptCount val="1"/>
                      </c15:dlblFieldTableCache>
                    </c15:dlblFTEntry>
                  </c15:dlblFieldTable>
                  <c15:showDataLabelsRange val="0"/>
                </c:ext>
                <c:ext xmlns:c16="http://schemas.microsoft.com/office/drawing/2014/chart" uri="{C3380CC4-5D6E-409C-BE32-E72D297353CC}">
                  <c16:uniqueId val="{0000005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Changes'!$G$42:$G$44</c:f>
              <c:numCache>
                <c:formatCode>General</c:formatCode>
                <c:ptCount val="3"/>
                <c:pt idx="0">
                  <c:v>#N/A</c:v>
                </c:pt>
                <c:pt idx="1">
                  <c:v>#N/A</c:v>
                </c:pt>
                <c:pt idx="2">
                  <c:v>#N/A</c:v>
                </c:pt>
              </c:numCache>
            </c:numRef>
          </c:xVal>
          <c:yVal>
            <c:numRef>
              <c:f>'Notes &amp; Phase Changes'!$H$42:$H$44</c:f>
              <c:numCache>
                <c:formatCode>General</c:formatCode>
                <c:ptCount val="3"/>
                <c:pt idx="0">
                  <c:v>#N/A</c:v>
                </c:pt>
                <c:pt idx="1">
                  <c:v>#N/A</c:v>
                </c:pt>
                <c:pt idx="2">
                  <c:v>#N/A</c:v>
                </c:pt>
              </c:numCache>
            </c:numRef>
          </c:yVal>
          <c:smooth val="0"/>
          <c:extLst>
            <c:ext xmlns:c16="http://schemas.microsoft.com/office/drawing/2014/chart" uri="{C3380CC4-5D6E-409C-BE32-E72D297353CC}">
              <c16:uniqueId val="{00000051-41C6-4D05-B7A4-0281A259BDA2}"/>
            </c:ext>
          </c:extLst>
        </c:ser>
        <c:ser>
          <c:idx val="18"/>
          <c:order val="16"/>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5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53-41C6-4D05-B7A4-0281A259BDA2}"/>
                </c:ext>
              </c:extLst>
            </c:dLbl>
            <c:dLbl>
              <c:idx val="2"/>
              <c:tx>
                <c:strRef>
                  <c:f>'Notes &amp; Phase Changes'!$E$17</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{09398EB2-51FD-4205-85B5-14DD96FE8B65}</c15:txfldGUID>
                      <c15:f>'Notes &amp; Phase Changes'!$E$17</c15:f>
                      <c15:dlblFieldTableCache>
                        <c:ptCount val="1"/>
                      </c15:dlblFieldTableCache>
                    </c15:dlblFTEntry>
                  </c15:dlblFieldTable>
                  <c15:showDataLabelsRange val="0"/>
                </c:ext>
                <c:ext xmlns:c16="http://schemas.microsoft.com/office/drawing/2014/chart" uri="{C3380CC4-5D6E-409C-BE32-E72D297353CC}">
                  <c16:uniqueId val="{0000005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Changes'!$G$45:$G$47</c:f>
              <c:numCache>
                <c:formatCode>General</c:formatCode>
                <c:ptCount val="3"/>
                <c:pt idx="0">
                  <c:v>#N/A</c:v>
                </c:pt>
                <c:pt idx="1">
                  <c:v>#N/A</c:v>
                </c:pt>
                <c:pt idx="2">
                  <c:v>#N/A</c:v>
                </c:pt>
              </c:numCache>
            </c:numRef>
          </c:xVal>
          <c:yVal>
            <c:numRef>
              <c:f>'Notes &amp; Phase Changes'!$H$45:$H$47</c:f>
              <c:numCache>
                <c:formatCode>General</c:formatCode>
                <c:ptCount val="3"/>
                <c:pt idx="0">
                  <c:v>#N/A</c:v>
                </c:pt>
                <c:pt idx="1">
                  <c:v>#N/A</c:v>
                </c:pt>
                <c:pt idx="2">
                  <c:v>#N/A</c:v>
                </c:pt>
              </c:numCache>
            </c:numRef>
          </c:yVal>
          <c:smooth val="0"/>
          <c:extLst>
            <c:ext xmlns:c16="http://schemas.microsoft.com/office/drawing/2014/chart" uri="{C3380CC4-5D6E-409C-BE32-E72D297353CC}">
              <c16:uniqueId val="{00000055-41C6-4D05-B7A4-0281A259BDA2}"/>
            </c:ext>
          </c:extLst>
        </c:ser>
        <c:ser>
          <c:idx val="19"/>
          <c:order val="17"/>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5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57-41C6-4D05-B7A4-0281A259BDA2}"/>
                </c:ext>
              </c:extLst>
            </c:dLbl>
            <c:dLbl>
              <c:idx val="2"/>
              <c:tx>
                <c:strRef>
                  <c:f>'Notes &amp; Phase Changes'!$E$18</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{1C52714C-9E86-4C70-A7C8-E626039406F6}</c15:txfldGUID>
                      <c15:f>'Notes &amp; Phase Changes'!$E$18</c15:f>
                      <c15:dlblFieldTableCache>
                        <c:ptCount val="1"/>
                      </c15:dlblFieldTableCache>
                    </c15:dlblFTEntry>
                  </c15:dlblFieldTable>
                  <c15:showDataLabelsRange val="0"/>
                </c:ext>
                <c:ext xmlns:c16="http://schemas.microsoft.com/office/drawing/2014/chart" uri="{C3380CC4-5D6E-409C-BE32-E72D297353CC}">
                  <c16:uniqueId val="{0000005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Changes'!$G$48:$G$50</c:f>
              <c:numCache>
                <c:formatCode>General</c:formatCode>
                <c:ptCount val="3"/>
                <c:pt idx="0">
                  <c:v>#N/A</c:v>
                </c:pt>
                <c:pt idx="1">
                  <c:v>#N/A</c:v>
                </c:pt>
                <c:pt idx="2">
                  <c:v>#N/A</c:v>
                </c:pt>
              </c:numCache>
            </c:numRef>
          </c:xVal>
          <c:yVal>
            <c:numRef>
              <c:f>'Notes &amp; Phase Changes'!$H$48:$H$50</c:f>
              <c:numCache>
                <c:formatCode>General</c:formatCode>
                <c:ptCount val="3"/>
                <c:pt idx="0">
                  <c:v>#N/A</c:v>
                </c:pt>
                <c:pt idx="1">
                  <c:v>#N/A</c:v>
                </c:pt>
                <c:pt idx="2">
                  <c:v>#N/A</c:v>
                </c:pt>
              </c:numCache>
            </c:numRef>
          </c:yVal>
          <c:smooth val="0"/>
          <c:extLst>
            <c:ext xmlns:c16="http://schemas.microsoft.com/office/drawing/2014/chart" uri="{C3380CC4-5D6E-409C-BE32-E72D297353CC}">
              <c16:uniqueId val="{00000059-41C6-4D05-B7A4-0281A259BDA2}"/>
            </c:ext>
          </c:extLst>
        </c:ser>
        <c:ser>
          <c:idx val="20"/>
          <c:order val="18"/>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5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5B-41C6-4D05-B7A4-0281A259BDA2}"/>
                </c:ext>
              </c:extLst>
            </c:dLbl>
            <c:dLbl>
              <c:idx val="2"/>
              <c:tx>
                <c:strRef>
                  <c:f>'Notes &amp; Phase Changes'!$E$19</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{90C56C6A-D932-4E64-95E2-7CFF59F75597}</c15:txfldGUID>
                      <c15:f>'Notes &amp; Phase Changes'!$E$19</c15:f>
                      <c15:dlblFieldTableCache>
                        <c:ptCount val="1"/>
                      </c15:dlblFieldTableCache>
                    </c15:dlblFTEntry>
                  </c15:dlblFieldTable>
                  <c15:showDataLabelsRange val="0"/>
                </c:ext>
                <c:ext xmlns:c16="http://schemas.microsoft.com/office/drawing/2014/chart" uri="{C3380CC4-5D6E-409C-BE32-E72D297353CC}">
                  <c16:uniqueId val="{0000005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Changes'!$G$51:$G$53</c:f>
              <c:numCache>
                <c:formatCode>General</c:formatCode>
                <c:ptCount val="3"/>
                <c:pt idx="0">
                  <c:v>#N/A</c:v>
                </c:pt>
                <c:pt idx="1">
                  <c:v>#N/A</c:v>
                </c:pt>
                <c:pt idx="2">
                  <c:v>#N/A</c:v>
                </c:pt>
              </c:numCache>
            </c:numRef>
          </c:xVal>
          <c:yVal>
            <c:numRef>
              <c:f>'Notes &amp; Phase Changes'!$H$51:$H$53</c:f>
              <c:numCache>
                <c:formatCode>General</c:formatCode>
                <c:ptCount val="3"/>
                <c:pt idx="0">
                  <c:v>#N/A</c:v>
                </c:pt>
                <c:pt idx="1">
                  <c:v>#N/A</c:v>
                </c:pt>
                <c:pt idx="2">
                  <c:v>#N/A</c:v>
                </c:pt>
              </c:numCache>
            </c:numRef>
          </c:yVal>
          <c:smooth val="0"/>
          <c:extLst>
            <c:ext xmlns:c16="http://schemas.microsoft.com/office/drawing/2014/chart" uri="{C3380CC4-5D6E-409C-BE32-E72D297353CC}">
              <c16:uniqueId val="{0000005D-41C6-4D05-B7A4-0281A259BDA2}"/>
            </c:ext>
          </c:extLst>
        </c:ser>
        <c:ser>
          <c:idx val="21"/>
          <c:order val="19"/>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5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5F-41C6-4D05-B7A4-0281A259BDA2}"/>
                </c:ext>
              </c:extLst>
            </c:dLbl>
            <c:dLbl>
              <c:idx val="2"/>
              <c:tx>
                <c:strRef>
                  <c:f>'Notes &amp; Phase Changes'!$E$20</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{CD6DE1E0-411F-4D40-BD5D-5393EBE3B2F0}</c15:txfldGUID>
                      <c15:f>'Notes &amp; Phase Changes'!$E$20</c15:f>
                      <c15:dlblFieldTableCache>
                        <c:ptCount val="1"/>
                      </c15:dlblFieldTableCache>
                    </c15:dlblFTEntry>
                  </c15:dlblFieldTable>
                  <c15:showDataLabelsRange val="0"/>
                </c:ext>
                <c:ext xmlns:c16="http://schemas.microsoft.com/office/drawing/2014/chart" uri="{C3380CC4-5D6E-409C-BE32-E72D297353CC}">
                  <c16:uniqueId val="{0000006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Changes'!$G$54:$G$56</c:f>
              <c:numCache>
                <c:formatCode>General</c:formatCode>
                <c:ptCount val="3"/>
                <c:pt idx="0">
                  <c:v>#N/A</c:v>
                </c:pt>
                <c:pt idx="1">
                  <c:v>#N/A</c:v>
                </c:pt>
                <c:pt idx="2">
                  <c:v>#N/A</c:v>
                </c:pt>
              </c:numCache>
            </c:numRef>
          </c:xVal>
          <c:yVal>
            <c:numRef>
              <c:f>'Notes &amp; Phase Changes'!$H$54:$H$56</c:f>
              <c:numCache>
                <c:formatCode>General</c:formatCode>
                <c:ptCount val="3"/>
                <c:pt idx="0">
                  <c:v>#N/A</c:v>
                </c:pt>
                <c:pt idx="1">
                  <c:v>#N/A</c:v>
                </c:pt>
                <c:pt idx="2">
                  <c:v>#N/A</c:v>
                </c:pt>
              </c:numCache>
            </c:numRef>
          </c:yVal>
          <c:smooth val="0"/>
          <c:extLst>
            <c:ext xmlns:c16="http://schemas.microsoft.com/office/drawing/2014/chart" uri="{C3380CC4-5D6E-409C-BE32-E72D297353CC}">
              <c16:uniqueId val="{00000061-41C6-4D05-B7A4-0281A259BDA2}"/>
            </c:ext>
          </c:extLst>
        </c:ser>
        <c:ser>
          <c:idx val="22"/>
          <c:order val="20"/>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6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63-41C6-4D05-B7A4-0281A259BDA2}"/>
                </c:ext>
              </c:extLst>
            </c:dLbl>
            <c:dLbl>
              <c:idx val="2"/>
              <c:tx>
                <c:strRef>
                  <c:f>'Notes &amp; Phase Changes'!$E$21</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{D5936EB4-7408-4FCE-998C-358AE3276640}</c15:txfldGUID>
                      <c15:f>'Notes &amp; Phase Changes'!$E$21</c15:f>
                      <c15:dlblFieldTableCache>
                        <c:ptCount val="1"/>
                      </c15:dlblFieldTableCache>
                    </c15:dlblFTEntry>
                  </c15:dlblFieldTable>
                  <c15:showDataLabelsRange val="0"/>
                </c:ext>
                <c:ext xmlns:c16="http://schemas.microsoft.com/office/drawing/2014/chart" uri="{C3380CC4-5D6E-409C-BE32-E72D297353CC}">
                  <c16:uniqueId val="{0000006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Changes'!$G$57:$G$59</c:f>
              <c:numCache>
                <c:formatCode>General</c:formatCode>
                <c:ptCount val="3"/>
                <c:pt idx="0">
                  <c:v>#N/A</c:v>
                </c:pt>
                <c:pt idx="1">
                  <c:v>#N/A</c:v>
                </c:pt>
                <c:pt idx="2">
                  <c:v>#N/A</c:v>
                </c:pt>
              </c:numCache>
            </c:numRef>
          </c:xVal>
          <c:yVal>
            <c:numRef>
              <c:f>'Notes &amp; Phase Changes'!$H$57:$H$59</c:f>
              <c:numCache>
                <c:formatCode>General</c:formatCode>
                <c:ptCount val="3"/>
                <c:pt idx="0">
                  <c:v>#N/A</c:v>
                </c:pt>
                <c:pt idx="1">
                  <c:v>#N/A</c:v>
                </c:pt>
                <c:pt idx="2">
                  <c:v>#N/A</c:v>
                </c:pt>
              </c:numCache>
            </c:numRef>
          </c:yVal>
          <c:smooth val="0"/>
          <c:extLst>
            <c:ext xmlns:c16="http://schemas.microsoft.com/office/drawing/2014/chart" uri="{C3380CC4-5D6E-409C-BE32-E72D297353CC}">
              <c16:uniqueId val="{00000065-41C6-4D05-B7A4-0281A259BDA2}"/>
            </c:ext>
          </c:extLst>
        </c:ser>
        <c:ser>
          <c:idx val="23"/>
          <c:order val="21"/>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6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67-41C6-4D05-B7A4-0281A259BDA2}"/>
                </c:ext>
              </c:extLst>
            </c:dLbl>
            <c:dLbl>
              <c:idx val="2"/>
              <c:tx>
                <c:strRef>
                  <c:f>'Notes &amp; Phase Changes'!$E$22</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{08D580C1-7F4D-4671-B9E8-E8F31B483A57}</c15:txfldGUID>
                      <c15:f>'Notes &amp; Phase Changes'!$E$22</c15:f>
                      <c15:dlblFieldTableCache>
                        <c:ptCount val="1"/>
                      </c15:dlblFieldTableCache>
                    </c15:dlblFTEntry>
                  </c15:dlblFieldTable>
                  <c15:showDataLabelsRange val="0"/>
                </c:ext>
                <c:ext xmlns:c16="http://schemas.microsoft.com/office/drawing/2014/chart" uri="{C3380CC4-5D6E-409C-BE32-E72D297353CC}">
                  <c16:uniqueId val="{0000006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Changes'!$G$60:$G$62</c:f>
              <c:numCache>
                <c:formatCode>General</c:formatCode>
                <c:ptCount val="3"/>
                <c:pt idx="0">
                  <c:v>#N/A</c:v>
                </c:pt>
                <c:pt idx="1">
                  <c:v>#N/A</c:v>
                </c:pt>
                <c:pt idx="2">
                  <c:v>#N/A</c:v>
                </c:pt>
              </c:numCache>
            </c:numRef>
          </c:xVal>
          <c:yVal>
            <c:numRef>
              <c:f>'Notes &amp; Phase Changes'!$H$60:$H$62</c:f>
              <c:numCache>
                <c:formatCode>General</c:formatCode>
                <c:ptCount val="3"/>
                <c:pt idx="0">
                  <c:v>#N/A</c:v>
                </c:pt>
                <c:pt idx="1">
                  <c:v>#N/A</c:v>
                </c:pt>
                <c:pt idx="2">
                  <c:v>#N/A</c:v>
                </c:pt>
              </c:numCache>
            </c:numRef>
          </c:yVal>
          <c:smooth val="0"/>
          <c:extLst>
            <c:ext xmlns:c16="http://schemas.microsoft.com/office/drawing/2014/chart" uri="{C3380CC4-5D6E-409C-BE32-E72D297353CC}">
              <c16:uniqueId val="{00000069-41C6-4D05-B7A4-0281A259BDA2}"/>
            </c:ext>
          </c:extLst>
        </c:ser>
        <c:ser>
          <c:idx val="24"/>
          <c:order val="22"/>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6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6B-41C6-4D05-B7A4-0281A259BDA2}"/>
                </c:ext>
              </c:extLst>
            </c:dLbl>
            <c:dLbl>
              <c:idx val="2"/>
              <c:tx>
                <c:strRef>
                  <c:f>'Notes &amp; Phase Changes'!$E$23</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{7B689EF2-978E-4D3A-8AD5-61544F8955D5}</c15:txfldGUID>
                      <c15:f>'Notes &amp; Phase Changes'!$E$23</c15:f>
                      <c15:dlblFieldTableCache>
                        <c:ptCount val="1"/>
                      </c15:dlblFieldTableCache>
                    </c15:dlblFTEntry>
                  </c15:dlblFieldTable>
                  <c15:showDataLabelsRange val="0"/>
                </c:ext>
                <c:ext xmlns:c16="http://schemas.microsoft.com/office/drawing/2014/chart" uri="{C3380CC4-5D6E-409C-BE32-E72D297353CC}">
                  <c16:uniqueId val="{0000006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Changes'!$G$63:$G$65</c:f>
              <c:numCache>
                <c:formatCode>General</c:formatCode>
                <c:ptCount val="3"/>
                <c:pt idx="0">
                  <c:v>#N/A</c:v>
                </c:pt>
                <c:pt idx="1">
                  <c:v>#N/A</c:v>
                </c:pt>
                <c:pt idx="2">
                  <c:v>#N/A</c:v>
                </c:pt>
              </c:numCache>
            </c:numRef>
          </c:xVal>
          <c:yVal>
            <c:numRef>
              <c:f>'Notes &amp; Phase Changes'!$H$63:$H$65</c:f>
              <c:numCache>
                <c:formatCode>General</c:formatCode>
                <c:ptCount val="3"/>
                <c:pt idx="0">
                  <c:v>#N/A</c:v>
                </c:pt>
                <c:pt idx="1">
                  <c:v>#N/A</c:v>
                </c:pt>
                <c:pt idx="2">
                  <c:v>#N/A</c:v>
                </c:pt>
              </c:numCache>
            </c:numRef>
          </c:yVal>
          <c:smooth val="0"/>
          <c:extLst>
            <c:ext xmlns:c16="http://schemas.microsoft.com/office/drawing/2014/chart" uri="{C3380CC4-5D6E-409C-BE32-E72D297353CC}">
              <c16:uniqueId val="{0000006D-41C6-4D05-B7A4-0281A259BDA2}"/>
            </c:ext>
          </c:extLst>
        </c:ser>
        <c:ser>
          <c:idx val="25"/>
          <c:order val="23"/>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6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6F-41C6-4D05-B7A4-0281A259BDA2}"/>
                </c:ext>
              </c:extLst>
            </c:dLbl>
            <c:dLbl>
              <c:idx val="2"/>
              <c:tx>
                <c:strRef>
                  <c:f>'Notes &amp; Phase Changes'!$E$24</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{376D1866-A1D6-4AEE-B3F2-CC439EB86634}</c15:txfldGUID>
                      <c15:f>'Notes &amp; Phase Changes'!$E$24</c15:f>
                      <c15:dlblFieldTableCache>
                        <c:ptCount val="1"/>
                      </c15:dlblFieldTableCache>
                    </c15:dlblFTEntry>
                  </c15:dlblFieldTable>
                  <c15:showDataLabelsRange val="0"/>
                </c:ext>
                <c:ext xmlns:c16="http://schemas.microsoft.com/office/drawing/2014/chart" uri="{C3380CC4-5D6E-409C-BE32-E72D297353CC}">
                  <c16:uniqueId val="{0000007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Changes'!$G$66:$G$68</c:f>
              <c:numCache>
                <c:formatCode>General</c:formatCode>
                <c:ptCount val="3"/>
                <c:pt idx="0">
                  <c:v>#N/A</c:v>
                </c:pt>
                <c:pt idx="1">
                  <c:v>#N/A</c:v>
                </c:pt>
                <c:pt idx="2">
                  <c:v>#N/A</c:v>
                </c:pt>
              </c:numCache>
            </c:numRef>
          </c:xVal>
          <c:yVal>
            <c:numRef>
              <c:f>'Notes &amp; Phase Changes'!$H$66:$H$68</c:f>
              <c:numCache>
                <c:formatCode>General</c:formatCode>
                <c:ptCount val="3"/>
                <c:pt idx="0">
                  <c:v>#N/A</c:v>
                </c:pt>
                <c:pt idx="1">
                  <c:v>#N/A</c:v>
                </c:pt>
                <c:pt idx="2">
                  <c:v>#N/A</c:v>
                </c:pt>
              </c:numCache>
            </c:numRef>
          </c:yVal>
          <c:smooth val="0"/>
          <c:extLst>
            <c:ext xmlns:c16="http://schemas.microsoft.com/office/drawing/2014/chart" uri="{C3380CC4-5D6E-409C-BE32-E72D297353CC}">
              <c16:uniqueId val="{00000071-41C6-4D05-B7A4-0281A259BDA2}"/>
            </c:ext>
          </c:extLst>
        </c:ser>
        <c:ser>
          <c:idx val="26"/>
          <c:order val="24"/>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7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73-41C6-4D05-B7A4-0281A259BDA2}"/>
                </c:ext>
              </c:extLst>
            </c:dLbl>
            <c:dLbl>
              <c:idx val="2"/>
              <c:tx>
                <c:strRef>
                  <c:f>'Notes &amp; Phase Changes'!$E$25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{34066113-FDBD-46D9-BC67-D54B82FF1323}</c15:txfldGUID>
                      <c15:f>'Notes &amp; Phase Changes'!$E$25</c15:f>
                      <c15:dlblFieldTableCache>
                        <c:ptCount val="1"/>
                      </c15:dlblFieldTableCache>
                    </c15:dlblFTEntry>
                  </c15:dlblFieldTable>
                  <c15:showDataLabelsRange val="0"/>
                </c:ext>
                <c:ext xmlns:c16="http://schemas.microsoft.com/office/drawing/2014/chart" uri="{C3380CC4-5D6E-409C-BE32-E72D297353CC}">
                  <c16:uniqueId val="{0000007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Changes'!$G$69:$G$71</c:f>
              <c:numCache>
                <c:formatCode>General</c:formatCode>
                <c:ptCount val="3"/>
                <c:pt idx="0">
                  <c:v>#N/A</c:v>
                </c:pt>
                <c:pt idx="1">
                  <c:v>#N/A</c:v>
                </c:pt>
                <c:pt idx="2">
                  <c:v>#N/A</c:v>
                </c:pt>
              </c:numCache>
            </c:numRef>
          </c:xVal>
          <c:yVal>
            <c:numRef>
              <c:f>'Notes &amp; Phase Changes'!$H$69:$H$71</c:f>
              <c:numCache>
                <c:formatCode>General</c:formatCode>
                <c:ptCount val="3"/>
                <c:pt idx="0">
                  <c:v>#N/A</c:v>
                </c:pt>
                <c:pt idx="1">
                  <c:v>#N/A</c:v>
                </c:pt>
                <c:pt idx="2">
                  <c:v>#N/A</c:v>
                </c:pt>
              </c:numCache>
            </c:numRef>
          </c:yVal>
          <c:smooth val="0"/>
          <c:extLst>
            <c:ext xmlns:c16="http://schemas.microsoft.com/office/drawing/2014/chart" uri="{C3380CC4-5D6E-409C-BE32-E72D297353CC}">
              <c16:uniqueId val="{00000075-41C6-4D05-B7A4-0281A259BDA2}"/>
            </c:ext>
          </c:extLst>
        </c:ser>
        <c:ser>
          <c:idx val="27"/>
          <c:order val="25"/>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7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77-41C6-4D05-B7A4-0281A259BDA2}"/>
                </c:ext>
              </c:extLst>
            </c:dLbl>
            <c:dLbl>
              <c:idx val="2"/>
              <c:tx>
                <c:strRef>
                  <c:f>'Notes &amp; Phase Changes'!$E$26</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{5F0D8E1D-7149-4B0C-9E0F-C86638926CE2}</c15:txfldGUID>
                      <c15:f>'Notes &amp; Phase Changes'!$E$26</c15:f>
                      <c15:dlblFieldTableCache>
                        <c:ptCount val="1"/>
                      </c15:dlblFieldTableCache>
                    </c15:dlblFTEntry>
                  </c15:dlblFieldTable>
                  <c15:showDataLabelsRange val="0"/>
                </c:ext>
                <c:ext xmlns:c16="http://schemas.microsoft.com/office/drawing/2014/chart" uri="{C3380CC4-5D6E-409C-BE32-E72D297353CC}">
                  <c16:uniqueId val="{0000007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'Notes &amp; Phase Changes'!$G$72:$G$74</c:f>
              <c:numCache>
                <c:formatCode>General</c:formatCode>
                <c:ptCount val="3"/>
                <c:pt idx="0">
                  <c:v>#N/A</c:v>
                </c:pt>
                <c:pt idx="1">
                  <c:v>#N/A</c:v>
                </c:pt>
                <c:pt idx="2">
                  <c:v>#N/A</c:v>
                </c:pt>
              </c:numCache>
            </c:numRef>
          </c:xVal>
          <c:yVal>
            <c:numRef>
              <c:f>'Notes &amp; Phase Changes'!$H$72:$H$74</c:f>
              <c:numCache>
                <c:formatCode>General</c:formatCode>
                <c:ptCount val="3"/>
                <c:pt idx="0">
                  <c:v>#N/A</c:v>
                </c:pt>
                <c:pt idx="1">
                  <c:v>#N/A</c:v>
                </c:pt>
                <c:pt idx="2">
                  <c:v>#N/A</c:v>
                </c:pt>
              </c:numCache>
            </c:numRef>
          </c:yVal>
          <c:smooth val="0"/>
          <c:extLst>
            <c:ext xmlns:c16="http://schemas.microsoft.com/office/drawing/2014/chart" uri="{C3380CC4-5D6E-409C-BE32-E72D297353CC}">
              <c16:uniqueId val="{00000079-41C6-4D05-B7A4-0281A259BDA2}"/>
            </c:ext>
          </c:extLst>
        </c:ser>
        <c:ser>
          <c:idx val="28"/>
          <c:order val="26"/>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7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7B-41C6-4D05-B7A4-0281A259BDA2}"/>
                </c:ext>
              </c:extLst>
            </c:dLbl>
            <c:dLbl>
              <c:idx val="2"/>
              <c:tx>
                <c:strRef>
                  <c:f>'Notes &amp; Phase Changes'!$E$27</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{699A2FBE-490C-4DB3-BC07-711A1402FA2E}</c15:txfldGUID>
                      <c15:f>'Notes &amp; Phase Changes'!$E$27</c15:f>
                      <c15:dlblFieldTableCache>
                        <c:ptCount val="1"/>
                      </c15:dlblFieldTableCache>
                    </c15:dlblFTEntry>
                  </c15:dlblFieldTable>
                  <c15:showDataLabelsRange val="0"/>
                </c:ext>
                <c:ext xmlns:c16="http://schemas.microsoft.com/office/drawing/2014/chart" uri="{C3380CC4-5D6E-409C-BE32-E72D297353CC}">
                  <c16:uniqueId val="{0000007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Changes'!$G$75:$G$77</c:f>
              <c:numCache>
                <c:formatCode>General</c:formatCode>
                <c:ptCount val="3"/>
                <c:pt idx="0">
                  <c:v>#N/A</c:v>
                </c:pt>
                <c:pt idx="1">
                  <c:v>#N/A</c:v>
                </c:pt>
                <c:pt idx="2">
                  <c:v>#N/A</c:v>
                </c:pt>
              </c:numCache>
            </c:numRef>
          </c:xVal>
          <c:yVal>
            <c:numRef>
              <c:f>'Notes &amp; Phase Changes'!$H$75:$H$77</c:f>
              <c:numCache>
                <c:formatCode>General</c:formatCode>
                <c:ptCount val="3"/>
                <c:pt idx="0">
                  <c:v>#N/A</c:v>
                </c:pt>
                <c:pt idx="1">
                  <c:v>#N/A</c:v>
                </c:pt>
                <c:pt idx="2">
                  <c:v>#N/A</c:v>
                </c:pt>
              </c:numCache>
            </c:numRef>
          </c:yVal>
          <c:smooth val="0"/>
          <c:extLst>
            <c:ext xmlns:c16="http://schemas.microsoft.com/office/drawing/2014/chart" uri="{C3380CC4-5D6E-409C-BE32-E72D297353CC}">
              <c16:uniqueId val="{0000007D-41C6-4D05-B7A4-0281A259BDA2}"/>
            </c:ext>
          </c:extLst>
        </c:ser>
        <c:ser>
          <c:idx val="29"/>
          <c:order val="27"/>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7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7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{B0153995-2680-41DF-90C0-6E6ABE6605B1}</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8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81-41C6-4D05-B7A4-0281A259BDA2}"/>
            </c:ext>
          </c:extLst>
        </c:ser>
        <c:ser>
          <c:idx val="30"/>
          <c:order val="28"/>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8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8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{B9E491C7-0576-461A-98A8-5A149F0DD5C2}</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8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85-41C6-4D05-B7A4-0281A259BDA2}"/>
            </c:ext>
          </c:extLst>
        </c:ser>
        <c:ser>
          <c:idx val="31"/>
          <c:order val="29"/>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8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8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{13CD09E9-6B5D-4439-BC64-91FD10516039}</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8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89-41C6-4D05-B7A4-0281A259BDA2}"/>
            </c:ext>
          </c:extLst>
        </c:ser>
        <c:ser>
          <c:idx val="32"/>
          <c:order val="30"/>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8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8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{262893DF-2F78-42C9-AC71-5157D6ECFE98}</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8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8D-41C6-4D05-B7A4-0281A259BDA2}"/>
            </c:ext>
          </c:extLst>
        </c:ser>
        <c:ser>
          <c:idx val="33"/>
          <c:order val="31"/>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8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8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{D79D33FD-7725-43FB-B343-A4EE9F0EC189}</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9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91-41C6-4D05-B7A4-0281A259BDA2}"/>
            </c:ext>
          </c:extLst>
        </c:ser>
        <c:ser>
          <c:idx val="34"/>
          <c:order val="32"/>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9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9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{6954C3E1-A390-4C35-91E1-B7A3CDF9405C}</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9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95-41C6-4D05-B7A4-0281A259BDA2}"/>
            </c:ext>
          </c:extLst>
        </c:ser>
        <c:ser>
          <c:idx val="35"/>
          <c:order val="33"/>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9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9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{EE090C53-F1F8-435C-945A-4EAADA23E662}</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9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99-41C6-4D05-B7A4-0281A259BDA2}"/>
            </c:ext>
          </c:extLst>
        </c:ser>
        <c:ser>
          <c:idx val="36"/>
          <c:order val="34"/>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9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9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{36C99308-3A55-4A70-B46F-9AD134B872B3}</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9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9D-41C6-4D05-B7A4-0281A259BDA2}"/>
            </c:ext>
          </c:extLst>
        </c:ser>
        <c:ser>
          <c:idx val="37"/>
          <c:order val="35"/>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9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9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{23B27615-17FE-4C1C-81CA-D9CB43754E5E}</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A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A1-41C6-4D05-B7A4-0281A259BDA2}"/>
            </c:ext>
          </c:extLst>
        </c:ser>
        <c:ser>
          <c:idx val="38"/>
          <c:order val="36"/>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A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A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{4C8E8662-383B-4E17-94E6-621E0638BC38}</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A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A5-41C6-4D05-B7A4-0281A259BDA2}"/>
            </c:ext>
          </c:extLst>
        </c:ser>
        <c:ser>
          <c:idx val="39"/>
          <c:order val="37"/>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A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A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{FD82A812-5A99-43A0-A0B6-6764128ADCE5}</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A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A9-41C6-4D05-B7A4-0281A259BDA2}"/>
            </c:ext>
          </c:extLst>
        </c:ser>
        <c:ser>
          <c:idx val="40"/>
          <c:order val="38"/>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A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A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{EA256735-667E-4530-BB6B-A607759A20E6}</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A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AD-41C6-4D05-B7A4-0281A259BDA2}"/>
            </c:ext>
          </c:extLst>
        </c:ser>
        <c:ser>
          <c:idx val="41"/>
          <c:order val="39"/>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A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A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{FBC5A5CD-169D-4CF4-9E80-901E67841735}</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B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B1-41C6-4D05-B7A4-0281A259BDA2}"/>
            </c:ext>
          </c:extLst>
        </c:ser>
        <c:ser>
          <c:idx val="42"/>
          <c:order val="40"/>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B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B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{B2FD0105-B3FB-40E0-916F-591A868890F3}</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B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B5-41C6-4D05-B7A4-0281A259BDA2}"/>
            </c:ext>
          </c:extLst>
        </c:ser>
        <c:ser>
          <c:idx val="43"/>
          <c:order val="41"/>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B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B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{91DA7967-1762-4E79-817A-675157DD652D}</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B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B9-41C6-4D05-B7A4-0281A259BDA2}"/>
            </c:ext>
          </c:extLst>
        </c:ser>
        <c:ser>
          <c:idx val="44"/>
          <c:order val="42"/>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B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B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{108D4A4A-AC81-46E7-A9B3-341B32B5704E}</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B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BD-41C6-4D05-B7A4-0281A259BDA2}"/>
            </c:ext>
          </c:extLst>
        </c:ser>
        <c:ser>
          <c:idx val="45"/>
          <c:order val="43"/>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B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B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{7EDE75DD-5937-4650-984D-78E54C32E2F8}</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C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C1-41C6-4D05-B7A4-0281A259BDA2}"/>
            </c:ext>
          </c:extLst>
        </c:ser>
        <c:ser>
          <c:idx val="46"/>
          <c:order val="44"/>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C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C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{BAE766F0-F6B2-42E2-A796-6E3D8517C839}</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C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C5-41C6-4D05-B7A4-0281A259BDA2}"/>
            </c:ext>
          </c:extLst>
        </c:ser>
        <c:ser>
          <c:idx val="47"/>
          <c:order val="45"/>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C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C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{4D36FE8E-3498-4541-8BE4-545152A42086}</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C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C9-41C6-4D05-B7A4-0281A259BDA2}"/>
            </c:ext>
          </c:extLst>
        </c:ser>
        <c:ser>
          <c:idx val="48"/>
          <c:order val="46"/>
          <c:spPr>
            <a:ln w="12700">
              <a:solidFill>
                <a:srgbClr val="0000D4"/>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C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C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{2CC81960-7257-4AC3-A762-385AEC6CF068}</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C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CD-41C6-4D05-B7A4-0281A259BDA2}"/>
            </c:ext>
          </c:extLst>
        </c:ser>
        <c:ser>
          <c:idx val="49"/>
          <c:order val="47"/>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C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C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{86668ACE-4E8B-404A-80BD-126909325C4F}</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D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D1-41C6-4D05-B7A4-0281A259BDA2}"/>
            </c:ext>
          </c:extLst>
        </c:ser>
        <c:ser>
          <c:idx val="50"/>
          <c:order val="48"/>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D2-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D3-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{C0B0CD3F-C829-49E9-A213-79CBE4B33C71}</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D4-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D5-41C6-4D05-B7A4-0281A259BDA2}"/>
            </c:ext>
          </c:extLst>
        </c:ser>
        <c:ser>
          <c:idx val="51"/>
          <c:order val="49"/>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D6-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D7-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{5DD6C42A-8D7D-40E9-A035-A81BB0D9D1FE}</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D8-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D9-41C6-4D05-B7A4-0281A259BDA2}"/>
            </c:ext>
          </c:extLst>
        </c:ser>
        <c:ser>
          <c:idx val="52"/>
          <c:order val="50"/>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DA-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DB-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{75E8851F-A165-4A9E-9742-0BB7CFE61124}</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DC-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DD-41C6-4D05-B7A4-0281A259BDA2}"/>
            </c:ext>
          </c:extLst>
        </c:ser>
        <c:ser>
          <c:idx val="53"/>
          <c:order val="51"/>
          <c:spPr>
            <a:ln w="12700">
              <a:solidFill>
                <a:srgbClr val="00000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DE-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0DF-41C6-4D05-B7A4-0281A259BDA2}"/>
                </c:ext>
              </c:extLst>
            </c:dLbl>
            <c:dLbl>
              <c:idx val="2"/>
              <c:tx>
                <c:strRef>
                  <c:f>'Notes &amp; Phase Changes'!#REF!</c:f>
                  <c:strCache>
                    <c:ptCount val="1"/>
                    <c:pt idx="0">
                      <c:v>#REF!</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{200AD426-769D-401F-A772-784A711CAC93}</c15:txfldGUID>
                      <c15:f>'Notes &amp; Phase Changes'!#REF!</c15:f>
                      <c15:dlblFieldTableCache>
                        <c:ptCount val="1"/>
                        <c:pt idx="0">
                          <c:v>#REF!</c:v>
                        </c:pt>
                      </c15:dlblFieldTableCache>
                    </c15:dlblFTEntry>
                  </c15:dlblFieldTable>
                  <c15:showDataLabelsRange val="0"/>
                </c:ext>
                <c:ext xmlns:c16="http://schemas.microsoft.com/office/drawing/2014/chart" uri="{C3380CC4-5D6E-409C-BE32-E72D297353CC}">
                  <c16:uniqueId val="{000000E0-41C6-4D05-B7A4-0281A259BDA2}"/>
                </c:ext>
              </c:extLst>
            </c:dLbl>
            <c:spPr>
              <a:noFill/>
              <a:ln w="25400">
                <a:noFill/>
              </a:ln>
            </c:spPr>
            <c:txPr>
              <a:bodyPr/>
              <a:lstStyle/>
              <a:p>
                <a:pPr>
                  <a:defRPr sz="800" b="0" i="0" u="none" strike="noStrike" baseline="0">
                    <a:solidFill>
                      <a:srgbClr val="0000D4"/>
                    </a:solidFill>
                    <a:latin typeface="Arial Black"/>
                    <a:ea typeface="Arial Black"/>
                    <a:cs typeface="Arial Black"/>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E1-41C6-4D05-B7A4-0281A259BDA2}"/>
            </c:ext>
          </c:extLst>
        </c:ser>
        <c:ser>
          <c:idx val="154"/>
          <c:order val="52"/>
          <c:spPr>
            <a:ln w="12700">
              <a:solidFill>
                <a:srgbClr val="000000"/>
              </a:solidFill>
              <a:prstDash val="solid"/>
            </a:ln>
          </c:spPr>
          <c:marker>
            <c:symbol val="none"/>
          </c:marker>
          <c:xVal>
            <c:numRef>
              <c:f>'Notes &amp; Phase Changes'!#REF!</c:f>
            </c:numRef>
          </c:xVal>
          <c:yVal>
            <c:numRef>
              <c:f>'Notes &amp; Phase Changes'!#REF!</c:f>
              <c:numCache>
                <c:formatCode>General</c:formatCode>
                <c:ptCount val="1"/>
                <c:pt idx="0">
                  <c:v>1</c:v>
                </c:pt>
              </c:numCache>
            </c:numRef>
          </c:yVal>
          <c:smooth val="0"/>
          <c:extLst>
            <c:ext xmlns:c16="http://schemas.microsoft.com/office/drawing/2014/chart" uri="{C3380CC4-5D6E-409C-BE32-E72D297353CC}">
              <c16:uniqueId val="{000000E2-41C6-4D05-B7A4-0281A259BDA2}"/>
            </c:ext>
          </c:extLst>
        </c:ser>
        <c:ser>
          <c:idx val="111"/>
          <c:order val="53"/>
          <c:spPr>
            <a:ln w="28575">
              <a:noFill/>
            </a:ln>
          </c:spPr>
          <c:marker>
            <c:symbol val="none"/>
          </c:marker>
          <c:xVal>
            <c:numRef>
              <c:f>Progress_Record!$S$6:$S$975</c:f>
              <c:numCache>
                <c:formatCode>0.0</c:formatCode>
                <c:ptCount val="970"/>
                <c:pt idx="0">
                  <c:v>100000</c:v>
                </c:pt>
                <c:pt idx="1">
                  <c:v>#N/A</c:v>
                </c:pt>
                <c:pt idx="2">
                  <c:v>#N/A</c:v>
                </c:pt>
                <c:pt idx="3">
                  <c:v>#N/A</c:v>
                </c:pt>
                <c:pt idx="4">
                  <c:v>#N/A</c:v>
                </c:pt>
                <c:pt idx="5">
                  <c:v>#N/A</c:v>
                </c:pt>
                <c:pt idx="6">
                  <c:v>#N/A</c:v>
                </c:pt>
                <c:pt idx="7">
                  <c:v>100000</c:v>
                </c:pt>
                <c:pt idx="8">
                  <c:v>#N/A</c:v>
                </c:pt>
                <c:pt idx="9">
                  <c:v>#N/A</c:v>
                </c:pt>
                <c:pt idx="10">
                  <c:v>#N/A</c:v>
                </c:pt>
                <c:pt idx="11">
                  <c:v>#N/A</c:v>
                </c:pt>
                <c:pt idx="12">
                  <c:v>#N/A</c:v>
                </c:pt>
                <c:pt idx="13">
                  <c:v>#N/A</c:v>
                </c:pt>
                <c:pt idx="14">
                  <c:v>100000</c:v>
                </c:pt>
                <c:pt idx="15">
                  <c:v>#N/A</c:v>
                </c:pt>
                <c:pt idx="16">
                  <c:v>#N/A</c:v>
                </c:pt>
                <c:pt idx="17">
                  <c:v>#N/A</c:v>
                </c:pt>
                <c:pt idx="18">
                  <c:v>#N/A</c:v>
                </c:pt>
                <c:pt idx="19">
                  <c:v>#N/A</c:v>
                </c:pt>
                <c:pt idx="20">
                  <c:v>#N/A</c:v>
                </c:pt>
                <c:pt idx="21">
                  <c:v>100000</c:v>
                </c:pt>
                <c:pt idx="22">
                  <c:v>#N/A</c:v>
                </c:pt>
                <c:pt idx="23">
                  <c:v>#N/A</c:v>
                </c:pt>
                <c:pt idx="24">
                  <c:v>#N/A</c:v>
                </c:pt>
                <c:pt idx="25">
                  <c:v>#N/A</c:v>
                </c:pt>
                <c:pt idx="26">
                  <c:v>#N/A</c:v>
                </c:pt>
                <c:pt idx="27">
                  <c:v>#N/A</c:v>
                </c:pt>
                <c:pt idx="28">
                  <c:v>100000</c:v>
                </c:pt>
                <c:pt idx="29">
                  <c:v>#N/A</c:v>
                </c:pt>
                <c:pt idx="30">
                  <c:v>#N/A</c:v>
                </c:pt>
                <c:pt idx="31">
                  <c:v>#N/A</c:v>
                </c:pt>
                <c:pt idx="32">
                  <c:v>#N/A</c:v>
                </c:pt>
                <c:pt idx="33">
                  <c:v>#N/A</c:v>
                </c:pt>
                <c:pt idx="34">
                  <c:v>#N/A</c:v>
                </c:pt>
                <c:pt idx="35">
                  <c:v>100000</c:v>
                </c:pt>
                <c:pt idx="36">
                  <c:v>#N/A</c:v>
                </c:pt>
                <c:pt idx="37">
                  <c:v>#N/A</c:v>
                </c:pt>
                <c:pt idx="38">
                  <c:v>#N/A</c:v>
                </c:pt>
                <c:pt idx="39">
                  <c:v>#N/A</c:v>
                </c:pt>
                <c:pt idx="40">
                  <c:v>#N/A</c:v>
                </c:pt>
                <c:pt idx="41">
                  <c:v>#N/A</c:v>
                </c:pt>
                <c:pt idx="42">
                  <c:v>100000</c:v>
                </c:pt>
                <c:pt idx="43">
                  <c:v>#N/A</c:v>
                </c:pt>
                <c:pt idx="44">
                  <c:v>#N/A</c:v>
                </c:pt>
                <c:pt idx="45">
                  <c:v>#N/A</c:v>
                </c:pt>
                <c:pt idx="46">
                  <c:v>#N/A</c:v>
                </c:pt>
                <c:pt idx="47">
                  <c:v>#N/A</c:v>
                </c:pt>
                <c:pt idx="48">
                  <c:v>#N/A</c:v>
                </c:pt>
                <c:pt idx="49">
                  <c:v>100000</c:v>
                </c:pt>
                <c:pt idx="50">
                  <c:v>#N/A</c:v>
                </c:pt>
                <c:pt idx="51">
                  <c:v>#N/A</c:v>
                </c:pt>
                <c:pt idx="52">
                  <c:v>#N/A</c:v>
                </c:pt>
                <c:pt idx="53">
                  <c:v>#N/A</c:v>
                </c:pt>
                <c:pt idx="54">
                  <c:v>#N/A</c:v>
                </c:pt>
                <c:pt idx="55">
                  <c:v>#N/A</c:v>
                </c:pt>
                <c:pt idx="56">
                  <c:v>100000</c:v>
                </c:pt>
                <c:pt idx="57">
                  <c:v>#N/A</c:v>
                </c:pt>
                <c:pt idx="58">
                  <c:v>#N/A</c:v>
                </c:pt>
                <c:pt idx="59">
                  <c:v>#N/A</c:v>
                </c:pt>
                <c:pt idx="60">
                  <c:v>#N/A</c:v>
                </c:pt>
                <c:pt idx="61">
                  <c:v>#N/A</c:v>
                </c:pt>
                <c:pt idx="62">
                  <c:v>#N/A</c:v>
                </c:pt>
                <c:pt idx="63">
                  <c:v>100000</c:v>
                </c:pt>
                <c:pt idx="64">
                  <c:v>#N/A</c:v>
                </c:pt>
                <c:pt idx="65">
                  <c:v>#N/A</c:v>
                </c:pt>
                <c:pt idx="66">
                  <c:v>#N/A</c:v>
                </c:pt>
                <c:pt idx="67">
                  <c:v>#N/A</c:v>
                </c:pt>
                <c:pt idx="68">
                  <c:v>#N/A</c:v>
                </c:pt>
                <c:pt idx="69">
                  <c:v>#N/A</c:v>
                </c:pt>
                <c:pt idx="70">
                  <c:v>100000</c:v>
                </c:pt>
                <c:pt idx="71">
                  <c:v>#N/A</c:v>
                </c:pt>
                <c:pt idx="72">
                  <c:v>#N/A</c:v>
                </c:pt>
                <c:pt idx="73">
                  <c:v>#N/A</c:v>
                </c:pt>
                <c:pt idx="74">
                  <c:v>#N/A</c:v>
                </c:pt>
                <c:pt idx="75">
                  <c:v>#N/A</c:v>
                </c:pt>
                <c:pt idx="76">
                  <c:v>#N/A</c:v>
                </c:pt>
                <c:pt idx="77">
                  <c:v>100000</c:v>
                </c:pt>
                <c:pt idx="78">
                  <c:v>#N/A</c:v>
                </c:pt>
                <c:pt idx="79">
                  <c:v>#N/A</c:v>
                </c:pt>
                <c:pt idx="80">
                  <c:v>#N/A</c:v>
                </c:pt>
                <c:pt idx="81">
                  <c:v>#N/A</c:v>
                </c:pt>
                <c:pt idx="82">
                  <c:v>#N/A</c:v>
                </c:pt>
                <c:pt idx="83">
                  <c:v>#N/A</c:v>
                </c:pt>
                <c:pt idx="84">
                  <c:v>100000</c:v>
                </c:pt>
                <c:pt idx="85">
                  <c:v>#N/A</c:v>
                </c:pt>
                <c:pt idx="86">
                  <c:v>#N/A</c:v>
                </c:pt>
                <c:pt idx="87">
                  <c:v>#N/A</c:v>
                </c:pt>
                <c:pt idx="88">
                  <c:v>#N/A</c:v>
                </c:pt>
                <c:pt idx="89">
                  <c:v>#N/A</c:v>
                </c:pt>
                <c:pt idx="90">
                  <c:v>#N/A</c:v>
                </c:pt>
                <c:pt idx="91">
                  <c:v>100000</c:v>
                </c:pt>
                <c:pt idx="92">
                  <c:v>#N/A</c:v>
                </c:pt>
                <c:pt idx="93">
                  <c:v>#N/A</c:v>
                </c:pt>
                <c:pt idx="94">
                  <c:v>#N/A</c:v>
                </c:pt>
                <c:pt idx="95">
                  <c:v>#N/A</c:v>
                </c:pt>
                <c:pt idx="96">
                  <c:v>#N/A</c:v>
                </c:pt>
                <c:pt idx="97">
                  <c:v>#N/A</c:v>
                </c:pt>
                <c:pt idx="98">
                  <c:v>100000</c:v>
                </c:pt>
                <c:pt idx="99">
                  <c:v>#N/A</c:v>
                </c:pt>
                <c:pt idx="100">
                  <c:v>#N/A</c:v>
                </c:pt>
                <c:pt idx="101">
                  <c:v>#N/A</c:v>
                </c:pt>
                <c:pt idx="102">
                  <c:v>#N/A</c:v>
                </c:pt>
                <c:pt idx="103">
                  <c:v>#N/A</c:v>
                </c:pt>
                <c:pt idx="104">
                  <c:v>#N/A</c:v>
                </c:pt>
                <c:pt idx="105">
                  <c:v>100000</c:v>
                </c:pt>
                <c:pt idx="106">
                  <c:v>#N/A</c:v>
                </c:pt>
                <c:pt idx="107">
                  <c:v>#N/A</c:v>
                </c:pt>
                <c:pt idx="108">
                  <c:v>#N/A</c:v>
                </c:pt>
                <c:pt idx="109">
                  <c:v>#N/A</c:v>
                </c:pt>
                <c:pt idx="110">
                  <c:v>#N/A</c:v>
                </c:pt>
                <c:pt idx="111">
                  <c:v>#N/A</c:v>
                </c:pt>
                <c:pt idx="112">
                  <c:v>100000</c:v>
                </c:pt>
                <c:pt idx="113">
                  <c:v>#N/A</c:v>
                </c:pt>
                <c:pt idx="114">
                  <c:v>#N/A</c:v>
                </c:pt>
                <c:pt idx="115">
                  <c:v>#N/A</c:v>
                </c:pt>
                <c:pt idx="116">
                  <c:v>#N/A</c:v>
                </c:pt>
                <c:pt idx="117">
                  <c:v>#N/A</c:v>
                </c:pt>
                <c:pt idx="118">
                  <c:v>#N/A</c:v>
                </c:pt>
                <c:pt idx="119">
                  <c:v>100000</c:v>
                </c:pt>
                <c:pt idx="120">
                  <c:v>#N/A</c:v>
                </c:pt>
                <c:pt idx="121">
                  <c:v>#N/A</c:v>
                </c:pt>
                <c:pt idx="122">
                  <c:v>#N/A</c:v>
                </c:pt>
                <c:pt idx="123">
                  <c:v>#N/A</c:v>
                </c:pt>
                <c:pt idx="124">
                  <c:v>#N/A</c:v>
                </c:pt>
                <c:pt idx="125">
                  <c:v>#N/A</c:v>
                </c:pt>
                <c:pt idx="126">
                  <c:v>100000</c:v>
                </c:pt>
                <c:pt idx="127">
                  <c:v>#N/A</c:v>
                </c:pt>
                <c:pt idx="128">
                  <c:v>#N/A</c:v>
                </c:pt>
                <c:pt idx="129">
                  <c:v>#N/A</c:v>
                </c:pt>
                <c:pt idx="130">
                  <c:v>#N/A</c:v>
                </c:pt>
                <c:pt idx="131">
                  <c:v>#N/A</c:v>
                </c:pt>
                <c:pt idx="132">
                  <c:v>#N/A</c:v>
                </c:pt>
                <c:pt idx="133">
                  <c:v>100000</c:v>
                </c:pt>
                <c:pt idx="134">
                  <c:v>#N/A</c:v>
                </c:pt>
                <c:pt idx="135">
                  <c:v>#N/A</c:v>
                </c:pt>
                <c:pt idx="136">
                  <c:v>#N/A</c:v>
                </c:pt>
                <c:pt idx="137">
                  <c:v>#N/A</c:v>
                </c:pt>
                <c:pt idx="138">
                  <c:v>#N/A</c:v>
                </c:pt>
                <c:pt idx="139">
                  <c:v>#N/A</c:v>
                </c:pt>
                <c:pt idx="140">
                  <c:v>100000</c:v>
                </c:pt>
              </c:numCache>
            </c:numRef>
          </c:xVal>
          <c:yVal>
            <c:numRef>
              <c:f>Progress_Record!$S$6:$S$106</c:f>
              <c:numCache>
                <c:formatCode>0.0</c:formatCode>
                <c:ptCount val="101"/>
                <c:pt idx="0">
                  <c:v>100000</c:v>
                </c:pt>
                <c:pt idx="1">
                  <c:v>#N/A</c:v>
                </c:pt>
                <c:pt idx="2">
                  <c:v>#N/A</c:v>
                </c:pt>
                <c:pt idx="3">
                  <c:v>#N/A</c:v>
                </c:pt>
                <c:pt idx="4">
                  <c:v>#N/A</c:v>
                </c:pt>
                <c:pt idx="5">
                  <c:v>#N/A</c:v>
                </c:pt>
                <c:pt idx="6">
                  <c:v>#N/A</c:v>
                </c:pt>
                <c:pt idx="7">
                  <c:v>100000</c:v>
                </c:pt>
                <c:pt idx="8">
                  <c:v>#N/A</c:v>
                </c:pt>
                <c:pt idx="9">
                  <c:v>#N/A</c:v>
                </c:pt>
                <c:pt idx="10">
                  <c:v>#N/A</c:v>
                </c:pt>
                <c:pt idx="11">
                  <c:v>#N/A</c:v>
                </c:pt>
                <c:pt idx="12">
                  <c:v>#N/A</c:v>
                </c:pt>
                <c:pt idx="13">
                  <c:v>#N/A</c:v>
                </c:pt>
                <c:pt idx="14">
                  <c:v>100000</c:v>
                </c:pt>
                <c:pt idx="15">
                  <c:v>#N/A</c:v>
                </c:pt>
                <c:pt idx="16">
                  <c:v>#N/A</c:v>
                </c:pt>
                <c:pt idx="17">
                  <c:v>#N/A</c:v>
                </c:pt>
                <c:pt idx="18">
                  <c:v>#N/A</c:v>
                </c:pt>
                <c:pt idx="19">
                  <c:v>#N/A</c:v>
                </c:pt>
                <c:pt idx="20">
                  <c:v>#N/A</c:v>
                </c:pt>
                <c:pt idx="21">
                  <c:v>100000</c:v>
                </c:pt>
                <c:pt idx="22">
                  <c:v>#N/A</c:v>
                </c:pt>
                <c:pt idx="23">
                  <c:v>#N/A</c:v>
                </c:pt>
                <c:pt idx="24">
                  <c:v>#N/A</c:v>
                </c:pt>
                <c:pt idx="25">
                  <c:v>#N/A</c:v>
                </c:pt>
                <c:pt idx="26">
                  <c:v>#N/A</c:v>
                </c:pt>
                <c:pt idx="27">
                  <c:v>#N/A</c:v>
                </c:pt>
                <c:pt idx="28">
                  <c:v>100000</c:v>
                </c:pt>
                <c:pt idx="29">
                  <c:v>#N/A</c:v>
                </c:pt>
                <c:pt idx="30">
                  <c:v>#N/A</c:v>
                </c:pt>
                <c:pt idx="31">
                  <c:v>#N/A</c:v>
                </c:pt>
                <c:pt idx="32">
                  <c:v>#N/A</c:v>
                </c:pt>
                <c:pt idx="33">
                  <c:v>#N/A</c:v>
                </c:pt>
                <c:pt idx="34">
                  <c:v>#N/A</c:v>
                </c:pt>
                <c:pt idx="35">
                  <c:v>100000</c:v>
                </c:pt>
                <c:pt idx="36">
                  <c:v>#N/A</c:v>
                </c:pt>
                <c:pt idx="37">
                  <c:v>#N/A</c:v>
                </c:pt>
                <c:pt idx="38">
                  <c:v>#N/A</c:v>
                </c:pt>
                <c:pt idx="39">
                  <c:v>#N/A</c:v>
                </c:pt>
                <c:pt idx="40">
                  <c:v>#N/A</c:v>
                </c:pt>
                <c:pt idx="41">
                  <c:v>#N/A</c:v>
                </c:pt>
                <c:pt idx="42">
                  <c:v>100000</c:v>
                </c:pt>
                <c:pt idx="43">
                  <c:v>#N/A</c:v>
                </c:pt>
                <c:pt idx="44">
                  <c:v>#N/A</c:v>
                </c:pt>
                <c:pt idx="45">
                  <c:v>#N/A</c:v>
                </c:pt>
                <c:pt idx="46">
                  <c:v>#N/A</c:v>
                </c:pt>
                <c:pt idx="47">
                  <c:v>#N/A</c:v>
                </c:pt>
                <c:pt idx="48">
                  <c:v>#N/A</c:v>
                </c:pt>
                <c:pt idx="49">
                  <c:v>100000</c:v>
                </c:pt>
                <c:pt idx="50">
                  <c:v>#N/A</c:v>
                </c:pt>
                <c:pt idx="51">
                  <c:v>#N/A</c:v>
                </c:pt>
                <c:pt idx="52">
                  <c:v>#N/A</c:v>
                </c:pt>
                <c:pt idx="53">
                  <c:v>#N/A</c:v>
                </c:pt>
                <c:pt idx="54">
                  <c:v>#N/A</c:v>
                </c:pt>
                <c:pt idx="55">
                  <c:v>#N/A</c:v>
                </c:pt>
                <c:pt idx="56">
                  <c:v>100000</c:v>
                </c:pt>
                <c:pt idx="57">
                  <c:v>#N/A</c:v>
                </c:pt>
                <c:pt idx="58">
                  <c:v>#N/A</c:v>
                </c:pt>
                <c:pt idx="59">
                  <c:v>#N/A</c:v>
                </c:pt>
                <c:pt idx="60">
                  <c:v>#N/A</c:v>
                </c:pt>
                <c:pt idx="61">
                  <c:v>#N/A</c:v>
                </c:pt>
                <c:pt idx="62">
                  <c:v>#N/A</c:v>
                </c:pt>
                <c:pt idx="63">
                  <c:v>100000</c:v>
                </c:pt>
                <c:pt idx="64">
                  <c:v>#N/A</c:v>
                </c:pt>
                <c:pt idx="65">
                  <c:v>#N/A</c:v>
                </c:pt>
                <c:pt idx="66">
                  <c:v>#N/A</c:v>
                </c:pt>
                <c:pt idx="67">
                  <c:v>#N/A</c:v>
                </c:pt>
                <c:pt idx="68">
                  <c:v>#N/A</c:v>
                </c:pt>
                <c:pt idx="69">
                  <c:v>#N/A</c:v>
                </c:pt>
                <c:pt idx="70">
                  <c:v>100000</c:v>
                </c:pt>
                <c:pt idx="71">
                  <c:v>#N/A</c:v>
                </c:pt>
                <c:pt idx="72">
                  <c:v>#N/A</c:v>
                </c:pt>
                <c:pt idx="73">
                  <c:v>#N/A</c:v>
                </c:pt>
                <c:pt idx="74">
                  <c:v>#N/A</c:v>
                </c:pt>
                <c:pt idx="75">
                  <c:v>#N/A</c:v>
                </c:pt>
                <c:pt idx="76">
                  <c:v>#N/A</c:v>
                </c:pt>
                <c:pt idx="77">
                  <c:v>100000</c:v>
                </c:pt>
                <c:pt idx="78">
                  <c:v>#N/A</c:v>
                </c:pt>
                <c:pt idx="79">
                  <c:v>#N/A</c:v>
                </c:pt>
                <c:pt idx="80">
                  <c:v>#N/A</c:v>
                </c:pt>
                <c:pt idx="81">
                  <c:v>#N/A</c:v>
                </c:pt>
                <c:pt idx="82">
                  <c:v>#N/A</c:v>
                </c:pt>
                <c:pt idx="83">
                  <c:v>#N/A</c:v>
                </c:pt>
                <c:pt idx="84">
                  <c:v>100000</c:v>
                </c:pt>
                <c:pt idx="85">
                  <c:v>#N/A</c:v>
                </c:pt>
                <c:pt idx="86">
                  <c:v>#N/A</c:v>
                </c:pt>
                <c:pt idx="87">
                  <c:v>#N/A</c:v>
                </c:pt>
                <c:pt idx="88">
                  <c:v>#N/A</c:v>
                </c:pt>
                <c:pt idx="89">
                  <c:v>#N/A</c:v>
                </c:pt>
                <c:pt idx="90">
                  <c:v>#N/A</c:v>
                </c:pt>
                <c:pt idx="91">
                  <c:v>100000</c:v>
                </c:pt>
                <c:pt idx="92">
                  <c:v>#N/A</c:v>
                </c:pt>
                <c:pt idx="93">
                  <c:v>#N/A</c:v>
                </c:pt>
                <c:pt idx="94">
                  <c:v>#N/A</c:v>
                </c:pt>
                <c:pt idx="95">
                  <c:v>#N/A</c:v>
                </c:pt>
                <c:pt idx="96">
                  <c:v>#N/A</c:v>
                </c:pt>
                <c:pt idx="97">
                  <c:v>#N/A</c:v>
                </c:pt>
                <c:pt idx="98">
                  <c:v>100000</c:v>
                </c:pt>
                <c:pt idx="99">
                  <c:v>#N/A</c:v>
                </c:pt>
                <c:pt idx="100">
                  <c:v>#N/A</c:v>
                </c:pt>
              </c:numCache>
            </c:numRef>
          </c:yVal>
          <c:smooth val="0"/>
          <c:extLst>
            <c:ext xmlns:c16="http://schemas.microsoft.com/office/drawing/2014/chart" uri="{C3380CC4-5D6E-409C-BE32-E72D297353CC}">
              <c16:uniqueId val="{000000E3-41C6-4D05-B7A4-0281A259BDA2}"/>
            </c:ext>
          </c:extLst>
        </c:ser>
        <c:ser>
          <c:idx val="5"/>
          <c:order val="54"/>
          <c:spPr>
            <a:ln w="12700">
              <a:solidFill>
                <a:srgbClr val="000000"/>
              </a:solidFill>
              <a:prstDash val="solid"/>
            </a:ln>
          </c:spPr>
          <c:marker>
            <c:symbol val="circle"/>
            <c:size val="5"/>
            <c:spPr>
              <a:solidFill>
                <a:srgbClr val="000000"/>
              </a:solidFill>
              <a:ln w="9525">
                <a:noFill/>
              </a:ln>
            </c:spPr>
          </c:marker>
          <c:dPt>
            <c:idx val="0"/>
            <c:bubble3D val="0"/>
            <c:spPr>
              <a:ln w="3175">
                <a:solidFill>
                  <a:srgbClr val="000000"/>
                </a:solidFill>
                <a:prstDash val="solid"/>
              </a:ln>
            </c:spPr>
            <c:extLst>
              <c:ext xmlns:c16="http://schemas.microsoft.com/office/drawing/2014/chart" uri="{C3380CC4-5D6E-409C-BE32-E72D297353CC}">
                <c16:uniqueId val="{000000E5-41C6-4D05-B7A4-0281A259BDA2}"/>
              </c:ext>
            </c:extLst>
          </c:dPt>
          <c:dPt>
            <c:idx val="1"/>
            <c:bubble3D val="0"/>
            <c:spPr>
              <a:ln w="3175">
                <a:solidFill>
                  <a:srgbClr val="000000"/>
                </a:solidFill>
                <a:prstDash val="solid"/>
              </a:ln>
            </c:spPr>
            <c:extLst>
              <c:ext xmlns:c16="http://schemas.microsoft.com/office/drawing/2014/chart" uri="{C3380CC4-5D6E-409C-BE32-E72D297353CC}">
                <c16:uniqueId val="{000000E7-41C6-4D05-B7A4-0281A259BDA2}"/>
              </c:ext>
            </c:extLst>
          </c:dPt>
          <c:dPt>
            <c:idx val="2"/>
            <c:bubble3D val="0"/>
            <c:spPr>
              <a:ln w="3175">
                <a:solidFill>
                  <a:srgbClr val="000000"/>
                </a:solidFill>
                <a:prstDash val="solid"/>
              </a:ln>
            </c:spPr>
            <c:extLst>
              <c:ext xmlns:c16="http://schemas.microsoft.com/office/drawing/2014/chart" uri="{C3380CC4-5D6E-409C-BE32-E72D297353CC}">
                <c16:uniqueId val="{000000E9-41C6-4D05-B7A4-0281A259BDA2}"/>
              </c:ext>
            </c:extLst>
          </c:dPt>
          <c:dPt>
            <c:idx val="3"/>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EB-41C6-4D05-B7A4-0281A259BDA2}"/>
              </c:ext>
            </c:extLst>
          </c:dPt>
          <c:dPt>
            <c:idx val="4"/>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ED-41C6-4D05-B7A4-0281A259BDA2}"/>
              </c:ext>
            </c:extLst>
          </c:dPt>
          <c:dPt>
            <c:idx val="5"/>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EF-41C6-4D05-B7A4-0281A259BDA2}"/>
              </c:ext>
            </c:extLst>
          </c:dPt>
          <c:dPt>
            <c:idx val="6"/>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1-41C6-4D05-B7A4-0281A259BDA2}"/>
              </c:ext>
            </c:extLst>
          </c:dPt>
          <c:dPt>
            <c:idx val="7"/>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3-41C6-4D05-B7A4-0281A259BDA2}"/>
              </c:ext>
            </c:extLst>
          </c:dPt>
          <c:dPt>
            <c:idx val="8"/>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5-41C6-4D05-B7A4-0281A259BDA2}"/>
              </c:ext>
            </c:extLst>
          </c:dPt>
          <c:dPt>
            <c:idx val="9"/>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7-41C6-4D05-B7A4-0281A259BDA2}"/>
              </c:ext>
            </c:extLst>
          </c:dPt>
          <c:dPt>
            <c:idx val="10"/>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9-41C6-4D05-B7A4-0281A259BDA2}"/>
              </c:ext>
            </c:extLst>
          </c:dPt>
          <c:dPt>
            <c:idx val="11"/>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B-41C6-4D05-B7A4-0281A259BDA2}"/>
              </c:ext>
            </c:extLst>
          </c:dPt>
          <c:dPt>
            <c:idx val="12"/>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D-41C6-4D05-B7A4-0281A259BDA2}"/>
              </c:ext>
            </c:extLst>
          </c:dPt>
          <c:dPt>
            <c:idx val="13"/>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0FF-41C6-4D05-B7A4-0281A259BDA2}"/>
              </c:ext>
            </c:extLst>
          </c:dPt>
          <c:dPt>
            <c:idx val="14"/>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01-41C6-4D05-B7A4-0281A259BDA2}"/>
              </c:ext>
            </c:extLst>
          </c:dPt>
          <c:dPt>
            <c:idx val="15"/>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03-41C6-4D05-B7A4-0281A259BDA2}"/>
              </c:ext>
            </c:extLst>
          </c:dPt>
          <c:dPt>
            <c:idx val="16"/>
            <c:bubble3D val="0"/>
            <c:spPr>
              <a:ln w="3175">
                <a:solidFill>
                  <a:srgbClr val="000000"/>
                </a:solidFill>
                <a:prstDash val="solid"/>
              </a:ln>
            </c:spPr>
            <c:extLst>
              <c:ext xmlns:c16="http://schemas.microsoft.com/office/drawing/2014/chart" uri="{C3380CC4-5D6E-409C-BE32-E72D297353CC}">
                <c16:uniqueId val="{00000105-41C6-4D05-B7A4-0281A259BDA2}"/>
              </c:ext>
            </c:extLst>
          </c:dPt>
          <c:dPt>
            <c:idx val="17"/>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07-41C6-4D05-B7A4-0281A259BDA2}"/>
              </c:ext>
            </c:extLst>
          </c:dPt>
          <c:dPt>
            <c:idx val="18"/>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09-41C6-4D05-B7A4-0281A259BDA2}"/>
              </c:ext>
            </c:extLst>
          </c:dPt>
          <c:dPt>
            <c:idx val="19"/>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0B-41C6-4D05-B7A4-0281A259BDA2}"/>
              </c:ext>
            </c:extLst>
          </c:dPt>
          <c:dPt>
            <c:idx val="20"/>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0D-41C6-4D05-B7A4-0281A259BDA2}"/>
              </c:ext>
            </c:extLst>
          </c:dPt>
          <c:dPt>
            <c:idx val="21"/>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0F-41C6-4D05-B7A4-0281A259BDA2}"/>
              </c:ext>
            </c:extLst>
          </c:dPt>
          <c:dPt>
            <c:idx val="22"/>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11-41C6-4D05-B7A4-0281A259BDA2}"/>
              </c:ext>
            </c:extLst>
          </c:dPt>
          <c:dPt>
            <c:idx val="23"/>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13-41C6-4D05-B7A4-0281A259BDA2}"/>
              </c:ext>
            </c:extLst>
          </c:dPt>
          <c:dPt>
            <c:idx val="24"/>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15-41C6-4D05-B7A4-0281A259BDA2}"/>
              </c:ext>
            </c:extLst>
          </c:dPt>
          <c:dPt>
            <c:idx val="25"/>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17-41C6-4D05-B7A4-0281A259BDA2}"/>
              </c:ext>
            </c:extLst>
          </c:dPt>
          <c:dPt>
            <c:idx val="26"/>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19-41C6-4D05-B7A4-0281A259BDA2}"/>
              </c:ext>
            </c:extLst>
          </c:dPt>
          <c:dPt>
            <c:idx val="27"/>
            <c:marker>
              <c:spPr>
                <a:solidFill>
                  <a:srgbClr val="000000"/>
                </a:solidFill>
                <a:ln>
                  <a:noFill/>
                  <a:prstDash val="solid"/>
                </a:ln>
              </c:spPr>
            </c:marker>
            <c:bubble3D val="0"/>
            <c:spPr>
              <a:ln w="3175">
                <a:solidFill>
                  <a:srgbClr val="000000"/>
                </a:solidFill>
                <a:prstDash val="solid"/>
              </a:ln>
            </c:spPr>
            <c:extLst>
              <c:ext xmlns:c16="http://schemas.microsoft.com/office/drawing/2014/chart" uri="{C3380CC4-5D6E-409C-BE32-E72D297353CC}">
                <c16:uniqueId val="{0000011B-41C6-4D05-B7A4-0281A259BDA2}"/>
              </c:ext>
            </c:extLst>
          </c:dPt>
          <c:dPt>
            <c:idx val="28"/>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1D-41C6-4D05-B7A4-0281A259BDA2}"/>
              </c:ext>
            </c:extLst>
          </c:dPt>
          <c:dPt>
            <c:idx val="29"/>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1F-41C6-4D05-B7A4-0281A259BDA2}"/>
              </c:ext>
            </c:extLst>
          </c:dPt>
          <c:dPt>
            <c:idx val="30"/>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1-41C6-4D05-B7A4-0281A259BDA2}"/>
              </c:ext>
            </c:extLst>
          </c:dPt>
          <c:dPt>
            <c:idx val="31"/>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3-41C6-4D05-B7A4-0281A259BDA2}"/>
              </c:ext>
            </c:extLst>
          </c:dPt>
          <c:dPt>
            <c:idx val="32"/>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5-41C6-4D05-B7A4-0281A259BDA2}"/>
              </c:ext>
            </c:extLst>
          </c:dPt>
          <c:dPt>
            <c:idx val="33"/>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7-41C6-4D05-B7A4-0281A259BDA2}"/>
              </c:ext>
            </c:extLst>
          </c:dPt>
          <c:dPt>
            <c:idx val="34"/>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9-41C6-4D05-B7A4-0281A259BDA2}"/>
              </c:ext>
            </c:extLst>
          </c:dPt>
          <c:dPt>
            <c:idx val="35"/>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B-41C6-4D05-B7A4-0281A259BDA2}"/>
              </c:ext>
            </c:extLst>
          </c:dPt>
          <c:dPt>
            <c:idx val="36"/>
            <c:marker>
              <c:spPr>
                <a:solidFill>
                  <a:srgbClr val="000000"/>
                </a:solidFill>
                <a:ln>
                  <a:solidFill>
                    <a:srgbClr val="000000"/>
                  </a:solidFill>
                  <a:prstDash val="solid"/>
                </a:ln>
              </c:spPr>
            </c:marker>
            <c:bubble3D val="0"/>
            <c:spPr>
              <a:ln w="3175">
                <a:solidFill>
                  <a:srgbClr val="000000"/>
                </a:solidFill>
                <a:prstDash val="solid"/>
              </a:ln>
            </c:spPr>
            <c:extLst>
              <c:ext xmlns:c16="http://schemas.microsoft.com/office/drawing/2014/chart" uri="{C3380CC4-5D6E-409C-BE32-E72D297353CC}">
                <c16:uniqueId val="{0000012D-41C6-4D05-B7A4-0281A259BDA2}"/>
              </c:ext>
            </c:extLst>
          </c:dPt>
          <c:dPt>
            <c:idx val="37"/>
            <c:bubble3D val="0"/>
            <c:spPr>
              <a:ln w="3175">
                <a:solidFill>
                  <a:srgbClr val="000000"/>
                </a:solidFill>
                <a:prstDash val="solid"/>
              </a:ln>
            </c:spPr>
            <c:extLst>
              <c:ext xmlns:c16="http://schemas.microsoft.com/office/drawing/2014/chart" uri="{C3380CC4-5D6E-409C-BE32-E72D297353CC}">
                <c16:uniqueId val="{0000012F-41C6-4D05-B7A4-0281A259BDA2}"/>
              </c:ext>
            </c:extLst>
          </c:dPt>
          <c:dPt>
            <c:idx val="38"/>
            <c:bubble3D val="0"/>
            <c:spPr>
              <a:ln w="3175">
                <a:solidFill>
                  <a:srgbClr val="000000"/>
                </a:solidFill>
                <a:prstDash val="solid"/>
              </a:ln>
            </c:spPr>
            <c:extLst>
              <c:ext xmlns:c16="http://schemas.microsoft.com/office/drawing/2014/chart" uri="{C3380CC4-5D6E-409C-BE32-E72D297353CC}">
                <c16:uniqueId val="{00000131-41C6-4D05-B7A4-0281A259BDA2}"/>
              </c:ext>
            </c:extLst>
          </c:dPt>
          <c:dPt>
            <c:idx val="39"/>
            <c:bubble3D val="0"/>
            <c:spPr>
              <a:ln w="3175">
                <a:solidFill>
                  <a:srgbClr val="000000"/>
                </a:solidFill>
                <a:prstDash val="solid"/>
              </a:ln>
            </c:spPr>
            <c:extLst>
              <c:ext xmlns:c16="http://schemas.microsoft.com/office/drawing/2014/chart" uri="{C3380CC4-5D6E-409C-BE32-E72D297353CC}">
                <c16:uniqueId val="{00000133-41C6-4D05-B7A4-0281A259BDA2}"/>
              </c:ext>
            </c:extLst>
          </c:dPt>
          <c:dPt>
            <c:idx val="40"/>
            <c:bubble3D val="0"/>
            <c:spPr>
              <a:ln w="3175">
                <a:solidFill>
                  <a:srgbClr val="000000"/>
                </a:solidFill>
                <a:prstDash val="solid"/>
              </a:ln>
            </c:spPr>
            <c:extLst>
              <c:ext xmlns:c16="http://schemas.microsoft.com/office/drawing/2014/chart" uri="{C3380CC4-5D6E-409C-BE32-E72D297353CC}">
                <c16:uniqueId val="{00000135-41C6-4D05-B7A4-0281A259BDA2}"/>
              </c:ext>
            </c:extLst>
          </c:dPt>
          <c:dPt>
            <c:idx val="41"/>
            <c:bubble3D val="0"/>
            <c:spPr>
              <a:ln w="3175">
                <a:solidFill>
                  <a:srgbClr val="000000"/>
                </a:solidFill>
                <a:prstDash val="solid"/>
              </a:ln>
            </c:spPr>
            <c:extLst>
              <c:ext xmlns:c16="http://schemas.microsoft.com/office/drawing/2014/chart" uri="{C3380CC4-5D6E-409C-BE32-E72D297353CC}">
                <c16:uniqueId val="{00000137-41C6-4D05-B7A4-0281A259BDA2}"/>
              </c:ext>
            </c:extLst>
          </c:dPt>
          <c:dPt>
            <c:idx val="42"/>
            <c:bubble3D val="0"/>
            <c:spPr>
              <a:ln w="3175">
                <a:solidFill>
                  <a:srgbClr val="000000"/>
                </a:solidFill>
                <a:prstDash val="solid"/>
              </a:ln>
            </c:spPr>
            <c:extLst>
              <c:ext xmlns:c16="http://schemas.microsoft.com/office/drawing/2014/chart" uri="{C3380CC4-5D6E-409C-BE32-E72D297353CC}">
                <c16:uniqueId val="{00000139-41C6-4D05-B7A4-0281A259BDA2}"/>
              </c:ext>
            </c:extLst>
          </c:dPt>
          <c:dPt>
            <c:idx val="43"/>
            <c:bubble3D val="0"/>
            <c:spPr>
              <a:ln w="3175">
                <a:solidFill>
                  <a:srgbClr val="000000"/>
                </a:solidFill>
                <a:prstDash val="solid"/>
              </a:ln>
            </c:spPr>
            <c:extLst>
              <c:ext xmlns:c16="http://schemas.microsoft.com/office/drawing/2014/chart" uri="{C3380CC4-5D6E-409C-BE32-E72D297353CC}">
                <c16:uniqueId val="{0000013B-41C6-4D05-B7A4-0281A259BDA2}"/>
              </c:ext>
            </c:extLst>
          </c:dPt>
          <c:dPt>
            <c:idx val="44"/>
            <c:bubble3D val="0"/>
            <c:spPr>
              <a:ln w="3175">
                <a:solidFill>
                  <a:srgbClr val="000000"/>
                </a:solidFill>
                <a:prstDash val="solid"/>
              </a:ln>
            </c:spPr>
            <c:extLst>
              <c:ext xmlns:c16="http://schemas.microsoft.com/office/drawing/2014/chart" uri="{C3380CC4-5D6E-409C-BE32-E72D297353CC}">
                <c16:uniqueId val="{0000013D-41C6-4D05-B7A4-0281A259BDA2}"/>
              </c:ext>
            </c:extLst>
          </c:dPt>
          <c:dPt>
            <c:idx val="45"/>
            <c:bubble3D val="0"/>
            <c:spPr>
              <a:ln w="3175">
                <a:solidFill>
                  <a:srgbClr val="000000"/>
                </a:solidFill>
                <a:prstDash val="solid"/>
              </a:ln>
            </c:spPr>
            <c:extLst>
              <c:ext xmlns:c16="http://schemas.microsoft.com/office/drawing/2014/chart" uri="{C3380CC4-5D6E-409C-BE32-E72D297353CC}">
                <c16:uniqueId val="{0000013F-41C6-4D05-B7A4-0281A259BDA2}"/>
              </c:ext>
            </c:extLst>
          </c:dPt>
          <c:dPt>
            <c:idx val="46"/>
            <c:bubble3D val="0"/>
            <c:spPr>
              <a:ln w="3175">
                <a:solidFill>
                  <a:srgbClr val="000000"/>
                </a:solidFill>
                <a:prstDash val="solid"/>
              </a:ln>
            </c:spPr>
            <c:extLst>
              <c:ext xmlns:c16="http://schemas.microsoft.com/office/drawing/2014/chart" uri="{C3380CC4-5D6E-409C-BE32-E72D297353CC}">
                <c16:uniqueId val="{00000141-41C6-4D05-B7A4-0281A259BDA2}"/>
              </c:ext>
            </c:extLst>
          </c:dPt>
          <c:dPt>
            <c:idx val="47"/>
            <c:bubble3D val="0"/>
            <c:spPr>
              <a:ln w="3175">
                <a:solidFill>
                  <a:srgbClr val="000000"/>
                </a:solidFill>
                <a:prstDash val="solid"/>
              </a:ln>
            </c:spPr>
            <c:extLst>
              <c:ext xmlns:c16="http://schemas.microsoft.com/office/drawing/2014/chart" uri="{C3380CC4-5D6E-409C-BE32-E72D297353CC}">
                <c16:uniqueId val="{00000143-41C6-4D05-B7A4-0281A259BDA2}"/>
              </c:ext>
            </c:extLst>
          </c:dPt>
          <c:dPt>
            <c:idx val="48"/>
            <c:bubble3D val="0"/>
            <c:spPr>
              <a:ln w="3175">
                <a:solidFill>
                  <a:srgbClr val="000000"/>
                </a:solidFill>
                <a:prstDash val="solid"/>
              </a:ln>
            </c:spPr>
            <c:extLst>
              <c:ext xmlns:c16="http://schemas.microsoft.com/office/drawing/2014/chart" uri="{C3380CC4-5D6E-409C-BE32-E72D297353CC}">
                <c16:uniqueId val="{00000145-41C6-4D05-B7A4-0281A259BDA2}"/>
              </c:ext>
            </c:extLst>
          </c:dPt>
          <c:dPt>
            <c:idx val="49"/>
            <c:bubble3D val="0"/>
            <c:spPr>
              <a:ln w="3175">
                <a:solidFill>
                  <a:srgbClr val="000000"/>
                </a:solidFill>
                <a:prstDash val="solid"/>
              </a:ln>
            </c:spPr>
            <c:extLst>
              <c:ext xmlns:c16="http://schemas.microsoft.com/office/drawing/2014/chart" uri="{C3380CC4-5D6E-409C-BE32-E72D297353CC}">
                <c16:uniqueId val="{00000147-41C6-4D05-B7A4-0281A259BDA2}"/>
              </c:ext>
            </c:extLst>
          </c:dPt>
          <c:dPt>
            <c:idx val="50"/>
            <c:bubble3D val="0"/>
            <c:spPr>
              <a:ln w="3175">
                <a:solidFill>
                  <a:srgbClr val="000000"/>
                </a:solidFill>
                <a:prstDash val="solid"/>
              </a:ln>
            </c:spPr>
            <c:extLst>
              <c:ext xmlns:c16="http://schemas.microsoft.com/office/drawing/2014/chart" uri="{C3380CC4-5D6E-409C-BE32-E72D297353CC}">
                <c16:uniqueId val="{00000149-41C6-4D05-B7A4-0281A259BDA2}"/>
              </c:ext>
            </c:extLst>
          </c:dPt>
          <c:dPt>
            <c:idx val="51"/>
            <c:bubble3D val="0"/>
            <c:spPr>
              <a:ln w="3175">
                <a:solidFill>
                  <a:srgbClr val="000000"/>
                </a:solidFill>
                <a:prstDash val="solid"/>
              </a:ln>
            </c:spPr>
            <c:extLst>
              <c:ext xmlns:c16="http://schemas.microsoft.com/office/drawing/2014/chart" uri="{C3380CC4-5D6E-409C-BE32-E72D297353CC}">
                <c16:uniqueId val="{0000014B-41C6-4D05-B7A4-0281A259BDA2}"/>
              </c:ext>
            </c:extLst>
          </c:dPt>
          <c:dPt>
            <c:idx val="52"/>
            <c:bubble3D val="0"/>
            <c:spPr>
              <a:ln w="3175">
                <a:solidFill>
                  <a:srgbClr val="000000"/>
                </a:solidFill>
                <a:prstDash val="solid"/>
              </a:ln>
            </c:spPr>
            <c:extLst>
              <c:ext xmlns:c16="http://schemas.microsoft.com/office/drawing/2014/chart" uri="{C3380CC4-5D6E-409C-BE32-E72D297353CC}">
                <c16:uniqueId val="{0000014D-41C6-4D05-B7A4-0281A259BDA2}"/>
              </c:ext>
            </c:extLst>
          </c:dPt>
          <c:dPt>
            <c:idx val="53"/>
            <c:bubble3D val="0"/>
            <c:spPr>
              <a:ln w="3175">
                <a:solidFill>
                  <a:srgbClr val="000000"/>
                </a:solidFill>
                <a:prstDash val="solid"/>
              </a:ln>
            </c:spPr>
            <c:extLst>
              <c:ext xmlns:c16="http://schemas.microsoft.com/office/drawing/2014/chart" uri="{C3380CC4-5D6E-409C-BE32-E72D297353CC}">
                <c16:uniqueId val="{0000014F-41C6-4D05-B7A4-0281A259BDA2}"/>
              </c:ext>
            </c:extLst>
          </c:dPt>
          <c:dPt>
            <c:idx val="54"/>
            <c:bubble3D val="0"/>
            <c:spPr>
              <a:ln w="3175">
                <a:solidFill>
                  <a:srgbClr val="000000"/>
                </a:solidFill>
                <a:prstDash val="solid"/>
              </a:ln>
            </c:spPr>
            <c:extLst>
              <c:ext xmlns:c16="http://schemas.microsoft.com/office/drawing/2014/chart" uri="{C3380CC4-5D6E-409C-BE32-E72D297353CC}">
                <c16:uniqueId val="{00000151-41C6-4D05-B7A4-0281A259BDA2}"/>
              </c:ext>
            </c:extLst>
          </c:dPt>
          <c:dPt>
            <c:idx val="55"/>
            <c:bubble3D val="0"/>
            <c:spPr>
              <a:ln w="3175">
                <a:solidFill>
                  <a:srgbClr val="000000"/>
                </a:solidFill>
                <a:prstDash val="solid"/>
              </a:ln>
            </c:spPr>
            <c:extLst>
              <c:ext xmlns:c16="http://schemas.microsoft.com/office/drawing/2014/chart" uri="{C3380CC4-5D6E-409C-BE32-E72D297353CC}">
                <c16:uniqueId val="{00000153-41C6-4D05-B7A4-0281A259BDA2}"/>
              </c:ext>
            </c:extLst>
          </c:dPt>
          <c:dPt>
            <c:idx val="56"/>
            <c:bubble3D val="0"/>
            <c:spPr>
              <a:ln w="3175">
                <a:solidFill>
                  <a:srgbClr val="000000"/>
                </a:solidFill>
                <a:prstDash val="solid"/>
              </a:ln>
            </c:spPr>
            <c:extLst>
              <c:ext xmlns:c16="http://schemas.microsoft.com/office/drawing/2014/chart" uri="{C3380CC4-5D6E-409C-BE32-E72D297353CC}">
                <c16:uniqueId val="{00000155-41C6-4D05-B7A4-0281A259BDA2}"/>
              </c:ext>
            </c:extLst>
          </c:dPt>
          <c:dPt>
            <c:idx val="57"/>
            <c:bubble3D val="0"/>
            <c:spPr>
              <a:ln w="3175">
                <a:solidFill>
                  <a:srgbClr val="000000"/>
                </a:solidFill>
                <a:prstDash val="solid"/>
              </a:ln>
            </c:spPr>
            <c:extLst>
              <c:ext xmlns:c16="http://schemas.microsoft.com/office/drawing/2014/chart" uri="{C3380CC4-5D6E-409C-BE32-E72D297353CC}">
                <c16:uniqueId val="{00000157-41C6-4D05-B7A4-0281A259BDA2}"/>
              </c:ext>
            </c:extLst>
          </c:dPt>
          <c:dPt>
            <c:idx val="58"/>
            <c:bubble3D val="0"/>
            <c:spPr>
              <a:ln w="3175">
                <a:solidFill>
                  <a:srgbClr val="000000"/>
                </a:solidFill>
                <a:prstDash val="solid"/>
              </a:ln>
            </c:spPr>
            <c:extLst>
              <c:ext xmlns:c16="http://schemas.microsoft.com/office/drawing/2014/chart" uri="{C3380CC4-5D6E-409C-BE32-E72D297353CC}">
                <c16:uniqueId val="{00000159-41C6-4D05-B7A4-0281A259BDA2}"/>
              </c:ext>
            </c:extLst>
          </c:dPt>
          <c:dPt>
            <c:idx val="59"/>
            <c:bubble3D val="0"/>
            <c:spPr>
              <a:ln w="3175">
                <a:solidFill>
                  <a:srgbClr val="000000"/>
                </a:solidFill>
                <a:prstDash val="solid"/>
              </a:ln>
            </c:spPr>
            <c:extLst>
              <c:ext xmlns:c16="http://schemas.microsoft.com/office/drawing/2014/chart" uri="{C3380CC4-5D6E-409C-BE32-E72D297353CC}">
                <c16:uniqueId val="{0000015B-41C6-4D05-B7A4-0281A259BDA2}"/>
              </c:ext>
            </c:extLst>
          </c:dPt>
          <c:dPt>
            <c:idx val="60"/>
            <c:bubble3D val="0"/>
            <c:spPr>
              <a:ln w="3175">
                <a:solidFill>
                  <a:srgbClr val="000000"/>
                </a:solidFill>
                <a:prstDash val="solid"/>
              </a:ln>
            </c:spPr>
            <c:extLst>
              <c:ext xmlns:c16="http://schemas.microsoft.com/office/drawing/2014/chart" uri="{C3380CC4-5D6E-409C-BE32-E72D297353CC}">
                <c16:uniqueId val="{0000015D-41C6-4D05-B7A4-0281A259BDA2}"/>
              </c:ext>
            </c:extLst>
          </c:dPt>
          <c:dPt>
            <c:idx val="61"/>
            <c:bubble3D val="0"/>
            <c:spPr>
              <a:ln w="3175">
                <a:solidFill>
                  <a:srgbClr val="000000"/>
                </a:solidFill>
                <a:prstDash val="solid"/>
              </a:ln>
            </c:spPr>
            <c:extLst>
              <c:ext xmlns:c16="http://schemas.microsoft.com/office/drawing/2014/chart" uri="{C3380CC4-5D6E-409C-BE32-E72D297353CC}">
                <c16:uniqueId val="{0000015F-41C6-4D05-B7A4-0281A259BDA2}"/>
              </c:ext>
            </c:extLst>
          </c:dPt>
          <c:dPt>
            <c:idx val="62"/>
            <c:bubble3D val="0"/>
            <c:spPr>
              <a:ln w="3175">
                <a:solidFill>
                  <a:srgbClr val="000000"/>
                </a:solidFill>
                <a:prstDash val="solid"/>
              </a:ln>
            </c:spPr>
            <c:extLst>
              <c:ext xmlns:c16="http://schemas.microsoft.com/office/drawing/2014/chart" uri="{C3380CC4-5D6E-409C-BE32-E72D297353CC}">
                <c16:uniqueId val="{00000161-41C6-4D05-B7A4-0281A259BDA2}"/>
              </c:ext>
            </c:extLst>
          </c:dPt>
          <c:dPt>
            <c:idx val="63"/>
            <c:bubble3D val="0"/>
            <c:spPr>
              <a:ln w="3175">
                <a:solidFill>
                  <a:srgbClr val="000000"/>
                </a:solidFill>
                <a:prstDash val="solid"/>
              </a:ln>
            </c:spPr>
            <c:extLst>
              <c:ext xmlns:c16="http://schemas.microsoft.com/office/drawing/2014/chart" uri="{C3380CC4-5D6E-409C-BE32-E72D297353CC}">
                <c16:uniqueId val="{00000163-41C6-4D05-B7A4-0281A259BDA2}"/>
              </c:ext>
            </c:extLst>
          </c:dPt>
          <c:dPt>
            <c:idx val="64"/>
            <c:bubble3D val="0"/>
            <c:spPr>
              <a:ln w="3175">
                <a:solidFill>
                  <a:srgbClr val="000000"/>
                </a:solidFill>
                <a:prstDash val="solid"/>
              </a:ln>
            </c:spPr>
            <c:extLst>
              <c:ext xmlns:c16="http://schemas.microsoft.com/office/drawing/2014/chart" uri="{C3380CC4-5D6E-409C-BE32-E72D297353CC}">
                <c16:uniqueId val="{00000165-41C6-4D05-B7A4-0281A259BDA2}"/>
              </c:ext>
            </c:extLst>
          </c:dPt>
          <c:dPt>
            <c:idx val="65"/>
            <c:bubble3D val="0"/>
            <c:spPr>
              <a:ln w="3175">
                <a:solidFill>
                  <a:srgbClr val="000000"/>
                </a:solidFill>
                <a:prstDash val="solid"/>
              </a:ln>
            </c:spPr>
            <c:extLst>
              <c:ext xmlns:c16="http://schemas.microsoft.com/office/drawing/2014/chart" uri="{C3380CC4-5D6E-409C-BE32-E72D297353CC}">
                <c16:uniqueId val="{00000167-41C6-4D05-B7A4-0281A259BDA2}"/>
              </c:ext>
            </c:extLst>
          </c:dPt>
          <c:dPt>
            <c:idx val="66"/>
            <c:bubble3D val="0"/>
            <c:spPr>
              <a:ln w="3175">
                <a:solidFill>
                  <a:srgbClr val="000000"/>
                </a:solidFill>
                <a:prstDash val="solid"/>
              </a:ln>
            </c:spPr>
            <c:extLst>
              <c:ext xmlns:c16="http://schemas.microsoft.com/office/drawing/2014/chart" uri="{C3380CC4-5D6E-409C-BE32-E72D297353CC}">
                <c16:uniqueId val="{00000169-41C6-4D05-B7A4-0281A259BDA2}"/>
              </c:ext>
            </c:extLst>
          </c:dPt>
          <c:dPt>
            <c:idx val="67"/>
            <c:bubble3D val="0"/>
            <c:spPr>
              <a:ln w="3175">
                <a:solidFill>
                  <a:srgbClr val="000000"/>
                </a:solidFill>
                <a:prstDash val="solid"/>
              </a:ln>
            </c:spPr>
            <c:extLst>
              <c:ext xmlns:c16="http://schemas.microsoft.com/office/drawing/2014/chart" uri="{C3380CC4-5D6E-409C-BE32-E72D297353CC}">
                <c16:uniqueId val="{0000016B-41C6-4D05-B7A4-0281A259BDA2}"/>
              </c:ext>
            </c:extLst>
          </c:dPt>
          <c:dPt>
            <c:idx val="68"/>
            <c:bubble3D val="0"/>
            <c:spPr>
              <a:ln w="3175">
                <a:solidFill>
                  <a:srgbClr val="000000"/>
                </a:solidFill>
                <a:prstDash val="solid"/>
              </a:ln>
            </c:spPr>
            <c:extLst>
              <c:ext xmlns:c16="http://schemas.microsoft.com/office/drawing/2014/chart" uri="{C3380CC4-5D6E-409C-BE32-E72D297353CC}">
                <c16:uniqueId val="{0000016D-41C6-4D05-B7A4-0281A259BDA2}"/>
              </c:ext>
            </c:extLst>
          </c:dPt>
          <c:dPt>
            <c:idx val="69"/>
            <c:bubble3D val="0"/>
            <c:spPr>
              <a:ln w="3175">
                <a:solidFill>
                  <a:srgbClr val="000000"/>
                </a:solidFill>
                <a:prstDash val="solid"/>
              </a:ln>
            </c:spPr>
            <c:extLst>
              <c:ext xmlns:c16="http://schemas.microsoft.com/office/drawing/2014/chart" uri="{C3380CC4-5D6E-409C-BE32-E72D297353CC}">
                <c16:uniqueId val="{0000016F-41C6-4D05-B7A4-0281A259BDA2}"/>
              </c:ext>
            </c:extLst>
          </c:dPt>
          <c:dPt>
            <c:idx val="70"/>
            <c:bubble3D val="0"/>
            <c:spPr>
              <a:ln w="3175">
                <a:solidFill>
                  <a:srgbClr val="000000"/>
                </a:solidFill>
                <a:prstDash val="solid"/>
              </a:ln>
            </c:spPr>
            <c:extLst>
              <c:ext xmlns:c16="http://schemas.microsoft.com/office/drawing/2014/chart" uri="{C3380CC4-5D6E-409C-BE32-E72D297353CC}">
                <c16:uniqueId val="{00000171-41C6-4D05-B7A4-0281A259BDA2}"/>
              </c:ext>
            </c:extLst>
          </c:dPt>
          <c:dPt>
            <c:idx val="71"/>
            <c:bubble3D val="0"/>
            <c:spPr>
              <a:ln w="3175">
                <a:solidFill>
                  <a:srgbClr val="000000"/>
                </a:solidFill>
                <a:prstDash val="solid"/>
              </a:ln>
            </c:spPr>
            <c:extLst>
              <c:ext xmlns:c16="http://schemas.microsoft.com/office/drawing/2014/chart" uri="{C3380CC4-5D6E-409C-BE32-E72D297353CC}">
                <c16:uniqueId val="{00000173-41C6-4D05-B7A4-0281A259BDA2}"/>
              </c:ext>
            </c:extLst>
          </c:dPt>
          <c:dPt>
            <c:idx val="72"/>
            <c:bubble3D val="0"/>
            <c:spPr>
              <a:ln w="3175">
                <a:solidFill>
                  <a:srgbClr val="000000"/>
                </a:solidFill>
                <a:prstDash val="solid"/>
              </a:ln>
            </c:spPr>
            <c:extLst>
              <c:ext xmlns:c16="http://schemas.microsoft.com/office/drawing/2014/chart" uri="{C3380CC4-5D6E-409C-BE32-E72D297353CC}">
                <c16:uniqueId val="{00000175-41C6-4D05-B7A4-0281A259BDA2}"/>
              </c:ext>
            </c:extLst>
          </c:dPt>
          <c:dPt>
            <c:idx val="73"/>
            <c:bubble3D val="0"/>
            <c:spPr>
              <a:ln w="3175">
                <a:solidFill>
                  <a:srgbClr val="000000"/>
                </a:solidFill>
                <a:prstDash val="solid"/>
              </a:ln>
            </c:spPr>
            <c:extLst>
              <c:ext xmlns:c16="http://schemas.microsoft.com/office/drawing/2014/chart" uri="{C3380CC4-5D6E-409C-BE32-E72D297353CC}">
                <c16:uniqueId val="{00000177-41C6-4D05-B7A4-0281A259BDA2}"/>
              </c:ext>
            </c:extLst>
          </c:dPt>
          <c:dPt>
            <c:idx val="74"/>
            <c:bubble3D val="0"/>
            <c:spPr>
              <a:ln w="3175">
                <a:solidFill>
                  <a:srgbClr val="000000"/>
                </a:solidFill>
                <a:prstDash val="solid"/>
              </a:ln>
            </c:spPr>
            <c:extLst>
              <c:ext xmlns:c16="http://schemas.microsoft.com/office/drawing/2014/chart" uri="{C3380CC4-5D6E-409C-BE32-E72D297353CC}">
                <c16:uniqueId val="{00000179-41C6-4D05-B7A4-0281A259BDA2}"/>
              </c:ext>
            </c:extLst>
          </c:dPt>
          <c:dPt>
            <c:idx val="75"/>
            <c:bubble3D val="0"/>
            <c:spPr>
              <a:ln w="3175">
                <a:solidFill>
                  <a:srgbClr val="000000"/>
                </a:solidFill>
                <a:prstDash val="solid"/>
              </a:ln>
            </c:spPr>
            <c:extLst>
              <c:ext xmlns:c16="http://schemas.microsoft.com/office/drawing/2014/chart" uri="{C3380CC4-5D6E-409C-BE32-E72D297353CC}">
                <c16:uniqueId val="{0000017B-41C6-4D05-B7A4-0281A259BDA2}"/>
              </c:ext>
            </c:extLst>
          </c:dPt>
          <c:dPt>
            <c:idx val="76"/>
            <c:bubble3D val="0"/>
            <c:spPr>
              <a:ln w="3175">
                <a:solidFill>
                  <a:srgbClr val="000000"/>
                </a:solidFill>
                <a:prstDash val="solid"/>
              </a:ln>
            </c:spPr>
            <c:extLst>
              <c:ext xmlns:c16="http://schemas.microsoft.com/office/drawing/2014/chart" uri="{C3380CC4-5D6E-409C-BE32-E72D297353CC}">
                <c16:uniqueId val="{0000017D-41C6-4D05-B7A4-0281A259BDA2}"/>
              </c:ext>
            </c:extLst>
          </c:dPt>
          <c:dPt>
            <c:idx val="77"/>
            <c:bubble3D val="0"/>
            <c:spPr>
              <a:ln w="3175">
                <a:solidFill>
                  <a:srgbClr val="000000"/>
                </a:solidFill>
                <a:prstDash val="solid"/>
              </a:ln>
            </c:spPr>
            <c:extLst>
              <c:ext xmlns:c16="http://schemas.microsoft.com/office/drawing/2014/chart" uri="{C3380CC4-5D6E-409C-BE32-E72D297353CC}">
                <c16:uniqueId val="{0000017F-41C6-4D05-B7A4-0281A259BDA2}"/>
              </c:ext>
            </c:extLst>
          </c:dPt>
          <c:dPt>
            <c:idx val="78"/>
            <c:bubble3D val="0"/>
            <c:spPr>
              <a:ln w="3175">
                <a:solidFill>
                  <a:srgbClr val="000000"/>
                </a:solidFill>
                <a:prstDash val="solid"/>
              </a:ln>
            </c:spPr>
            <c:extLst>
              <c:ext xmlns:c16="http://schemas.microsoft.com/office/drawing/2014/chart" uri="{C3380CC4-5D6E-409C-BE32-E72D297353CC}">
                <c16:uniqueId val="{00000181-41C6-4D05-B7A4-0281A259BDA2}"/>
              </c:ext>
            </c:extLst>
          </c:dPt>
          <c:dPt>
            <c:idx val="79"/>
            <c:bubble3D val="0"/>
            <c:spPr>
              <a:ln w="3175">
                <a:solidFill>
                  <a:srgbClr val="000000"/>
                </a:solidFill>
                <a:prstDash val="solid"/>
              </a:ln>
            </c:spPr>
            <c:extLst>
              <c:ext xmlns:c16="http://schemas.microsoft.com/office/drawing/2014/chart" uri="{C3380CC4-5D6E-409C-BE32-E72D297353CC}">
                <c16:uniqueId val="{00000183-41C6-4D05-B7A4-0281A259BDA2}"/>
              </c:ext>
            </c:extLst>
          </c:dPt>
          <c:dPt>
            <c:idx val="80"/>
            <c:bubble3D val="0"/>
            <c:spPr>
              <a:ln w="3175">
                <a:solidFill>
                  <a:srgbClr val="000000"/>
                </a:solidFill>
                <a:prstDash val="solid"/>
              </a:ln>
            </c:spPr>
            <c:extLst>
              <c:ext xmlns:c16="http://schemas.microsoft.com/office/drawing/2014/chart" uri="{C3380CC4-5D6E-409C-BE32-E72D297353CC}">
                <c16:uniqueId val="{00000185-41C6-4D05-B7A4-0281A259BDA2}"/>
              </c:ext>
            </c:extLst>
          </c:dPt>
          <c:dPt>
            <c:idx val="81"/>
            <c:bubble3D val="0"/>
            <c:spPr>
              <a:ln w="3175">
                <a:solidFill>
                  <a:srgbClr val="000000"/>
                </a:solidFill>
                <a:prstDash val="solid"/>
              </a:ln>
            </c:spPr>
            <c:extLst>
              <c:ext xmlns:c16="http://schemas.microsoft.com/office/drawing/2014/chart" uri="{C3380CC4-5D6E-409C-BE32-E72D297353CC}">
                <c16:uniqueId val="{00000187-41C6-4D05-B7A4-0281A259BDA2}"/>
              </c:ext>
            </c:extLst>
          </c:dPt>
          <c:dPt>
            <c:idx val="82"/>
            <c:bubble3D val="0"/>
            <c:spPr>
              <a:ln w="3175">
                <a:solidFill>
                  <a:srgbClr val="000000"/>
                </a:solidFill>
                <a:prstDash val="solid"/>
              </a:ln>
            </c:spPr>
            <c:extLst>
              <c:ext xmlns:c16="http://schemas.microsoft.com/office/drawing/2014/chart" uri="{C3380CC4-5D6E-409C-BE32-E72D297353CC}">
                <c16:uniqueId val="{00000189-41C6-4D05-B7A4-0281A259BDA2}"/>
              </c:ext>
            </c:extLst>
          </c:dPt>
          <c:dPt>
            <c:idx val="83"/>
            <c:bubble3D val="0"/>
            <c:spPr>
              <a:ln w="3175">
                <a:solidFill>
                  <a:srgbClr val="000000"/>
                </a:solidFill>
                <a:prstDash val="solid"/>
              </a:ln>
            </c:spPr>
            <c:extLst>
              <c:ext xmlns:c16="http://schemas.microsoft.com/office/drawing/2014/chart" uri="{C3380CC4-5D6E-409C-BE32-E72D297353CC}">
                <c16:uniqueId val="{0000018B-41C6-4D05-B7A4-0281A259BDA2}"/>
              </c:ext>
            </c:extLst>
          </c:dPt>
          <c:dPt>
            <c:idx val="84"/>
            <c:bubble3D val="0"/>
            <c:spPr>
              <a:ln w="3175">
                <a:solidFill>
                  <a:srgbClr val="000000"/>
                </a:solidFill>
                <a:prstDash val="solid"/>
              </a:ln>
            </c:spPr>
            <c:extLst>
              <c:ext xmlns:c16="http://schemas.microsoft.com/office/drawing/2014/chart" uri="{C3380CC4-5D6E-409C-BE32-E72D297353CC}">
                <c16:uniqueId val="{0000018D-41C6-4D05-B7A4-0281A259BDA2}"/>
              </c:ext>
            </c:extLst>
          </c:dPt>
          <c:dPt>
            <c:idx val="85"/>
            <c:bubble3D val="0"/>
            <c:spPr>
              <a:ln w="3175">
                <a:solidFill>
                  <a:srgbClr val="000000"/>
                </a:solidFill>
                <a:prstDash val="solid"/>
              </a:ln>
            </c:spPr>
            <c:extLst>
              <c:ext xmlns:c16="http://schemas.microsoft.com/office/drawing/2014/chart" uri="{C3380CC4-5D6E-409C-BE32-E72D297353CC}">
                <c16:uniqueId val="{0000018F-41C6-4D05-B7A4-0281A259BDA2}"/>
              </c:ext>
            </c:extLst>
          </c:dPt>
          <c:dPt>
            <c:idx val="86"/>
            <c:bubble3D val="0"/>
            <c:spPr>
              <a:ln w="3175">
                <a:solidFill>
                  <a:srgbClr val="000000"/>
                </a:solidFill>
                <a:prstDash val="solid"/>
              </a:ln>
            </c:spPr>
            <c:extLst>
              <c:ext xmlns:c16="http://schemas.microsoft.com/office/drawing/2014/chart" uri="{C3380CC4-5D6E-409C-BE32-E72D297353CC}">
                <c16:uniqueId val="{00000191-41C6-4D05-B7A4-0281A259BDA2}"/>
              </c:ext>
            </c:extLst>
          </c:dPt>
          <c:dPt>
            <c:idx val="87"/>
            <c:bubble3D val="0"/>
            <c:spPr>
              <a:ln w="3175">
                <a:solidFill>
                  <a:srgbClr val="000000"/>
                </a:solidFill>
                <a:prstDash val="solid"/>
              </a:ln>
            </c:spPr>
            <c:extLst>
              <c:ext xmlns:c16="http://schemas.microsoft.com/office/drawing/2014/chart" uri="{C3380CC4-5D6E-409C-BE32-E72D297353CC}">
                <c16:uniqueId val="{00000193-41C6-4D05-B7A4-0281A259BDA2}"/>
              </c:ext>
            </c:extLst>
          </c:dPt>
          <c:dPt>
            <c:idx val="88"/>
            <c:bubble3D val="0"/>
            <c:spPr>
              <a:ln w="3175">
                <a:solidFill>
                  <a:srgbClr val="000000"/>
                </a:solidFill>
                <a:prstDash val="solid"/>
              </a:ln>
            </c:spPr>
            <c:extLst>
              <c:ext xmlns:c16="http://schemas.microsoft.com/office/drawing/2014/chart" uri="{C3380CC4-5D6E-409C-BE32-E72D297353CC}">
                <c16:uniqueId val="{00000195-41C6-4D05-B7A4-0281A259BDA2}"/>
              </c:ext>
            </c:extLst>
          </c:dPt>
          <c:dPt>
            <c:idx val="89"/>
            <c:bubble3D val="0"/>
            <c:spPr>
              <a:ln w="3175">
                <a:solidFill>
                  <a:srgbClr val="000000"/>
                </a:solidFill>
                <a:prstDash val="solid"/>
              </a:ln>
            </c:spPr>
            <c:extLst>
              <c:ext xmlns:c16="http://schemas.microsoft.com/office/drawing/2014/chart" uri="{C3380CC4-5D6E-409C-BE32-E72D297353CC}">
                <c16:uniqueId val="{00000197-41C6-4D05-B7A4-0281A259BDA2}"/>
              </c:ext>
            </c:extLst>
          </c:dPt>
          <c:dPt>
            <c:idx val="90"/>
            <c:bubble3D val="0"/>
            <c:spPr>
              <a:ln w="3175">
                <a:solidFill>
                  <a:srgbClr val="000000"/>
                </a:solidFill>
                <a:prstDash val="solid"/>
              </a:ln>
            </c:spPr>
            <c:extLst>
              <c:ext xmlns:c16="http://schemas.microsoft.com/office/drawing/2014/chart" uri="{C3380CC4-5D6E-409C-BE32-E72D297353CC}">
                <c16:uniqueId val="{00000199-41C6-4D05-B7A4-0281A259BDA2}"/>
              </c:ext>
            </c:extLst>
          </c:dPt>
          <c:dPt>
            <c:idx val="91"/>
            <c:bubble3D val="0"/>
            <c:spPr>
              <a:ln w="3175">
                <a:solidFill>
                  <a:srgbClr val="000000"/>
                </a:solidFill>
                <a:prstDash val="solid"/>
              </a:ln>
            </c:spPr>
            <c:extLst>
              <c:ext xmlns:c16="http://schemas.microsoft.com/office/drawing/2014/chart" uri="{C3380CC4-5D6E-409C-BE32-E72D297353CC}">
                <c16:uniqueId val="{0000019B-41C6-4D05-B7A4-0281A259BDA2}"/>
              </c:ext>
            </c:extLst>
          </c:dPt>
          <c:dPt>
            <c:idx val="92"/>
            <c:bubble3D val="0"/>
            <c:spPr>
              <a:ln w="3175">
                <a:solidFill>
                  <a:srgbClr val="000000"/>
                </a:solidFill>
                <a:prstDash val="solid"/>
              </a:ln>
            </c:spPr>
            <c:extLst>
              <c:ext xmlns:c16="http://schemas.microsoft.com/office/drawing/2014/chart" uri="{C3380CC4-5D6E-409C-BE32-E72D297353CC}">
                <c16:uniqueId val="{0000019D-41C6-4D05-B7A4-0281A259BDA2}"/>
              </c:ext>
            </c:extLst>
          </c:dPt>
          <c:dPt>
            <c:idx val="93"/>
            <c:bubble3D val="0"/>
            <c:spPr>
              <a:ln w="3175">
                <a:solidFill>
                  <a:srgbClr val="000000"/>
                </a:solidFill>
                <a:prstDash val="solid"/>
              </a:ln>
            </c:spPr>
            <c:extLst>
              <c:ext xmlns:c16="http://schemas.microsoft.com/office/drawing/2014/chart" uri="{C3380CC4-5D6E-409C-BE32-E72D297353CC}">
                <c16:uniqueId val="{0000019F-41C6-4D05-B7A4-0281A259BDA2}"/>
              </c:ext>
            </c:extLst>
          </c:dPt>
          <c:dPt>
            <c:idx val="94"/>
            <c:bubble3D val="0"/>
            <c:spPr>
              <a:ln w="3175">
                <a:solidFill>
                  <a:srgbClr val="000000"/>
                </a:solidFill>
                <a:prstDash val="solid"/>
              </a:ln>
            </c:spPr>
            <c:extLst>
              <c:ext xmlns:c16="http://schemas.microsoft.com/office/drawing/2014/chart" uri="{C3380CC4-5D6E-409C-BE32-E72D297353CC}">
                <c16:uniqueId val="{000001A1-41C6-4D05-B7A4-0281A259BDA2}"/>
              </c:ext>
            </c:extLst>
          </c:dPt>
          <c:dPt>
            <c:idx val="95"/>
            <c:bubble3D val="0"/>
            <c:spPr>
              <a:ln w="3175">
                <a:solidFill>
                  <a:srgbClr val="000000"/>
                </a:solidFill>
                <a:prstDash val="solid"/>
              </a:ln>
            </c:spPr>
            <c:extLst>
              <c:ext xmlns:c16="http://schemas.microsoft.com/office/drawing/2014/chart" uri="{C3380CC4-5D6E-409C-BE32-E72D297353CC}">
                <c16:uniqueId val="{000001A3-41C6-4D05-B7A4-0281A259BDA2}"/>
              </c:ext>
            </c:extLst>
          </c:dPt>
          <c:dPt>
            <c:idx val="96"/>
            <c:bubble3D val="0"/>
            <c:spPr>
              <a:ln w="3175">
                <a:solidFill>
                  <a:srgbClr val="000000"/>
                </a:solidFill>
                <a:prstDash val="solid"/>
              </a:ln>
            </c:spPr>
            <c:extLst>
              <c:ext xmlns:c16="http://schemas.microsoft.com/office/drawing/2014/chart" uri="{C3380CC4-5D6E-409C-BE32-E72D297353CC}">
                <c16:uniqueId val="{000001A5-41C6-4D05-B7A4-0281A259BDA2}"/>
              </c:ext>
            </c:extLst>
          </c:dPt>
          <c:dPt>
            <c:idx val="97"/>
            <c:bubble3D val="0"/>
            <c:spPr>
              <a:ln w="3175">
                <a:solidFill>
                  <a:srgbClr val="000000"/>
                </a:solidFill>
                <a:prstDash val="solid"/>
              </a:ln>
            </c:spPr>
            <c:extLst>
              <c:ext xmlns:c16="http://schemas.microsoft.com/office/drawing/2014/chart" uri="{C3380CC4-5D6E-409C-BE32-E72D297353CC}">
                <c16:uniqueId val="{000001A7-41C6-4D05-B7A4-0281A259BDA2}"/>
              </c:ext>
            </c:extLst>
          </c:dPt>
          <c:dPt>
            <c:idx val="98"/>
            <c:bubble3D val="0"/>
            <c:spPr>
              <a:ln w="3175">
                <a:solidFill>
                  <a:srgbClr val="000000"/>
                </a:solidFill>
                <a:prstDash val="solid"/>
              </a:ln>
            </c:spPr>
            <c:extLst>
              <c:ext xmlns:c16="http://schemas.microsoft.com/office/drawing/2014/chart" uri="{C3380CC4-5D6E-409C-BE32-E72D297353CC}">
                <c16:uniqueId val="{000001A9-41C6-4D05-B7A4-0281A259BDA2}"/>
              </c:ext>
            </c:extLst>
          </c:dPt>
          <c:dPt>
            <c:idx val="99"/>
            <c:bubble3D val="0"/>
            <c:spPr>
              <a:ln w="3175">
                <a:solidFill>
                  <a:srgbClr val="000000"/>
                </a:solidFill>
                <a:prstDash val="solid"/>
              </a:ln>
            </c:spPr>
            <c:extLst>
              <c:ext xmlns:c16="http://schemas.microsoft.com/office/drawing/2014/chart" uri="{C3380CC4-5D6E-409C-BE32-E72D297353CC}">
                <c16:uniqueId val="{000001AB-41C6-4D05-B7A4-0281A259BDA2}"/>
              </c:ext>
            </c:extLst>
          </c:dPt>
          <c:dPt>
            <c:idx val="100"/>
            <c:bubble3D val="0"/>
            <c:spPr>
              <a:ln w="3175">
                <a:solidFill>
                  <a:srgbClr val="000000"/>
                </a:solidFill>
                <a:prstDash val="solid"/>
              </a:ln>
            </c:spPr>
            <c:extLst>
              <c:ext xmlns:c16="http://schemas.microsoft.com/office/drawing/2014/chart" uri="{C3380CC4-5D6E-409C-BE32-E72D297353CC}">
                <c16:uniqueId val="{000001AD-41C6-4D05-B7A4-0281A259BDA2}"/>
              </c:ext>
            </c:extLst>
          </c:dPt>
          <c:xVal>
            <c:numRef>
              <c:f>Progress_Record!$R$6:$R$106</c:f>
              <c:numCache>
                <c:formatCode>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[0]!ACR</c:f>
              <c:numCache>
                <c:formatCode>General</c:formatCode>
                <c:ptCount val="1"/>
                <c:pt idx="0">
                  <c:v>1</c:v>
                </c:pt>
              </c:numCache>
            </c:numRef>
          </c:yVal>
          <c:smooth val="0"/>
          <c:extLst>
            <c:ext xmlns:c16="http://schemas.microsoft.com/office/drawing/2014/chart" uri="{C3380CC4-5D6E-409C-BE32-E72D297353CC}">
              <c16:uniqueId val="{000001AE-41C6-4D05-B7A4-0281A259BDA2}"/>
            </c:ext>
          </c:extLst>
        </c:ser>
        <c:ser>
          <c:idx val="54"/>
          <c:order val="55"/>
          <c:tx>
            <c:strRef>
              <c:f>'Progress Record'!#REF!</c:f>
              <c:strCache>
                <c:ptCount val="1"/>
                <c:pt idx="0">
                  <c:v>#REF!</c:v>
                </c:pt>
              </c:strCache>
            </c:strRef>
          </c:tx>
          <c:spPr>
            <a:ln w="28575">
              <a:noFill/>
            </a:ln>
          </c:spPr>
          <c:marker>
            <c:symbol val="none"/>
          </c:marker>
          <c:dLbls>
            <c:dLbl>
              <c:idx val="0"/>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{EDB55D0A-0941-46B3-9AD3-70197D6FADE2}</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AF-41C6-4D05-B7A4-0281A259BDA2}"/>
                </c:ext>
              </c:extLst>
            </c:dLbl>
            <c:dLbl>
              <c:idx val="1"/>
              <c:delete val="1"/>
              <c:extLst>
                <c:ext xmlns:c15="http://schemas.microsoft.com/office/drawing/2012/chart" uri="{CE6537A1-D6FC-4f65-9D91-7224C49458BB}"/>
                <c:ext xmlns:c16="http://schemas.microsoft.com/office/drawing/2014/chart" uri="{C3380CC4-5D6E-409C-BE32-E72D297353CC}">
                  <c16:uniqueId val="{000001B0-41C6-4D05-B7A4-0281A259BDA2}"/>
                </c:ext>
              </c:extLst>
            </c:dLbl>
            <c:dLbl>
              <c:idx val="2"/>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{E44E0175-08AD-492C-8184-3815B26F7CD0}</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1-41C6-4D05-B7A4-0281A259BDA2}"/>
                </c:ext>
              </c:extLst>
            </c:dLbl>
            <c:dLbl>
              <c:idx val="3"/>
              <c:delete val="1"/>
              <c:extLst>
                <c:ext xmlns:c15="http://schemas.microsoft.com/office/drawing/2012/chart" uri="{CE6537A1-D6FC-4f65-9D91-7224C49458BB}"/>
                <c:ext xmlns:c16="http://schemas.microsoft.com/office/drawing/2014/chart" uri="{C3380CC4-5D6E-409C-BE32-E72D297353CC}">
                  <c16:uniqueId val="{000001B2-41C6-4D05-B7A4-0281A259BDA2}"/>
                </c:ext>
              </c:extLst>
            </c:dLbl>
            <c:dLbl>
              <c:idx val="4"/>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{73B12C71-E8B6-45D5-A5D9-D1AB35B79FD3}</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3-41C6-4D05-B7A4-0281A259BDA2}"/>
                </c:ext>
              </c:extLst>
            </c:dLbl>
            <c:dLbl>
              <c:idx val="5"/>
              <c:delete val="1"/>
              <c:extLst>
                <c:ext xmlns:c15="http://schemas.microsoft.com/office/drawing/2012/chart" uri="{CE6537A1-D6FC-4f65-9D91-7224C49458BB}"/>
                <c:ext xmlns:c16="http://schemas.microsoft.com/office/drawing/2014/chart" uri="{C3380CC4-5D6E-409C-BE32-E72D297353CC}">
                  <c16:uniqueId val="{000001B4-41C6-4D05-B7A4-0281A259BDA2}"/>
                </c:ext>
              </c:extLst>
            </c:dLbl>
            <c:dLbl>
              <c:idx val="6"/>
              <c:delete val="1"/>
              <c:extLst>
                <c:ext xmlns:c15="http://schemas.microsoft.com/office/drawing/2012/chart" uri="{CE6537A1-D6FC-4f65-9D91-7224C49458BB}"/>
                <c:ext xmlns:c16="http://schemas.microsoft.com/office/drawing/2014/chart" uri="{C3380CC4-5D6E-409C-BE32-E72D297353CC}">
                  <c16:uniqueId val="{000001B5-41C6-4D05-B7A4-0281A259BDA2}"/>
                </c:ext>
              </c:extLst>
            </c:dLbl>
            <c:dLbl>
              <c:idx val="7"/>
              <c:delete val="1"/>
              <c:extLst>
                <c:ext xmlns:c15="http://schemas.microsoft.com/office/drawing/2012/chart" uri="{CE6537A1-D6FC-4f65-9D91-7224C49458BB}"/>
                <c:ext xmlns:c16="http://schemas.microsoft.com/office/drawing/2014/chart" uri="{C3380CC4-5D6E-409C-BE32-E72D297353CC}">
                  <c16:uniqueId val="{000001B6-41C6-4D05-B7A4-0281A259BDA2}"/>
                </c:ext>
              </c:extLst>
            </c:dLbl>
            <c:dLbl>
              <c:idx val="8"/>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{7010B464-78A5-4E60-9954-096CCE301C82}</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7-41C6-4D05-B7A4-0281A259BDA2}"/>
                </c:ext>
              </c:extLst>
            </c:dLbl>
            <c:dLbl>
              <c:idx val="9"/>
              <c:delete val="1"/>
              <c:extLst>
                <c:ext xmlns:c15="http://schemas.microsoft.com/office/drawing/2012/chart" uri="{CE6537A1-D6FC-4f65-9D91-7224C49458BB}"/>
                <c:ext xmlns:c16="http://schemas.microsoft.com/office/drawing/2014/chart" uri="{C3380CC4-5D6E-409C-BE32-E72D297353CC}">
                  <c16:uniqueId val="{000001B8-41C6-4D05-B7A4-0281A259BDA2}"/>
                </c:ext>
              </c:extLst>
            </c:dLbl>
            <c:dLbl>
              <c:idx val="10"/>
              <c:delete val="1"/>
              <c:extLst>
                <c:ext xmlns:c15="http://schemas.microsoft.com/office/drawing/2012/chart" uri="{CE6537A1-D6FC-4f65-9D91-7224C49458BB}"/>
                <c:ext xmlns:c16="http://schemas.microsoft.com/office/drawing/2014/chart" uri="{C3380CC4-5D6E-409C-BE32-E72D297353CC}">
                  <c16:uniqueId val="{000001B9-41C6-4D05-B7A4-0281A259BDA2}"/>
                </c:ext>
              </c:extLst>
            </c:dLbl>
            <c:dLbl>
              <c:idx val="11"/>
              <c:delete val="1"/>
              <c:extLst>
                <c:ext xmlns:c15="http://schemas.microsoft.com/office/drawing/2012/chart" uri="{CE6537A1-D6FC-4f65-9D91-7224C49458BB}"/>
                <c:ext xmlns:c16="http://schemas.microsoft.com/office/drawing/2014/chart" uri="{C3380CC4-5D6E-409C-BE32-E72D297353CC}">
                  <c16:uniqueId val="{000001BA-41C6-4D05-B7A4-0281A259BDA2}"/>
                </c:ext>
              </c:extLst>
            </c:dLbl>
            <c:dLbl>
              <c:idx val="12"/>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{FC363EEC-4749-4647-91EF-243AF9983618}</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B-41C6-4D05-B7A4-0281A259BDA2}"/>
                </c:ext>
              </c:extLst>
            </c:dLbl>
            <c:dLbl>
              <c:idx val="13"/>
              <c:delete val="1"/>
              <c:extLst>
                <c:ext xmlns:c15="http://schemas.microsoft.com/office/drawing/2012/chart" uri="{CE6537A1-D6FC-4f65-9D91-7224C49458BB}"/>
                <c:ext xmlns:c16="http://schemas.microsoft.com/office/drawing/2014/chart" uri="{C3380CC4-5D6E-409C-BE32-E72D297353CC}">
                  <c16:uniqueId val="{000001BC-41C6-4D05-B7A4-0281A259BDA2}"/>
                </c:ext>
              </c:extLst>
            </c:dLbl>
            <c:dLbl>
              <c:idx val="14"/>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{962A3150-2031-489E-BA23-54D14F94A910}</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D-41C6-4D05-B7A4-0281A259BDA2}"/>
                </c:ext>
              </c:extLst>
            </c:dLbl>
            <c:dLbl>
              <c:idx val="15"/>
              <c:delete val="1"/>
              <c:extLst>
                <c:ext xmlns:c15="http://schemas.microsoft.com/office/drawing/2012/chart" uri="{CE6537A1-D6FC-4f65-9D91-7224C49458BB}"/>
                <c:ext xmlns:c16="http://schemas.microsoft.com/office/drawing/2014/chart" uri="{C3380CC4-5D6E-409C-BE32-E72D297353CC}">
                  <c16:uniqueId val="{000001BE-41C6-4D05-B7A4-0281A259BDA2}"/>
                </c:ext>
              </c:extLst>
            </c:dLbl>
            <c:dLbl>
              <c:idx val="16"/>
              <c:tx>
                <c:strRef>
                  <c:f>'Progress Record'!#REF!</c:f>
                  <c:strCache>
                    <c:ptCount val="1"/>
                    <c:pt idx="0">
                      <c:v>#REF!</c:v>
                    </c:pt>
                  </c:strCache>
                </c:strRef>
              </c:tx>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{D6A3D0EA-5122-48EB-B7DA-C1C85C705603}</c15:txfldGUID>
                      <c15:f>'Progress Record'!#REF!</c15:f>
                      <c15:dlblFieldTableCache>
                        <c:ptCount val="1"/>
                        <c:pt idx="0">
                          <c:v>#REF!</c:v>
                        </c:pt>
                      </c15:dlblFieldTableCache>
                    </c15:dlblFTEntry>
                  </c15:dlblFieldTable>
                  <c15:showDataLabelsRange val="0"/>
                </c:ext>
                <c:ext xmlns:c16="http://schemas.microsoft.com/office/drawing/2014/chart" uri="{C3380CC4-5D6E-409C-BE32-E72D297353CC}">
                  <c16:uniqueId val="{000001BF-41C6-4D05-B7A4-0281A259BDA2}"/>
                </c:ext>
              </c:extLst>
            </c:dLbl>
            <c:numFmt formatCode="0.0%" sourceLinked="0"/>
            <c:spPr>
              <a:noFill/>
              <a:ln w="25400">
                <a:noFill/>
              </a:ln>
            </c:spPr>
            <c:txPr>
              <a:bodyPr/>
              <a:lstStyle/>
              <a:p>
                <a:pPr>
                  <a:defRPr sz="800" b="0" i="0" u="none" strike="noStrike" baseline="0">
                    <a:solidFill>
                      <a:srgbClr val="0000D4"/>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'Progress Record'!#REF!</c:f>
            </c:numRef>
          </c:xVal>
          <c:yVal>
            <c:numRef>
              <c:f>'Progress Record'!#REF!</c:f>
              <c:numCache>
                <c:formatCode>General</c:formatCode>
                <c:ptCount val="1"/>
                <c:pt idx="0">
                  <c:v>1</c:v>
                </c:pt>
              </c:numCache>
            </c:numRef>
          </c:yVal>
          <c:smooth val="0"/>
          <c:extLst>
            <c:ext xmlns:c16="http://schemas.microsoft.com/office/drawing/2014/chart" uri="{C3380CC4-5D6E-409C-BE32-E72D297353CC}">
              <c16:uniqueId val="{000001C0-41C6-4D05-B7A4-0281A259BDA2}"/>
            </c:ext>
          </c:extLst>
        </c:ser>
        <c:ser>
          <c:idx val="94"/>
          <c:order val="56"/>
          <c:spPr>
            <a:ln w="28575">
              <a:noFill/>
            </a:ln>
          </c:spPr>
          <c:marker>
            <c:symbol val="none"/>
          </c:marker>
          <c:dLbls>
            <c:spPr>
              <a:noFill/>
              <a:ln>
                <a:noFill/>
              </a:ln>
              <a:effectLst/>
            </c:sp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'Progress Record'!#REF!</c:f>
            </c:numRef>
          </c:xVal>
          <c:yVal>
            <c:numRef>
              <c:f>Progress_Record!$AY$7:$AY$12</c:f>
              <c:numCache>
                <c:formatCode>0.00</c:formatCode>
                <c:ptCount val="6"/>
              </c:numCache>
            </c:numRef>
          </c:yVal>
          <c:smooth val="0"/>
          <c:extLst>
            <c:ext xmlns:c16="http://schemas.microsoft.com/office/drawing/2014/chart" uri="{C3380CC4-5D6E-409C-BE32-E72D297353CC}">
              <c16:uniqueId val="{000001C1-41C6-4D05-B7A4-0281A259BDA2}"/>
            </c:ext>
          </c:extLst>
        </c:ser>
        <c:dLbls>
          <c:showLegendKey val="0"/>
          <c:showVal val="0"/>
          <c:showCatName val="0"/>
          <c:showSerName val="0"/>
          <c:showPercent val="0"/>
          <c:showBubbleSize val="0"/>
        </c:dLbls>
        <c:axId val="2094173952"/>
        <c:axId val="2094178848"/>
      </c:scatterChart>
      <c:valAx>
        <c:axId val="2094173952"/>
        <c:scaling>
          <c:orientation val="minMax"/>
          <c:max val="100"/>
          <c:min val="0"/>
        </c:scaling>
        <c:delete val="0"/>
        <c:axPos val="b"/>
        <c:title>
          <c:tx>
            <c:rich>
              <a:bodyPr/>
              <a:lstStyle/>
              <a:p>
                <a:pPr>
                  <a:defRPr sz="1200" b="0" i="0" u="none" strike="noStrike" baseline="0">
                    <a:solidFill>
                      <a:srgbClr val="0000D4"/>
                    </a:solidFill>
                    <a:latin typeface="Arial Black"/>
                    <a:ea typeface="Arial Black"/>
                    <a:cs typeface="Arial Black"/>
                  </a:defRPr>
                </a:pPr>
                <a:r>
                  <a:rPr lang="en-US"/>
                  <a:t>SUCCESSIVE CALENDAR WEEKS</a:t>
                </a:r>
              </a:p>
            </c:rich>
          </c:tx>
          <c:layout>
            <c:manualLayout>
              <c:xMode val="edge"/>
              <c:yMode val="edge"/>
              <c:x val="0.36874195899746959"/>
              <c:y val="0.88253572263863056"/>
            </c:manualLayout>
          </c:layout>
          <c:overlay val="0"/>
          <c:spPr>
            <a:noFill/>
            <a:ln w="25400">
              <a:noFill/>
            </a:ln>
          </c:spPr>
        </c:title>
        <c:numFmt formatCode="0" sourceLinked="1"/>
        <c:majorTickMark val="out"/>
        <c:minorTickMark val="in"/>
        <c:tickLblPos val="nextTo"/>
        <c:spPr>
          <a:ln w="12700">
            <a:solidFill>
              <a:srgbClr val="0000D4"/>
            </a:solidFill>
            <a:prstDash val="solid"/>
          </a:ln>
        </c:spPr>
        <c:txPr>
          <a:bodyPr rot="0" vert="horz"/>
          <a:lstStyle/>
          <a:p>
            <a:pPr>
              <a:defRPr sz="1000" b="0" i="0" u="none" strike="noStrike" baseline="0">
                <a:solidFill>
                  <a:srgbClr val="0000D4"/>
                </a:solidFill>
                <a:latin typeface="Arial"/>
                <a:ea typeface="Arial"/>
                <a:cs typeface="Arial"/>
              </a:defRPr>
            </a:pPr>
            <a:endParaRPr lang="en-US"/>
          </a:p>
        </c:txPr>
        <c:crossAx val="2094178848"/>
        <c:crossesAt val="1E-3"/>
        <c:crossBetween val="midCat"/>
        <c:majorUnit val="5"/>
        <c:minorUnit val="1"/>
      </c:valAx>
      <c:valAx>
        <c:axId val="2094178848"/>
        <c:scaling>
          <c:logBase val="10"/>
          <c:orientation val="minMax"/>
          <c:max val="1000"/>
          <c:min val="1E-3"/>
        </c:scaling>
        <c:delete val="0"/>
        <c:axPos val="l"/>
        <c:title>
          <c:tx>
            <c:rich>
              <a:bodyPr/>
              <a:lstStyle/>
              <a:p>
                <a:pPr>
                  <a:defRPr sz="1200" b="0" i="0" u="none" strike="noStrike" baseline="0">
                    <a:solidFill>
                      <a:srgbClr val="0000D4"/>
                    </a:solidFill>
                    <a:latin typeface="Arial Black"/>
                    <a:ea typeface="Arial Black"/>
                    <a:cs typeface="Arial Black"/>
                  </a:defRPr>
                </a:pPr>
                <a:r>
                  <a:rPr lang="en-US"/>
                  <a:t>Ratio: Correct / Incorrect</a:t>
                </a:r>
              </a:p>
            </c:rich>
          </c:tx>
          <c:layout>
            <c:manualLayout>
              <c:xMode val="edge"/>
              <c:yMode val="edge"/>
              <c:x val="2.6950466740299998E-2"/>
              <c:y val="0.3125"/>
            </c:manualLayout>
          </c:layout>
          <c:overlay val="0"/>
          <c:spPr>
            <a:noFill/>
            <a:ln w="25400">
              <a:noFill/>
            </a:ln>
          </c:spPr>
        </c:title>
        <c:numFmt formatCode="General" sourceLinked="0"/>
        <c:majorTickMark val="cross"/>
        <c:minorTickMark val="in"/>
        <c:tickLblPos val="nextTo"/>
        <c:spPr>
          <a:ln w="12700">
            <a:solidFill>
              <a:srgbClr val="0000D4"/>
            </a:solidFill>
            <a:prstDash val="solid"/>
          </a:ln>
        </c:spPr>
        <c:txPr>
          <a:bodyPr rot="0" vert="horz"/>
          <a:lstStyle/>
          <a:p>
            <a:pPr>
              <a:defRPr sz="1000" b="0" i="0" u="none" strike="noStrike" baseline="0">
                <a:solidFill>
                  <a:srgbClr val="0000D4"/>
                </a:solidFill>
                <a:latin typeface="Arial"/>
                <a:ea typeface="Arial"/>
                <a:cs typeface="Arial"/>
              </a:defRPr>
            </a:pPr>
            <a:endParaRPr lang="en-US"/>
          </a:p>
        </c:txPr>
        <c:crossAx val="2094173952"/>
        <c:crossesAt val="0"/>
        <c:crossBetween val="midCat"/>
        <c:majorUnit val="10"/>
        <c:minorUnit val="10"/>
      </c:valAx>
      <c:spPr>
        <a:noFill/>
        <a:ln w="12700">
          <a:solidFill>
            <a:srgbClr val="0000D4"/>
          </a:solidFill>
          <a:prstDash val="solid"/>
        </a:ln>
      </c:spPr>
    </c:plotArea>
    <c:plotVisOnly val="0"/>
    <c:dispBlanksAs val="gap"/>
    <c:showDLblsOverMax val="0"/>
  </c:chart>
  <c:spPr>
    <a:noFill/>
    <a:ln w="3175">
      <a:solidFill>
        <a:srgbClr val="000000"/>
      </a:solidFill>
      <a:prstDash val="solid"/>
    </a:ln>
  </c:spPr>
  <c:txPr>
    <a:bodyPr/>
    <a:lstStyle/>
    <a:p>
      <a:pPr>
        <a:defRPr sz="1000" b="0" i="0" u="none" strike="noStrike" baseline="0">
          <a:solidFill>
            <a:srgbClr val="0000D4"/>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Blue">
    <tabColor rgb="FF002060"/>
  </sheetPr>
  <sheetViews>
    <sheetView tabSelected="1" zoomScale="93" workbookViewId="0" zoomToFit="1"/>
  </sheetViews>
  <pageMargins left="0.5" right="0.5" top="0.5" bottom="0.5" header="0.5" footer="0.5"/>
  <pageSetup orientation="landscape" r:id="rId1"/>
  <headerFooter alignWithMargins="0">
    <oddHeader>&amp;L&amp;C&amp;R</oddHeader>
    <oddFooter>&amp;L&amp;C&amp;R</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
    <tabColor rgb="FF92D050"/>
  </sheetPr>
  <sheetViews>
    <sheetView workbookViewId="0"/>
  </sheetViews>
  <pageMargins left="0.5" right="0.5" top="0.5" bottom="0.5" header="0.5" footer="0.5"/>
  <pageSetup orientation="landscape" horizontalDpi="4294967292" verticalDpi="4294967292" r:id="rId1"/>
  <headerFooter alignWithMargins="0">
    <oddHeader>&amp;L&amp;C&amp;R</oddHeader>
    <oddFooter>&amp;L&amp;C&amp;R</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10</xdr:col>
      <xdr:colOff>3175</xdr:colOff>
      <xdr:row>1</xdr:row>
      <xdr:rowOff>0</xdr:rowOff>
    </xdr:from>
    <xdr:to>
      <xdr:col>13</xdr:col>
      <xdr:colOff>15900</xdr:colOff>
      <xdr:row>3</xdr:row>
      <xdr:rowOff>0</xdr:rowOff>
    </xdr:to>
    <xdr:sp macro="" textlink="">
      <xdr:nvSpPr>
        <xdr:cNvPr id="1645569" name="Rectangle 1">
          <a:extLst>
            <a:ext uri="{FF2B5EF4-FFF2-40B4-BE49-F238E27FC236}">
              <a16:creationId xmlns:a16="http://schemas.microsoft.com/office/drawing/2014/main" id="{00000000-0008-0000-0000-0000011C1900}"/>
            </a:ext>
          </a:extLst>
        </xdr:cNvPr>
        <xdr:cNvSpPr>
          <a:spLocks noChangeArrowheads="1"/>
        </xdr:cNvSpPr>
      </xdr:nvSpPr>
      <xdr:spPr bwMode="auto">
        <a:xfrm>
          <a:off x="16243300" y="177800"/>
          <a:ext cx="3225800" cy="7366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twoCellAnchor>
  <xdr:twoCellAnchor editAs="oneCell">
    <xdr:from>
      <xdr:col>13</xdr:col>
      <xdr:colOff>603635</xdr:colOff>
      <xdr:row>1</xdr:row>
      <xdr:rowOff>9525</xdr:rowOff>
    </xdr:from>
    <xdr:to>
      <xdr:col>14</xdr:col>
      <xdr:colOff>546485</xdr:colOff>
      <xdr:row>2</xdr:row>
      <xdr:rowOff>276225</xdr:rowOff>
    </xdr:to>
    <xdr:sp macro="[0]!OperatingSys" textlink="">
      <xdr:nvSpPr>
        <xdr:cNvPr id="1645637" name="AutoShape -1023">
          <a:extLst>
            <a:ext uri="{FF2B5EF4-FFF2-40B4-BE49-F238E27FC236}">
              <a16:creationId xmlns:a16="http://schemas.microsoft.com/office/drawing/2014/main" id="{00000000-0008-0000-0000-0000451C1900}"/>
            </a:ext>
          </a:extLst>
        </xdr:cNvPr>
        <xdr:cNvSpPr>
          <a:spLocks noChangeArrowheads="1"/>
        </xdr:cNvSpPr>
      </xdr:nvSpPr>
      <xdr:spPr bwMode="auto">
        <a:xfrm>
          <a:off x="15874423" y="217343"/>
          <a:ext cx="650971" cy="636155"/>
        </a:xfrm>
        <a:prstGeom prst="roundRect">
          <a:avLst>
            <a:gd name="adj" fmla="val 16667"/>
          </a:avLst>
        </a:prstGeom>
        <a:ln>
          <a:headEnd/>
          <a:tailEnd/>
        </a:ln>
      </xdr:spPr>
      <xdr:style>
        <a:lnRef idx="0">
          <a:schemeClr val="accent1"/>
        </a:lnRef>
        <a:fillRef idx="3">
          <a:schemeClr val="accent1"/>
        </a:fillRef>
        <a:effectRef idx="3">
          <a:schemeClr val="accent1"/>
        </a:effectRef>
        <a:fontRef idx="minor">
          <a:schemeClr val="lt1"/>
        </a:fontRef>
      </xdr:style>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Update</a:t>
          </a:r>
        </a:p>
        <a:p>
          <a:pPr algn="ctr" rtl="0">
            <a:defRPr sz="1000"/>
          </a:pPr>
          <a:r>
            <a:rPr lang="en-US" sz="900" b="0" i="0" u="none" strike="noStrike" baseline="0">
              <a:solidFill>
                <a:srgbClr val="000000"/>
              </a:solidFill>
              <a:latin typeface="Helv"/>
            </a:rPr>
            <a:t>Operating</a:t>
          </a:r>
        </a:p>
        <a:p>
          <a:pPr algn="ctr" rtl="0">
            <a:defRPr sz="1000"/>
          </a:pPr>
          <a:r>
            <a:rPr lang="en-US" sz="900" b="0" i="0" u="none" strike="noStrike" baseline="0">
              <a:solidFill>
                <a:srgbClr val="000000"/>
              </a:solidFill>
              <a:latin typeface="Helv"/>
            </a:rPr>
            <a:t>System</a:t>
          </a:r>
        </a:p>
        <a:p>
          <a:pPr algn="ctr" rtl="0">
            <a:defRPr sz="1000"/>
          </a:pPr>
          <a:r>
            <a:rPr lang="en-US" sz="900" b="0" i="0" u="none" strike="noStrike" baseline="0">
              <a:solidFill>
                <a:srgbClr val="000000"/>
              </a:solidFill>
              <a:latin typeface="Helv"/>
            </a:rPr>
            <a:t>Version</a:t>
          </a:r>
          <a:endParaRPr lang="en-US"/>
        </a:p>
      </xdr:txBody>
    </xdr:sp>
    <xdr:clientData/>
  </xdr:twoCellAnchor>
  <mc:AlternateContent xmlns:mc="http://schemas.openxmlformats.org/markup-compatibility/2006">
    <mc:Choice xmlns:a14="http://schemas.microsoft.com/office/drawing/2010/main" Requires="a14">
      <xdr:twoCellAnchor>
        <xdr:from>
          <xdr:col>28</xdr:col>
          <xdr:colOff>152400</xdr:colOff>
          <xdr:row>3</xdr:row>
          <xdr:rowOff>137160</xdr:rowOff>
        </xdr:from>
        <xdr:to>
          <xdr:col>30</xdr:col>
          <xdr:colOff>205740</xdr:colOff>
          <xdr:row>3</xdr:row>
          <xdr:rowOff>525780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Change Chart Formats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152400</xdr:colOff>
          <xdr:row>3</xdr:row>
          <xdr:rowOff>129540</xdr:rowOff>
        </xdr:from>
        <xdr:to>
          <xdr:col>28</xdr:col>
          <xdr:colOff>60960</xdr:colOff>
          <xdr:row>3</xdr:row>
          <xdr:rowOff>525780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Go To Progress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304800</xdr:colOff>
          <xdr:row>3</xdr:row>
          <xdr:rowOff>144780</xdr:rowOff>
        </xdr:from>
        <xdr:to>
          <xdr:col>30</xdr:col>
          <xdr:colOff>1295400</xdr:colOff>
          <xdr:row>3</xdr:row>
          <xdr:rowOff>518160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Blueline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121920</xdr:colOff>
          <xdr:row>3</xdr:row>
          <xdr:rowOff>121920</xdr:rowOff>
        </xdr:from>
        <xdr:to>
          <xdr:col>21</xdr:col>
          <xdr:colOff>220980</xdr:colOff>
          <xdr:row>3</xdr:row>
          <xdr:rowOff>487680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Go To Set Up Fields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45720</xdr:colOff>
          <xdr:row>0</xdr:row>
          <xdr:rowOff>198120</xdr:rowOff>
        </xdr:from>
        <xdr:to>
          <xdr:col>9</xdr:col>
          <xdr:colOff>419100</xdr:colOff>
          <xdr:row>1</xdr:row>
          <xdr:rowOff>144780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Get PP#1 CelLine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xdr:row>
          <xdr:rowOff>15240</xdr:rowOff>
        </xdr:from>
        <xdr:to>
          <xdr:col>9</xdr:col>
          <xdr:colOff>419100</xdr:colOff>
          <xdr:row>3</xdr:row>
          <xdr:rowOff>7620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100-00000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Get PP#2 CelLine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251460</xdr:colOff>
          <xdr:row>1</xdr:row>
          <xdr:rowOff>30480</xdr:rowOff>
        </xdr:from>
        <xdr:to>
          <xdr:col>12</xdr:col>
          <xdr:colOff>556260</xdr:colOff>
          <xdr:row>2</xdr:row>
          <xdr:rowOff>53340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100-000009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Clear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0</xdr:row>
          <xdr:rowOff>198120</xdr:rowOff>
        </xdr:from>
        <xdr:to>
          <xdr:col>11</xdr:col>
          <xdr:colOff>83820</xdr:colOff>
          <xdr:row>1</xdr:row>
          <xdr:rowOff>144780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Clear PP1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xdr:row>
          <xdr:rowOff>22860</xdr:rowOff>
        </xdr:from>
        <xdr:to>
          <xdr:col>11</xdr:col>
          <xdr:colOff>83820</xdr:colOff>
          <xdr:row>3</xdr:row>
          <xdr:rowOff>7620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100-00000B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Clear PP2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60960</xdr:rowOff>
        </xdr:from>
        <xdr:to>
          <xdr:col>11</xdr:col>
          <xdr:colOff>83820</xdr:colOff>
          <xdr:row>3</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Clear PP3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3</xdr:row>
          <xdr:rowOff>45720</xdr:rowOff>
        </xdr:from>
        <xdr:to>
          <xdr:col>9</xdr:col>
          <xdr:colOff>419100</xdr:colOff>
          <xdr:row>3</xdr:row>
          <xdr:rowOff>228600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100-00000D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Get PP#3 CelLine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251460</xdr:colOff>
          <xdr:row>2</xdr:row>
          <xdr:rowOff>106680</xdr:rowOff>
        </xdr:from>
        <xdr:to>
          <xdr:col>12</xdr:col>
          <xdr:colOff>1363980</xdr:colOff>
          <xdr:row>3</xdr:row>
          <xdr:rowOff>167640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100-00000E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Change Zero-Count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144780</xdr:colOff>
          <xdr:row>3</xdr:row>
          <xdr:rowOff>83820</xdr:rowOff>
        </xdr:from>
        <xdr:to>
          <xdr:col>37</xdr:col>
          <xdr:colOff>381000</xdr:colOff>
          <xdr:row>4</xdr:row>
          <xdr:rowOff>152400</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100-00001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Go To Data Entry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9012903" cy="6726903"/>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0.49175</cdr:x>
      <cdr:y>0.50025</cdr:y>
    </cdr:from>
    <cdr:to>
      <cdr:x>0.49175</cdr:x>
      <cdr:y>0.50025</cdr:y>
    </cdr:to>
    <cdr:sp macro="" textlink="">
      <cdr:nvSpPr>
        <cdr:cNvPr id="1797121" name="Text Box 1"/>
        <cdr:cNvSpPr txBox="1">
          <a:spLocks xmlns:a="http://schemas.openxmlformats.org/drawingml/2006/main" noChangeArrowheads="1"/>
        </cdr:cNvSpPr>
      </cdr:nvSpPr>
      <cdr:spPr bwMode="auto">
        <a:xfrm xmlns:a="http://schemas.openxmlformats.org/drawingml/2006/main">
          <a:off x="4416314" y="3369564"/>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0.49175</cdr:x>
      <cdr:y>0.50025</cdr:y>
    </cdr:from>
    <cdr:to>
      <cdr:x>0.49175</cdr:x>
      <cdr:y>0.50025</cdr:y>
    </cdr:to>
    <cdr:sp macro="" textlink="">
      <cdr:nvSpPr>
        <cdr:cNvPr id="1797122" name="Text Box 2"/>
        <cdr:cNvSpPr txBox="1">
          <a:spLocks xmlns:a="http://schemas.openxmlformats.org/drawingml/2006/main" noChangeArrowheads="1"/>
        </cdr:cNvSpPr>
      </cdr:nvSpPr>
      <cdr:spPr bwMode="auto">
        <a:xfrm xmlns:a="http://schemas.openxmlformats.org/drawingml/2006/main">
          <a:off x="4416314" y="3369564"/>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0.51081</cdr:x>
      <cdr:y>0.49088</cdr:y>
    </cdr:from>
    <cdr:to>
      <cdr:x>0.52194</cdr:x>
      <cdr:y>0.52512</cdr:y>
    </cdr:to>
    <cdr:sp macro="" textlink="">
      <cdr:nvSpPr>
        <cdr:cNvPr id="1797123" name="Text Box 3"/>
        <cdr:cNvSpPr txBox="1">
          <a:spLocks xmlns:a="http://schemas.openxmlformats.org/drawingml/2006/main" noChangeArrowheads="1"/>
        </cdr:cNvSpPr>
      </cdr:nvSpPr>
      <cdr:spPr bwMode="auto">
        <a:xfrm xmlns:a="http://schemas.openxmlformats.org/drawingml/2006/main">
          <a:off x="4588137" y="3305705"/>
          <a:ext cx="99964" cy="230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2860" rIns="27432" bIns="22860" anchor="ctr" upright="1">
          <a:spAutoFit/>
        </a:bodyPr>
        <a:lstStyle xmlns:a="http://schemas.openxmlformats.org/drawingml/2006/main"/>
        <a:p xmlns:a="http://schemas.openxmlformats.org/drawingml/2006/main">
          <a:pPr algn="ctr" rtl="0">
            <a:defRPr sz="1000"/>
          </a:pPr>
          <a:r>
            <a:rPr lang="en-US" sz="1250" b="0" i="0" u="none" strike="noStrike" baseline="0">
              <a:solidFill>
                <a:srgbClr val="000000"/>
              </a:solidFill>
              <a:latin typeface="Arial"/>
              <a:ea typeface="Arial"/>
              <a:cs typeface="Arial"/>
            </a:rPr>
            <a:t> </a:t>
          </a:r>
        </a:p>
      </cdr:txBody>
    </cdr:sp>
  </cdr:relSizeAnchor>
  <cdr:relSizeAnchor xmlns:cdr="http://schemas.openxmlformats.org/drawingml/2006/chartDrawing">
    <cdr:from>
      <cdr:x>0.4658</cdr:x>
      <cdr:y>0.0089</cdr:y>
    </cdr:from>
    <cdr:to>
      <cdr:x>0.57604</cdr:x>
      <cdr:y>0.04927</cdr:y>
    </cdr:to>
    <cdr:sp macro="" textlink="">
      <cdr:nvSpPr>
        <cdr:cNvPr id="1797124" name="Text Box 4"/>
        <cdr:cNvSpPr txBox="1">
          <a:spLocks xmlns:a="http://schemas.openxmlformats.org/drawingml/2006/main" noChangeArrowheads="1"/>
        </cdr:cNvSpPr>
      </cdr:nvSpPr>
      <cdr:spPr bwMode="auto">
        <a:xfrm xmlns:a="http://schemas.openxmlformats.org/drawingml/2006/main">
          <a:off x="4198860" y="59889"/>
          <a:ext cx="993736" cy="27162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200" b="0" i="0" u="none" strike="noStrike" baseline="0">
              <a:solidFill>
                <a:schemeClr val="tx1"/>
              </a:solidFill>
              <a:latin typeface="Arial Black"/>
              <a:ea typeface="Arial Black"/>
              <a:cs typeface="Arial Black"/>
            </a:rPr>
            <a:t>CALENDAR</a:t>
          </a:r>
        </a:p>
      </cdr:txBody>
    </cdr:sp>
  </cdr:relSizeAnchor>
  <cdr:relSizeAnchor xmlns:cdr="http://schemas.openxmlformats.org/drawingml/2006/chartDrawing">
    <cdr:from>
      <cdr:x>0.68188</cdr:x>
      <cdr:y>0.00884</cdr:y>
    </cdr:from>
    <cdr:to>
      <cdr:x>0.75631</cdr:x>
      <cdr:y>0.04933</cdr:y>
    </cdr:to>
    <cdr:sp macro="" textlink="'Set-up'!$AG$3">
      <cdr:nvSpPr>
        <cdr:cNvPr id="1797125" name="Text Box 5"/>
        <cdr:cNvSpPr txBox="1">
          <a:spLocks xmlns:a="http://schemas.openxmlformats.org/drawingml/2006/main" noChangeArrowheads="1"/>
        </cdr:cNvSpPr>
      </cdr:nvSpPr>
      <cdr:spPr bwMode="auto">
        <a:xfrm xmlns:a="http://schemas.openxmlformats.org/drawingml/2006/main">
          <a:off x="6145721" y="59461"/>
          <a:ext cx="670825" cy="27238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fld id="{018508A7-BAC2-4791-89D8-6A6C059AA148}" type="TxLink">
            <a:rPr lang="en-US" sz="1200" b="0" i="0" u="none" strike="noStrike" baseline="0">
              <a:solidFill>
                <a:srgbClr val="000000"/>
              </a:solidFill>
              <a:latin typeface="Arial Black" panose="020B0A04020102020204" pitchFamily="34" charset="0"/>
              <a:ea typeface="Arial Black"/>
              <a:cs typeface="Arial Black"/>
            </a:rPr>
            <a:pPr algn="ctr" rtl="0">
              <a:defRPr sz="1000"/>
            </a:pPr>
            <a:t>WEEKS</a:t>
          </a:fld>
          <a:endParaRPr lang="en-US" sz="1200" b="0" i="0" u="none" strike="noStrike" baseline="0">
            <a:solidFill>
              <a:schemeClr val="tx1"/>
            </a:solidFill>
            <a:latin typeface="Arial Black" panose="020B0A04020102020204" pitchFamily="34" charset="0"/>
            <a:ea typeface="Arial Black"/>
            <a:cs typeface="Arial Black"/>
          </a:endParaRPr>
        </a:p>
      </cdr:txBody>
    </cdr:sp>
  </cdr:relSizeAnchor>
  <cdr:relSizeAnchor xmlns:cdr="http://schemas.openxmlformats.org/drawingml/2006/chartDrawing">
    <cdr:from>
      <cdr:x>0.25348</cdr:x>
      <cdr:y>0.00768</cdr:y>
    </cdr:from>
    <cdr:to>
      <cdr:x>0.38168</cdr:x>
      <cdr:y>0.04805</cdr:y>
    </cdr:to>
    <cdr:sp macro="" textlink="">
      <cdr:nvSpPr>
        <cdr:cNvPr id="1797126" name="Text Box 6"/>
        <cdr:cNvSpPr txBox="1">
          <a:spLocks xmlns:a="http://schemas.openxmlformats.org/drawingml/2006/main" noChangeArrowheads="1"/>
        </cdr:cNvSpPr>
      </cdr:nvSpPr>
      <cdr:spPr bwMode="auto">
        <a:xfrm xmlns:a="http://schemas.openxmlformats.org/drawingml/2006/main">
          <a:off x="2284566" y="51676"/>
          <a:ext cx="1155455" cy="27156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200" b="0" i="0" u="none" strike="noStrike" baseline="0">
              <a:solidFill>
                <a:schemeClr val="tx1"/>
              </a:solidFill>
              <a:latin typeface="Arial Black"/>
              <a:ea typeface="Arial Black"/>
              <a:cs typeface="Arial Black"/>
            </a:rPr>
            <a:t>SUCCESSIVE</a:t>
          </a:r>
        </a:p>
      </cdr:txBody>
    </cdr:sp>
  </cdr:relSizeAnchor>
  <cdr:relSizeAnchor xmlns:cdr="http://schemas.openxmlformats.org/drawingml/2006/chartDrawing">
    <cdr:from>
      <cdr:x>0.50525</cdr:x>
      <cdr:y>0.4945</cdr:y>
    </cdr:from>
    <cdr:to>
      <cdr:x>0.50525</cdr:x>
      <cdr:y>0.4945</cdr:y>
    </cdr:to>
    <cdr:sp macro="" textlink="">
      <cdr:nvSpPr>
        <cdr:cNvPr id="1797128" name="Text Box 8"/>
        <cdr:cNvSpPr txBox="1">
          <a:spLocks xmlns:a="http://schemas.openxmlformats.org/drawingml/2006/main" noChangeArrowheads="1"/>
        </cdr:cNvSpPr>
      </cdr:nvSpPr>
      <cdr:spPr bwMode="auto">
        <a:xfrm xmlns:a="http://schemas.openxmlformats.org/drawingml/2006/main">
          <a:off x="4532709" y="3331007"/>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0.93125</cdr:x>
      <cdr:y>0.5475</cdr:y>
    </cdr:from>
    <cdr:to>
      <cdr:x>0.93775</cdr:x>
      <cdr:y>0.575</cdr:y>
    </cdr:to>
    <cdr:sp macro="" textlink="'Set-up'!$AO$4">
      <cdr:nvSpPr>
        <cdr:cNvPr id="1797135" name="Text Box 15"/>
        <cdr:cNvSpPr txBox="1">
          <a:spLocks xmlns:a="http://schemas.openxmlformats.org/drawingml/2006/main" noChangeArrowheads="1" noTextEdit="1"/>
        </cdr:cNvSpPr>
      </cdr:nvSpPr>
      <cdr:spPr bwMode="auto">
        <a:xfrm xmlns:a="http://schemas.openxmlformats.org/drawingml/2006/main">
          <a:off x="8322278" y="3686404"/>
          <a:ext cx="60436" cy="18272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fld id="{8C25BC25-9D62-8343-A84C-60FFEF6C72D4}" type="TxLink">
            <a:rPr lang="en-US"/>
            <a:pPr/>
            <a:t> </a:t>
          </a:fld>
          <a:endParaRPr lang="en-US"/>
        </a:p>
      </cdr:txBody>
    </cdr:sp>
  </cdr:relSizeAnchor>
  <cdr:relSizeAnchor xmlns:cdr="http://schemas.openxmlformats.org/drawingml/2006/chartDrawing">
    <cdr:from>
      <cdr:x>0.77542</cdr:x>
      <cdr:y>0.00757</cdr:y>
    </cdr:from>
    <cdr:to>
      <cdr:x>0.98243</cdr:x>
      <cdr:y>0.05002</cdr:y>
    </cdr:to>
    <cdr:sp macro="" textlink="">
      <cdr:nvSpPr>
        <cdr:cNvPr id="1797137" name="Text Box 17"/>
        <cdr:cNvSpPr txBox="1">
          <a:spLocks xmlns:a="http://schemas.openxmlformats.org/drawingml/2006/main" noChangeArrowheads="1"/>
        </cdr:cNvSpPr>
      </cdr:nvSpPr>
      <cdr:spPr bwMode="auto">
        <a:xfrm xmlns:a="http://schemas.openxmlformats.org/drawingml/2006/main">
          <a:off x="7005131" y="51053"/>
          <a:ext cx="1870114" cy="28645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vertOverflow="clip" wrap="square" lIns="18288" tIns="18288" rIns="0" bIns="18288" anchor="ctr" upright="1"/>
        <a:lstStyle xmlns:a="http://schemas.openxmlformats.org/drawingml/2006/main"/>
        <a:p xmlns:a="http://schemas.openxmlformats.org/drawingml/2006/main">
          <a:pPr algn="r" rtl="0">
            <a:defRPr sz="1000"/>
          </a:pPr>
          <a:r>
            <a:rPr lang="en-US" sz="800" b="0" i="0" u="none" strike="noStrike" baseline="0">
              <a:solidFill>
                <a:srgbClr val="0033CC"/>
              </a:solidFill>
              <a:latin typeface="Calibri"/>
              <a:ea typeface="Arial"/>
              <a:cs typeface="Calibri"/>
            </a:rPr>
            <a:t>Celeration Line Legend: </a:t>
          </a:r>
        </a:p>
        <a:p xmlns:a="http://schemas.openxmlformats.org/drawingml/2006/main">
          <a:pPr algn="r" rtl="0">
            <a:defRPr sz="1000"/>
          </a:pPr>
          <a:r>
            <a:rPr lang="en-US" sz="800" b="0" i="0" u="none" strike="noStrike" baseline="0">
              <a:solidFill>
                <a:srgbClr val="0033CC"/>
              </a:solidFill>
              <a:latin typeface="Calibri"/>
              <a:ea typeface="Arial"/>
              <a:cs typeface="Calibri"/>
            </a:rPr>
            <a:t>1) celeration value;  2) total bounce</a:t>
          </a:r>
        </a:p>
      </cdr:txBody>
    </cdr:sp>
  </cdr:relSizeAnchor>
  <cdr:relSizeAnchor xmlns:cdr="http://schemas.openxmlformats.org/drawingml/2006/chartDrawing">
    <cdr:from>
      <cdr:x>0.00742</cdr:x>
      <cdr:y>0.01355</cdr:y>
    </cdr:from>
    <cdr:to>
      <cdr:x>0.148</cdr:x>
      <cdr:y>0.05119</cdr:y>
    </cdr:to>
    <cdr:sp macro="" textlink="'Set-up'!$V$3">
      <cdr:nvSpPr>
        <cdr:cNvPr id="11" name="TextBox 10"/>
        <cdr:cNvSpPr txBox="1"/>
      </cdr:nvSpPr>
      <cdr:spPr>
        <a:xfrm xmlns:a="http://schemas.openxmlformats.org/drawingml/2006/main">
          <a:off x="66872" y="91196"/>
          <a:ext cx="1267230" cy="253253"/>
        </a:xfrm>
        <a:prstGeom xmlns:a="http://schemas.openxmlformats.org/drawingml/2006/main" prst="rect">
          <a:avLst/>
        </a:prstGeom>
      </cdr:spPr>
      <cdr:txBody>
        <a:bodyPr xmlns:a="http://schemas.openxmlformats.org/drawingml/2006/main" vertOverflow="clip" vert="horz" rtlCol="0" anchor="ctr"/>
        <a:lstStyle xmlns:a="http://schemas.openxmlformats.org/drawingml/2006/main"/>
        <a:p xmlns:a="http://schemas.openxmlformats.org/drawingml/2006/main">
          <a:fld id="{0FA50438-50CB-481D-B394-537A705A6CD0}" type="TxLink">
            <a:rPr lang="en-US" sz="900" b="0" i="0" u="none" strike="noStrike">
              <a:solidFill>
                <a:srgbClr val="000000"/>
              </a:solidFill>
              <a:latin typeface="+mn-lt"/>
            </a:rPr>
            <a:pPr/>
            <a:t>DCPD</a:t>
          </a:fld>
          <a:endParaRPr lang="en-US" sz="1100">
            <a:latin typeface="+mn-lt"/>
          </a:endParaRPr>
        </a:p>
      </cdr:txBody>
    </cdr:sp>
  </cdr:relSizeAnchor>
  <cdr:relSizeAnchor xmlns:cdr="http://schemas.openxmlformats.org/drawingml/2006/chartDrawing">
    <cdr:from>
      <cdr:x>0.00562</cdr:x>
      <cdr:y>0.00753</cdr:y>
    </cdr:from>
    <cdr:to>
      <cdr:x>0.1462</cdr:x>
      <cdr:y>0.04517</cdr:y>
    </cdr:to>
    <cdr:sp macro="" textlink="">
      <cdr:nvSpPr>
        <cdr:cNvPr id="12" name="TextBox 11"/>
        <cdr:cNvSpPr txBox="1"/>
      </cdr:nvSpPr>
      <cdr:spPr>
        <a:xfrm xmlns:a="http://schemas.openxmlformats.org/drawingml/2006/main">
          <a:off x="50800" y="50800"/>
          <a:ext cx="1270000" cy="254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0.60522</cdr:x>
      <cdr:y>0.90069</cdr:y>
    </cdr:from>
    <cdr:to>
      <cdr:x>0.98561</cdr:x>
      <cdr:y>0.98903</cdr:y>
    </cdr:to>
    <cdr:sp macro="" textlink="'Set-up'!$K$5">
      <cdr:nvSpPr>
        <cdr:cNvPr id="33" name="TextBox 1"/>
        <cdr:cNvSpPr txBox="1"/>
      </cdr:nvSpPr>
      <cdr:spPr>
        <a:xfrm xmlns:a="http://schemas.openxmlformats.org/drawingml/2006/main">
          <a:off x="5454789" y="6058854"/>
          <a:ext cx="3428418" cy="594255"/>
        </a:xfrm>
        <a:prstGeom xmlns:a="http://schemas.openxmlformats.org/drawingml/2006/main" prst="rect">
          <a:avLst/>
        </a:prstGeom>
      </cdr:spPr>
      <cdr:txBody>
        <a:bodyPr xmlns:a="http://schemas.openxmlformats.org/drawingml/2006/main" wrap="square"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ED18E9E4-1278-49DF-996C-A57BCD1D671E}" type="TxLink">
            <a:rPr lang="en-US" sz="800" b="0" i="0" u="none" strike="noStrike">
              <a:solidFill>
                <a:srgbClr val="000000"/>
              </a:solidFill>
              <a:latin typeface="Calibri"/>
              <a:cs typeface="Calibri"/>
            </a:rPr>
            <a:pPr algn="r"/>
            <a:t>; 
Infections
Deaths
Recoveries</a:t>
          </a:fld>
          <a:endParaRPr lang="en-US" sz="800" b="0">
            <a:latin typeface="Calibri Light" panose="020F0302020204030204" pitchFamily="34" charset="0"/>
            <a:cs typeface="Calibri Light" panose="020F0302020204030204" pitchFamily="34" charset="0"/>
          </a:endParaRPr>
        </a:p>
      </cdr:txBody>
    </cdr:sp>
  </cdr:relSizeAnchor>
  <cdr:relSizeAnchor xmlns:cdr="http://schemas.openxmlformats.org/drawingml/2006/chartDrawing">
    <cdr:from>
      <cdr:x>0.00472</cdr:x>
      <cdr:y>0.90109</cdr:y>
    </cdr:from>
    <cdr:to>
      <cdr:x>0.4874</cdr:x>
      <cdr:y>0.98903</cdr:y>
    </cdr:to>
    <cdr:sp macro="" textlink="'Set-up'!$K$6">
      <cdr:nvSpPr>
        <cdr:cNvPr id="34" name="TextBox 1"/>
        <cdr:cNvSpPr txBox="1"/>
      </cdr:nvSpPr>
      <cdr:spPr>
        <a:xfrm xmlns:a="http://schemas.openxmlformats.org/drawingml/2006/main">
          <a:off x="42540" y="6061545"/>
          <a:ext cx="4350389" cy="591564"/>
        </a:xfrm>
        <a:prstGeom xmlns:a="http://schemas.openxmlformats.org/drawingml/2006/main" prst="rect">
          <a:avLst/>
        </a:prstGeom>
      </cdr:spPr>
      <cdr:txBody>
        <a:bodyPr xmlns:a="http://schemas.openxmlformats.org/drawingml/2006/main" wrap="square"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9441B16-D325-46F4-AC5F-32FBEA73FAF1}" type="TxLink">
            <a:rPr lang="en-US" sz="800" b="0" i="0" u="none" strike="noStrike">
              <a:solidFill>
                <a:srgbClr val="000000"/>
              </a:solidFill>
              <a:latin typeface="Calibri Light" panose="020F0302020204030204" pitchFamily="34" charset="0"/>
              <a:cs typeface="Calibri Light" panose="020F0302020204030204" pitchFamily="34" charset="0"/>
            </a:rPr>
            <a:pPr/>
            <a:t>
; 
</a:t>
          </a:fld>
          <a:endParaRPr lang="en-US" sz="800">
            <a:latin typeface="Calibri Light" panose="020F0302020204030204" pitchFamily="34" charset="0"/>
            <a:cs typeface="Calibri Light" panose="020F0302020204030204" pitchFamily="34" charset="0"/>
          </a:endParaRPr>
        </a:p>
      </cdr:txBody>
    </cdr:sp>
  </cdr:relSizeAnchor>
  <cdr:relSizeAnchor xmlns:cdr="http://schemas.openxmlformats.org/drawingml/2006/chartDrawing">
    <cdr:from>
      <cdr:x>0.49175</cdr:x>
      <cdr:y>0.50025</cdr:y>
    </cdr:from>
    <cdr:to>
      <cdr:x>0.49175</cdr:x>
      <cdr:y>0.50025</cdr:y>
    </cdr:to>
    <cdr:sp macro="" textlink="">
      <cdr:nvSpPr>
        <cdr:cNvPr id="4" name="Text Box 1"/>
        <cdr:cNvSpPr txBox="1">
          <a:spLocks xmlns:a="http://schemas.openxmlformats.org/drawingml/2006/main" noChangeArrowheads="1"/>
        </cdr:cNvSpPr>
      </cdr:nvSpPr>
      <cdr:spPr bwMode="auto">
        <a:xfrm xmlns:a="http://schemas.openxmlformats.org/drawingml/2006/main">
          <a:off x="4416314" y="3369564"/>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0.49175</cdr:x>
      <cdr:y>0.50025</cdr:y>
    </cdr:from>
    <cdr:to>
      <cdr:x>0.49175</cdr:x>
      <cdr:y>0.50025</cdr:y>
    </cdr:to>
    <cdr:sp macro="" textlink="">
      <cdr:nvSpPr>
        <cdr:cNvPr id="5" name="Text Box 2"/>
        <cdr:cNvSpPr txBox="1">
          <a:spLocks xmlns:a="http://schemas.openxmlformats.org/drawingml/2006/main" noChangeArrowheads="1"/>
        </cdr:cNvSpPr>
      </cdr:nvSpPr>
      <cdr:spPr bwMode="auto">
        <a:xfrm xmlns:a="http://schemas.openxmlformats.org/drawingml/2006/main">
          <a:off x="4416314" y="3369564"/>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0.51081</cdr:x>
      <cdr:y>0.49088</cdr:y>
    </cdr:from>
    <cdr:to>
      <cdr:x>0.52194</cdr:x>
      <cdr:y>0.52512</cdr:y>
    </cdr:to>
    <cdr:sp macro="" textlink="">
      <cdr:nvSpPr>
        <cdr:cNvPr id="6" name="Text Box 3"/>
        <cdr:cNvSpPr txBox="1">
          <a:spLocks xmlns:a="http://schemas.openxmlformats.org/drawingml/2006/main" noChangeArrowheads="1"/>
        </cdr:cNvSpPr>
      </cdr:nvSpPr>
      <cdr:spPr bwMode="auto">
        <a:xfrm xmlns:a="http://schemas.openxmlformats.org/drawingml/2006/main">
          <a:off x="4588137" y="3305705"/>
          <a:ext cx="99964" cy="230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2860" rIns="27432" bIns="22860" anchor="ctr" upright="1">
          <a:spAutoFit/>
        </a:bodyPr>
        <a:lstStyle xmlns:a="http://schemas.openxmlformats.org/drawingml/2006/main"/>
        <a:p xmlns:a="http://schemas.openxmlformats.org/drawingml/2006/main">
          <a:pPr algn="ctr" rtl="0">
            <a:defRPr sz="1000"/>
          </a:pPr>
          <a:r>
            <a:rPr lang="en-US" sz="1250" b="0" i="0" u="none" strike="noStrike" baseline="0">
              <a:solidFill>
                <a:srgbClr val="000000"/>
              </a:solidFill>
              <a:latin typeface="Arial"/>
              <a:ea typeface="Arial"/>
              <a:cs typeface="Arial"/>
            </a:rPr>
            <a:t> </a:t>
          </a:r>
        </a:p>
      </cdr:txBody>
    </cdr:sp>
  </cdr:relSizeAnchor>
  <cdr:relSizeAnchor xmlns:cdr="http://schemas.openxmlformats.org/drawingml/2006/chartDrawing">
    <cdr:from>
      <cdr:x>0.4658</cdr:x>
      <cdr:y>0.0089</cdr:y>
    </cdr:from>
    <cdr:to>
      <cdr:x>0.57604</cdr:x>
      <cdr:y>0.04927</cdr:y>
    </cdr:to>
    <cdr:sp macro="" textlink="">
      <cdr:nvSpPr>
        <cdr:cNvPr id="7" name="Text Box 4"/>
        <cdr:cNvSpPr txBox="1">
          <a:spLocks xmlns:a="http://schemas.openxmlformats.org/drawingml/2006/main" noChangeArrowheads="1"/>
        </cdr:cNvSpPr>
      </cdr:nvSpPr>
      <cdr:spPr bwMode="auto">
        <a:xfrm xmlns:a="http://schemas.openxmlformats.org/drawingml/2006/main">
          <a:off x="4198860" y="59889"/>
          <a:ext cx="993736" cy="27162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200" b="0" i="0" u="none" strike="noStrike" baseline="0">
              <a:solidFill>
                <a:srgbClr val="0033CC"/>
              </a:solidFill>
              <a:latin typeface="Arial Black"/>
              <a:ea typeface="Arial Black"/>
              <a:cs typeface="Arial Black"/>
            </a:rPr>
            <a:t>CALENDAR</a:t>
          </a:r>
        </a:p>
      </cdr:txBody>
    </cdr:sp>
  </cdr:relSizeAnchor>
  <cdr:relSizeAnchor xmlns:cdr="http://schemas.openxmlformats.org/drawingml/2006/chartDrawing">
    <cdr:from>
      <cdr:x>0.68188</cdr:x>
      <cdr:y>0.00884</cdr:y>
    </cdr:from>
    <cdr:to>
      <cdr:x>0.75631</cdr:x>
      <cdr:y>0.04933</cdr:y>
    </cdr:to>
    <cdr:sp macro="" textlink="'Set-up'!$AG$3">
      <cdr:nvSpPr>
        <cdr:cNvPr id="8" name="Text Box 5"/>
        <cdr:cNvSpPr txBox="1">
          <a:spLocks xmlns:a="http://schemas.openxmlformats.org/drawingml/2006/main" noChangeArrowheads="1"/>
        </cdr:cNvSpPr>
      </cdr:nvSpPr>
      <cdr:spPr bwMode="auto">
        <a:xfrm xmlns:a="http://schemas.openxmlformats.org/drawingml/2006/main">
          <a:off x="6145721" y="59461"/>
          <a:ext cx="670825" cy="27238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fld id="{018508A7-BAC2-4791-89D8-6A6C059AA148}" type="TxLink">
            <a:rPr lang="en-US" sz="1200" b="0" i="0" u="none" strike="noStrike" baseline="0">
              <a:solidFill>
                <a:srgbClr val="0033CC"/>
              </a:solidFill>
              <a:latin typeface="Arial Black" panose="020B0A04020102020204" pitchFamily="34" charset="0"/>
              <a:ea typeface="Arial Black"/>
              <a:cs typeface="Arial Black"/>
            </a:rPr>
            <a:pPr algn="ctr" rtl="0">
              <a:defRPr sz="1000"/>
            </a:pPr>
            <a:t>WEEKS</a:t>
          </a:fld>
          <a:endParaRPr lang="en-US" sz="1200" b="0" i="0" u="none" strike="noStrike" baseline="0">
            <a:solidFill>
              <a:srgbClr val="0033CC"/>
            </a:solidFill>
            <a:latin typeface="Arial Black" panose="020B0A04020102020204" pitchFamily="34" charset="0"/>
            <a:ea typeface="Arial Black"/>
            <a:cs typeface="Arial Black"/>
          </a:endParaRPr>
        </a:p>
      </cdr:txBody>
    </cdr:sp>
  </cdr:relSizeAnchor>
  <cdr:relSizeAnchor xmlns:cdr="http://schemas.openxmlformats.org/drawingml/2006/chartDrawing">
    <cdr:from>
      <cdr:x>0.25348</cdr:x>
      <cdr:y>0.00768</cdr:y>
    </cdr:from>
    <cdr:to>
      <cdr:x>0.38168</cdr:x>
      <cdr:y>0.04805</cdr:y>
    </cdr:to>
    <cdr:sp macro="" textlink="">
      <cdr:nvSpPr>
        <cdr:cNvPr id="9" name="Text Box 6"/>
        <cdr:cNvSpPr txBox="1">
          <a:spLocks xmlns:a="http://schemas.openxmlformats.org/drawingml/2006/main" noChangeArrowheads="1"/>
        </cdr:cNvSpPr>
      </cdr:nvSpPr>
      <cdr:spPr bwMode="auto">
        <a:xfrm xmlns:a="http://schemas.openxmlformats.org/drawingml/2006/main">
          <a:off x="2284566" y="51676"/>
          <a:ext cx="1155455" cy="27156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200" b="0" i="0" u="none" strike="noStrike" baseline="0">
              <a:solidFill>
                <a:srgbClr val="0033CC"/>
              </a:solidFill>
              <a:latin typeface="Arial Black"/>
              <a:ea typeface="Arial Black"/>
              <a:cs typeface="Arial Black"/>
            </a:rPr>
            <a:t>SUCCESSIVE</a:t>
          </a:r>
        </a:p>
      </cdr:txBody>
    </cdr:sp>
  </cdr:relSizeAnchor>
  <cdr:relSizeAnchor xmlns:cdr="http://schemas.openxmlformats.org/drawingml/2006/chartDrawing">
    <cdr:from>
      <cdr:x>0.50525</cdr:x>
      <cdr:y>0.4945</cdr:y>
    </cdr:from>
    <cdr:to>
      <cdr:x>0.50525</cdr:x>
      <cdr:y>0.4945</cdr:y>
    </cdr:to>
    <cdr:sp macro="" textlink="">
      <cdr:nvSpPr>
        <cdr:cNvPr id="10" name="Text Box 8"/>
        <cdr:cNvSpPr txBox="1">
          <a:spLocks xmlns:a="http://schemas.openxmlformats.org/drawingml/2006/main" noChangeArrowheads="1"/>
        </cdr:cNvSpPr>
      </cdr:nvSpPr>
      <cdr:spPr bwMode="auto">
        <a:xfrm xmlns:a="http://schemas.openxmlformats.org/drawingml/2006/main">
          <a:off x="4532709" y="3331007"/>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0.93125</cdr:x>
      <cdr:y>0.5475</cdr:y>
    </cdr:from>
    <cdr:to>
      <cdr:x>0.93775</cdr:x>
      <cdr:y>0.575</cdr:y>
    </cdr:to>
    <cdr:sp macro="" textlink="'Set-up'!$AO$4">
      <cdr:nvSpPr>
        <cdr:cNvPr id="13" name="Text Box 15"/>
        <cdr:cNvSpPr txBox="1">
          <a:spLocks xmlns:a="http://schemas.openxmlformats.org/drawingml/2006/main" noChangeArrowheads="1" noTextEdit="1"/>
        </cdr:cNvSpPr>
      </cdr:nvSpPr>
      <cdr:spPr bwMode="auto">
        <a:xfrm xmlns:a="http://schemas.openxmlformats.org/drawingml/2006/main">
          <a:off x="8322278" y="3686404"/>
          <a:ext cx="60436" cy="18272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fld id="{8C25BC25-9D62-8343-A84C-60FFEF6C72D4}" type="TxLink">
            <a:rPr lang="en-US" sz="900" b="0" i="0" u="none" strike="noStrike">
              <a:solidFill>
                <a:srgbClr val="000000"/>
              </a:solidFill>
              <a:latin typeface="Helv"/>
            </a:rPr>
            <a:pPr/>
            <a:t> </a:t>
          </a:fld>
          <a:endParaRPr lang="en-US"/>
        </a:p>
      </cdr:txBody>
    </cdr:sp>
  </cdr:relSizeAnchor>
  <cdr:relSizeAnchor xmlns:cdr="http://schemas.openxmlformats.org/drawingml/2006/chartDrawing">
    <cdr:from>
      <cdr:x>0.00742</cdr:x>
      <cdr:y>0.01355</cdr:y>
    </cdr:from>
    <cdr:to>
      <cdr:x>0.148</cdr:x>
      <cdr:y>0.05119</cdr:y>
    </cdr:to>
    <cdr:sp macro="" textlink="'Set-up'!$V$3">
      <cdr:nvSpPr>
        <cdr:cNvPr id="16" name="TextBox 10"/>
        <cdr:cNvSpPr txBox="1"/>
      </cdr:nvSpPr>
      <cdr:spPr>
        <a:xfrm xmlns:a="http://schemas.openxmlformats.org/drawingml/2006/main">
          <a:off x="66872" y="91196"/>
          <a:ext cx="1267230" cy="253253"/>
        </a:xfrm>
        <a:prstGeom xmlns:a="http://schemas.openxmlformats.org/drawingml/2006/main" prst="rect">
          <a:avLst/>
        </a:prstGeom>
      </cdr:spPr>
      <cdr:txBody>
        <a:bodyPr xmlns:a="http://schemas.openxmlformats.org/drawingml/2006/main" vertOverflow="clip" vert="horz" rtlCol="0" anchor="ctr"/>
        <a:lstStyle xmlns:a="http://schemas.openxmlformats.org/drawingml/2006/main"/>
        <a:p xmlns:a="http://schemas.openxmlformats.org/drawingml/2006/main">
          <a:fld id="{0FA50438-50CB-481D-B394-537A705A6CD0}" type="TxLink">
            <a:rPr lang="en-US" sz="900" b="0" i="0" u="none" strike="noStrike">
              <a:solidFill>
                <a:srgbClr val="0033CC"/>
              </a:solidFill>
              <a:latin typeface="+mn-lt"/>
            </a:rPr>
            <a:pPr/>
            <a:t>DCPD</a:t>
          </a:fld>
          <a:endParaRPr lang="en-US" sz="1100">
            <a:solidFill>
              <a:srgbClr val="0033CC"/>
            </a:solidFill>
            <a:latin typeface="+mn-lt"/>
          </a:endParaRPr>
        </a:p>
      </cdr:txBody>
    </cdr:sp>
  </cdr:relSizeAnchor>
  <cdr:relSizeAnchor xmlns:cdr="http://schemas.openxmlformats.org/drawingml/2006/chartDrawing">
    <cdr:from>
      <cdr:x>0.00562</cdr:x>
      <cdr:y>0.00753</cdr:y>
    </cdr:from>
    <cdr:to>
      <cdr:x>0.1462</cdr:x>
      <cdr:y>0.04517</cdr:y>
    </cdr:to>
    <cdr:sp macro="" textlink="">
      <cdr:nvSpPr>
        <cdr:cNvPr id="17" name="TextBox 11"/>
        <cdr:cNvSpPr txBox="1"/>
      </cdr:nvSpPr>
      <cdr:spPr>
        <a:xfrm xmlns:a="http://schemas.openxmlformats.org/drawingml/2006/main">
          <a:off x="50800" y="50800"/>
          <a:ext cx="1270000" cy="254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0.37804</cdr:x>
      <cdr:y>0.94059</cdr:y>
    </cdr:from>
    <cdr:to>
      <cdr:x>0.6716</cdr:x>
      <cdr:y>0.98302</cdr:y>
    </cdr:to>
    <cdr:sp macro="" textlink="'Set-up'!$K$8">
      <cdr:nvSpPr>
        <cdr:cNvPr id="2" name="TextBox 1">
          <a:extLst xmlns:a="http://schemas.openxmlformats.org/drawingml/2006/main">
            <a:ext uri="{FF2B5EF4-FFF2-40B4-BE49-F238E27FC236}">
              <a16:creationId xmlns:a16="http://schemas.microsoft.com/office/drawing/2014/main" id="{9AF169D6-DD62-4C00-957F-565DE3BB9A31}"/>
            </a:ext>
          </a:extLst>
        </cdr:cNvPr>
        <cdr:cNvSpPr txBox="1"/>
      </cdr:nvSpPr>
      <cdr:spPr>
        <a:xfrm xmlns:a="http://schemas.openxmlformats.org/drawingml/2006/main">
          <a:off x="3409949" y="6334113"/>
          <a:ext cx="2647963" cy="285731"/>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EA323F65-C430-44CE-8B56-53A10F48D922}" type="TxLink">
            <a:rPr lang="en-US" sz="1000" b="1" i="1" u="none" strike="noStrike">
              <a:solidFill>
                <a:srgbClr val="0033CC"/>
              </a:solidFill>
              <a:latin typeface="+mn-lt"/>
            </a:rPr>
            <a:pPr algn="ctr"/>
            <a:t>LINDSLEY STANDARD TIME-SERIES CHART</a:t>
          </a:fld>
          <a:endParaRPr lang="en-US" sz="1000" b="1" i="1">
            <a:solidFill>
              <a:srgbClr val="0033CC"/>
            </a:solidFill>
            <a:latin typeface="+mn-lt"/>
          </a:endParaRP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9032240" cy="6746240"/>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0.1115</cdr:x>
      <cdr:y>0.59725</cdr:y>
    </cdr:from>
    <cdr:to>
      <cdr:x>0.9295</cdr:x>
      <cdr:y>0.67975</cdr:y>
    </cdr:to>
    <cdr:sp macro="" textlink="">
      <cdr:nvSpPr>
        <cdr:cNvPr id="1572129" name="Rectangle 29"/>
        <cdr:cNvSpPr>
          <a:spLocks xmlns:a="http://schemas.openxmlformats.org/drawingml/2006/main" noChangeArrowheads="1"/>
        </cdr:cNvSpPr>
      </cdr:nvSpPr>
      <cdr:spPr bwMode="auto">
        <a:xfrm xmlns:a="http://schemas.openxmlformats.org/drawingml/2006/main">
          <a:off x="1001501" y="4021986"/>
          <a:ext cx="7347338" cy="555569"/>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CCCCFF" mc:Ignorable="a14" a14:legacySpreadsheetColorIndex="31">
            <a:alpha val="32941"/>
          </a:srgbClr>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0">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sp>
  </cdr:relSizeAnchor>
  <cdr:relSizeAnchor xmlns:cdr="http://schemas.openxmlformats.org/drawingml/2006/chartDrawing">
    <cdr:from>
      <cdr:x>0.4865</cdr:x>
      <cdr:y>0.503</cdr:y>
    </cdr:from>
    <cdr:to>
      <cdr:x>0.4865</cdr:x>
      <cdr:y>0.503</cdr:y>
    </cdr:to>
    <cdr:sp macro="" textlink="">
      <cdr:nvSpPr>
        <cdr:cNvPr id="1571841" name="Text Box 1"/>
        <cdr:cNvSpPr txBox="1">
          <a:spLocks xmlns:a="http://schemas.openxmlformats.org/drawingml/2006/main" noChangeArrowheads="1"/>
        </cdr:cNvSpPr>
      </cdr:nvSpPr>
      <cdr:spPr bwMode="auto">
        <a:xfrm xmlns:a="http://schemas.openxmlformats.org/drawingml/2006/main">
          <a:off x="4367070" y="3374593"/>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0.4865</cdr:x>
      <cdr:y>0.503</cdr:y>
    </cdr:from>
    <cdr:to>
      <cdr:x>0.4865</cdr:x>
      <cdr:y>0.503</cdr:y>
    </cdr:to>
    <cdr:sp macro="" textlink="">
      <cdr:nvSpPr>
        <cdr:cNvPr id="1571842" name="Text Box 2"/>
        <cdr:cNvSpPr txBox="1">
          <a:spLocks xmlns:a="http://schemas.openxmlformats.org/drawingml/2006/main" noChangeArrowheads="1"/>
        </cdr:cNvSpPr>
      </cdr:nvSpPr>
      <cdr:spPr bwMode="auto">
        <a:xfrm xmlns:a="http://schemas.openxmlformats.org/drawingml/2006/main">
          <a:off x="4367070" y="3374593"/>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0.50606</cdr:x>
      <cdr:y>0.49301</cdr:y>
    </cdr:from>
    <cdr:to>
      <cdr:x>0.51718</cdr:x>
      <cdr:y>0.52724</cdr:y>
    </cdr:to>
    <cdr:sp macro="" textlink="">
      <cdr:nvSpPr>
        <cdr:cNvPr id="1571843" name="Text Box 3"/>
        <cdr:cNvSpPr txBox="1">
          <a:spLocks xmlns:a="http://schemas.openxmlformats.org/drawingml/2006/main" noChangeArrowheads="1"/>
        </cdr:cNvSpPr>
      </cdr:nvSpPr>
      <cdr:spPr bwMode="auto">
        <a:xfrm xmlns:a="http://schemas.openxmlformats.org/drawingml/2006/main">
          <a:off x="4545427" y="3320015"/>
          <a:ext cx="99964" cy="230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2860" rIns="27432" bIns="22860" anchor="ctr" upright="1">
          <a:spAutoFit/>
        </a:bodyPr>
        <a:lstStyle xmlns:a="http://schemas.openxmlformats.org/drawingml/2006/main"/>
        <a:p xmlns:a="http://schemas.openxmlformats.org/drawingml/2006/main">
          <a:pPr algn="ctr" rtl="0">
            <a:defRPr sz="1000"/>
          </a:pPr>
          <a:r>
            <a:rPr lang="en-US" sz="1250" b="0" i="0" u="none" strike="noStrike" baseline="0">
              <a:solidFill>
                <a:srgbClr val="000000"/>
              </a:solidFill>
              <a:latin typeface="Arial"/>
              <a:ea typeface="Arial"/>
              <a:cs typeface="Arial"/>
            </a:rPr>
            <a:t> </a:t>
          </a:r>
        </a:p>
      </cdr:txBody>
    </cdr:sp>
  </cdr:relSizeAnchor>
  <cdr:relSizeAnchor xmlns:cdr="http://schemas.openxmlformats.org/drawingml/2006/chartDrawing">
    <cdr:from>
      <cdr:x>0.46268</cdr:x>
      <cdr:y>0.0079</cdr:y>
    </cdr:from>
    <cdr:to>
      <cdr:x>0.56482</cdr:x>
      <cdr:y>0.04566</cdr:y>
    </cdr:to>
    <cdr:sp macro="" textlink="">
      <cdr:nvSpPr>
        <cdr:cNvPr id="1571844" name="Text Box 4"/>
        <cdr:cNvSpPr txBox="1">
          <a:spLocks xmlns:a="http://schemas.openxmlformats.org/drawingml/2006/main" noChangeArrowheads="1"/>
        </cdr:cNvSpPr>
      </cdr:nvSpPr>
      <cdr:spPr bwMode="auto">
        <a:xfrm xmlns:a="http://schemas.openxmlformats.org/drawingml/2006/main">
          <a:off x="4179037" y="53295"/>
          <a:ext cx="922553" cy="25473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100" b="0" i="0" u="none" strike="noStrike" baseline="0">
              <a:solidFill>
                <a:srgbClr val="0000D4"/>
              </a:solidFill>
              <a:latin typeface="Arial Black"/>
              <a:ea typeface="Arial Black"/>
              <a:cs typeface="Arial Black"/>
            </a:rPr>
            <a:t>CALENDAR</a:t>
          </a:r>
        </a:p>
      </cdr:txBody>
    </cdr:sp>
  </cdr:relSizeAnchor>
  <cdr:relSizeAnchor xmlns:cdr="http://schemas.openxmlformats.org/drawingml/2006/chartDrawing">
    <cdr:from>
      <cdr:x>0.68929</cdr:x>
      <cdr:y>0.0079</cdr:y>
    </cdr:from>
    <cdr:to>
      <cdr:x>0.77222</cdr:x>
      <cdr:y>0.04566</cdr:y>
    </cdr:to>
    <cdr:sp macro="" textlink="">
      <cdr:nvSpPr>
        <cdr:cNvPr id="1571845" name="Text Box 5"/>
        <cdr:cNvSpPr txBox="1">
          <a:spLocks xmlns:a="http://schemas.openxmlformats.org/drawingml/2006/main" noChangeArrowheads="1"/>
        </cdr:cNvSpPr>
      </cdr:nvSpPr>
      <cdr:spPr bwMode="auto">
        <a:xfrm xmlns:a="http://schemas.openxmlformats.org/drawingml/2006/main">
          <a:off x="6225833" y="53295"/>
          <a:ext cx="749043" cy="25473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100" b="0" i="0" u="none" strike="noStrike" baseline="0">
              <a:solidFill>
                <a:srgbClr val="0000D4"/>
              </a:solidFill>
              <a:latin typeface="Arial Black"/>
              <a:ea typeface="Arial Black"/>
              <a:cs typeface="Arial Black"/>
            </a:rPr>
            <a:t>MONTHS</a:t>
          </a:r>
        </a:p>
      </cdr:txBody>
    </cdr:sp>
  </cdr:relSizeAnchor>
  <cdr:relSizeAnchor xmlns:cdr="http://schemas.openxmlformats.org/drawingml/2006/chartDrawing">
    <cdr:from>
      <cdr:x>0.25039</cdr:x>
      <cdr:y>0.0079</cdr:y>
    </cdr:from>
    <cdr:to>
      <cdr:x>0.36911</cdr:x>
      <cdr:y>0.04566</cdr:y>
    </cdr:to>
    <cdr:sp macro="" textlink="">
      <cdr:nvSpPr>
        <cdr:cNvPr id="1571846" name="Text Box 6"/>
        <cdr:cNvSpPr txBox="1">
          <a:spLocks xmlns:a="http://schemas.openxmlformats.org/drawingml/2006/main" noChangeArrowheads="1"/>
        </cdr:cNvSpPr>
      </cdr:nvSpPr>
      <cdr:spPr bwMode="auto">
        <a:xfrm xmlns:a="http://schemas.openxmlformats.org/drawingml/2006/main">
          <a:off x="2261583" y="53295"/>
          <a:ext cx="1072307" cy="25473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27432" tIns="27432" rIns="27432" bIns="27432" anchor="ctr" upright="1">
          <a:spAutoFit/>
        </a:bodyPr>
        <a:lstStyle xmlns:a="http://schemas.openxmlformats.org/drawingml/2006/main"/>
        <a:p xmlns:a="http://schemas.openxmlformats.org/drawingml/2006/main">
          <a:pPr algn="ctr" rtl="0">
            <a:defRPr sz="1000"/>
          </a:pPr>
          <a:r>
            <a:rPr lang="en-US" sz="1100" b="0" i="0" u="none" strike="noStrike" baseline="0">
              <a:solidFill>
                <a:srgbClr val="0000D4"/>
              </a:solidFill>
              <a:latin typeface="Arial Black"/>
              <a:ea typeface="Arial Black"/>
              <a:cs typeface="Arial Black"/>
            </a:rPr>
            <a:t>SUCCESSIVE</a:t>
          </a:r>
        </a:p>
      </cdr:txBody>
    </cdr:sp>
  </cdr:relSizeAnchor>
  <cdr:relSizeAnchor xmlns:cdr="http://schemas.openxmlformats.org/drawingml/2006/chartDrawing">
    <cdr:from>
      <cdr:x>0.499</cdr:x>
      <cdr:y>0.49725</cdr:y>
    </cdr:from>
    <cdr:to>
      <cdr:x>0.499</cdr:x>
      <cdr:y>0.49725</cdr:y>
    </cdr:to>
    <cdr:sp macro="" textlink="">
      <cdr:nvSpPr>
        <cdr:cNvPr id="1571848" name="Text Box 8"/>
        <cdr:cNvSpPr txBox="1">
          <a:spLocks xmlns:a="http://schemas.openxmlformats.org/drawingml/2006/main" noChangeArrowheads="1"/>
        </cdr:cNvSpPr>
      </cdr:nvSpPr>
      <cdr:spPr bwMode="auto">
        <a:xfrm xmlns:a="http://schemas.openxmlformats.org/drawingml/2006/main">
          <a:off x="4478988" y="3336036"/>
          <a:ext cx="0" cy="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0.025</cdr:x>
      <cdr:y>0.91825</cdr:y>
    </cdr:from>
    <cdr:to>
      <cdr:x>0.5065</cdr:x>
      <cdr:y>0.98725</cdr:y>
    </cdr:to>
    <cdr:sp macro="" textlink="'Set-up'!$K$6">
      <cdr:nvSpPr>
        <cdr:cNvPr id="1571850" name="Text Box 10"/>
        <cdr:cNvSpPr txBox="1">
          <a:spLocks xmlns:a="http://schemas.openxmlformats.org/drawingml/2006/main" noChangeArrowheads="1" noTextEdit="1"/>
        </cdr:cNvSpPr>
      </cdr:nvSpPr>
      <cdr:spPr bwMode="auto">
        <a:xfrm xmlns:a="http://schemas.openxmlformats.org/drawingml/2006/main">
          <a:off x="230553" y="6150712"/>
          <a:ext cx="4313348" cy="46771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vertOverflow="clip" wrap="square" lIns="27432" tIns="18288" rIns="0" bIns="18288" anchor="b" upright="1"/>
        <a:lstStyle xmlns:a="http://schemas.openxmlformats.org/drawingml/2006/main"/>
        <a:p xmlns:a="http://schemas.openxmlformats.org/drawingml/2006/main">
          <a:pPr algn="l" rtl="0">
            <a:defRPr sz="1000"/>
          </a:pPr>
          <a:fld id="{5D5D13CC-8A66-4B4B-A88C-68BB91A6C418}" type="TxLink">
            <a:rPr lang="en-US" sz="900" b="0" i="0" u="none" strike="noStrike" baseline="0">
              <a:solidFill>
                <a:srgbClr val="0000D4"/>
              </a:solidFill>
              <a:latin typeface="Arial"/>
              <a:ea typeface="Arial"/>
              <a:cs typeface="Arial"/>
            </a:rPr>
            <a:pPr algn="l" rtl="0">
              <a:defRPr sz="1000"/>
            </a:pPr>
            <a:t>
; 
</a:t>
          </a:fld>
          <a:endParaRPr lang="en-US" sz="900" b="0" i="0" u="none" strike="noStrike" baseline="0">
            <a:solidFill>
              <a:srgbClr val="0000D4"/>
            </a:solidFill>
            <a:latin typeface="Arial"/>
            <a:ea typeface="Arial"/>
            <a:cs typeface="Arial"/>
          </a:endParaRPr>
        </a:p>
      </cdr:txBody>
    </cdr:sp>
  </cdr:relSizeAnchor>
  <cdr:relSizeAnchor xmlns:cdr="http://schemas.openxmlformats.org/drawingml/2006/chartDrawing">
    <cdr:from>
      <cdr:x>0.00395</cdr:x>
      <cdr:y>0.0079</cdr:y>
    </cdr:from>
    <cdr:to>
      <cdr:x>0.1025</cdr:x>
      <cdr:y>0.04575</cdr:y>
    </cdr:to>
    <cdr:sp macro="" textlink="">
      <cdr:nvSpPr>
        <cdr:cNvPr id="1571851" name="Text Box 11"/>
        <cdr:cNvSpPr txBox="1">
          <a:spLocks xmlns:a="http://schemas.openxmlformats.org/drawingml/2006/main" noChangeArrowheads="1"/>
        </cdr:cNvSpPr>
      </cdr:nvSpPr>
      <cdr:spPr bwMode="auto">
        <a:xfrm xmlns:a="http://schemas.openxmlformats.org/drawingml/2006/main">
          <a:off x="35677" y="53295"/>
          <a:ext cx="890128" cy="25534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wrap="none" lIns="18288" tIns="18288" rIns="0" bIns="18288" anchor="ctr" upright="1">
          <a:spAutoFit/>
        </a:bodyPr>
        <a:lstStyle xmlns:a="http://schemas.openxmlformats.org/drawingml/2006/main"/>
        <a:p xmlns:a="http://schemas.openxmlformats.org/drawingml/2006/main">
          <a:pPr algn="l" rtl="0">
            <a:lnSpc>
              <a:spcPts val="900"/>
            </a:lnSpc>
            <a:defRPr sz="1000"/>
          </a:pPr>
          <a:r>
            <a:rPr lang="en-US" sz="800" b="0" i="0" u="none" strike="noStrike" baseline="0">
              <a:solidFill>
                <a:srgbClr val="0000D4"/>
              </a:solidFill>
              <a:latin typeface="Arial"/>
              <a:ea typeface="Arial"/>
              <a:cs typeface="Arial"/>
            </a:rPr>
            <a:t>Accuracy Ratio:</a:t>
          </a:r>
        </a:p>
        <a:p xmlns:a="http://schemas.openxmlformats.org/drawingml/2006/main">
          <a:pPr algn="l" rtl="0">
            <a:lnSpc>
              <a:spcPts val="800"/>
            </a:lnSpc>
            <a:defRPr sz="1000"/>
          </a:pPr>
          <a:r>
            <a:rPr lang="en-US" sz="800" b="0" i="0" u="none" strike="noStrike" baseline="0">
              <a:solidFill>
                <a:srgbClr val="0000D4"/>
              </a:solidFill>
              <a:latin typeface="Arial"/>
              <a:ea typeface="Arial"/>
              <a:cs typeface="Arial"/>
            </a:rPr>
            <a:t>Corrects/Incorrects</a:t>
          </a:r>
        </a:p>
      </cdr:txBody>
    </cdr:sp>
  </cdr:relSizeAnchor>
  <cdr:relSizeAnchor xmlns:cdr="http://schemas.openxmlformats.org/drawingml/2006/chartDrawing">
    <cdr:from>
      <cdr:x>0.1085</cdr:x>
      <cdr:y>0.4815</cdr:y>
    </cdr:from>
    <cdr:to>
      <cdr:x>0.9275</cdr:x>
      <cdr:y>0.48225</cdr:y>
    </cdr:to>
    <cdr:sp macro="" textlink="">
      <cdr:nvSpPr>
        <cdr:cNvPr id="1571852" name="Line 12"/>
        <cdr:cNvSpPr>
          <a:spLocks xmlns:a="http://schemas.openxmlformats.org/drawingml/2006/main" noChangeShapeType="1"/>
        </cdr:cNvSpPr>
      </cdr:nvSpPr>
      <cdr:spPr bwMode="auto">
        <a:xfrm xmlns:a="http://schemas.openxmlformats.org/drawingml/2006/main">
          <a:off x="1000554" y="3230423"/>
          <a:ext cx="7290387" cy="5029"/>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0.1085</cdr:x>
      <cdr:y>0.36075</cdr:y>
    </cdr:from>
    <cdr:to>
      <cdr:x>0.9285</cdr:x>
      <cdr:y>0.36275</cdr:y>
    </cdr:to>
    <cdr:sp macro="" textlink="">
      <cdr:nvSpPr>
        <cdr:cNvPr id="1571853" name="Line 13"/>
        <cdr:cNvSpPr>
          <a:spLocks xmlns:a="http://schemas.openxmlformats.org/drawingml/2006/main" noChangeShapeType="1"/>
        </cdr:cNvSpPr>
      </cdr:nvSpPr>
      <cdr:spPr bwMode="auto">
        <a:xfrm xmlns:a="http://schemas.openxmlformats.org/drawingml/2006/main">
          <a:off x="1000554" y="2422398"/>
          <a:ext cx="7297102" cy="13411"/>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0.11075</cdr:x>
      <cdr:y>0.242</cdr:y>
    </cdr:from>
    <cdr:to>
      <cdr:x>0.93075</cdr:x>
      <cdr:y>0.242</cdr:y>
    </cdr:to>
    <cdr:sp macro="" textlink="">
      <cdr:nvSpPr>
        <cdr:cNvPr id="1571856" name="Line 16"/>
        <cdr:cNvSpPr>
          <a:spLocks xmlns:a="http://schemas.openxmlformats.org/drawingml/2006/main" noChangeShapeType="1"/>
        </cdr:cNvSpPr>
      </cdr:nvSpPr>
      <cdr:spPr bwMode="auto">
        <a:xfrm xmlns:a="http://schemas.openxmlformats.org/drawingml/2006/main">
          <a:off x="1000318" y="1632590"/>
          <a:ext cx="7406437" cy="0"/>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0.1075</cdr:x>
      <cdr:y>0.72178</cdr:y>
    </cdr:from>
    <cdr:to>
      <cdr:x>0.928</cdr:x>
      <cdr:y>0.72228</cdr:y>
    </cdr:to>
    <cdr:sp macro="" textlink="">
      <cdr:nvSpPr>
        <cdr:cNvPr id="1571859" name="Line 19"/>
        <cdr:cNvSpPr>
          <a:spLocks xmlns:a="http://schemas.openxmlformats.org/drawingml/2006/main" noChangeShapeType="1"/>
        </cdr:cNvSpPr>
      </cdr:nvSpPr>
      <cdr:spPr bwMode="auto">
        <a:xfrm xmlns:a="http://schemas.openxmlformats.org/drawingml/2006/main">
          <a:off x="971461" y="4864055"/>
          <a:ext cx="7414730" cy="3369"/>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0.531</cdr:x>
      <cdr:y>0.91775</cdr:y>
    </cdr:from>
    <cdr:to>
      <cdr:x>0.9825</cdr:x>
      <cdr:y>0.98675</cdr:y>
    </cdr:to>
    <cdr:sp macro="" textlink="'Set-up'!$K$7">
      <cdr:nvSpPr>
        <cdr:cNvPr id="1571860" name="Text Box 20"/>
        <cdr:cNvSpPr txBox="1">
          <a:spLocks xmlns:a="http://schemas.openxmlformats.org/drawingml/2006/main" noChangeArrowheads="1" noTextEdit="1"/>
        </cdr:cNvSpPr>
      </cdr:nvSpPr>
      <cdr:spPr bwMode="auto">
        <a:xfrm xmlns:a="http://schemas.openxmlformats.org/drawingml/2006/main">
          <a:off x="4763262" y="6147359"/>
          <a:ext cx="4029075" cy="46771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val="FFFFFF"/>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vertOverflow="clip" wrap="square" lIns="0" tIns="18288" rIns="27432" bIns="18288" anchor="b" upright="1"/>
        <a:lstStyle xmlns:a="http://schemas.openxmlformats.org/drawingml/2006/main"/>
        <a:p xmlns:a="http://schemas.openxmlformats.org/drawingml/2006/main">
          <a:pPr algn="r" rtl="0">
            <a:lnSpc>
              <a:spcPts val="1000"/>
            </a:lnSpc>
            <a:defRPr sz="1000"/>
          </a:pPr>
          <a:fld id="{44960230-3F9F-C242-9780-B68D58FEDE49}" type="TxLink">
            <a:rPr lang="en-US" sz="900" b="0" i="0" u="none" strike="noStrike" baseline="0">
              <a:solidFill>
                <a:srgbClr val="0000D4"/>
              </a:solidFill>
              <a:latin typeface="Arial"/>
              <a:ea typeface="Arial"/>
              <a:cs typeface="Arial"/>
            </a:rPr>
            <a:pPr algn="r" rtl="0">
              <a:lnSpc>
                <a:spcPts val="1000"/>
              </a:lnSpc>
              <a:defRPr sz="1000"/>
            </a:pPr>
            <a:t> </a:t>
          </a:fld>
          <a:endParaRPr lang="en-US" sz="900" b="0" i="0" u="none" strike="noStrike" baseline="0">
            <a:solidFill>
              <a:srgbClr val="0000D4"/>
            </a:solidFill>
            <a:latin typeface="Arial"/>
            <a:ea typeface="Arial"/>
            <a:cs typeface="Arial"/>
          </a:endParaRPr>
        </a:p>
      </cdr:txBody>
    </cdr:sp>
  </cdr:relSizeAnchor>
  <cdr:relSizeAnchor xmlns:cdr="http://schemas.openxmlformats.org/drawingml/2006/chartDrawing">
    <cdr:from>
      <cdr:x>0.11</cdr:x>
      <cdr:y>0.60255</cdr:y>
    </cdr:from>
    <cdr:to>
      <cdr:x>0.928</cdr:x>
      <cdr:y>0.60255</cdr:y>
    </cdr:to>
    <cdr:sp macro="" textlink="">
      <cdr:nvSpPr>
        <cdr:cNvPr id="1571861" name="Line 21"/>
        <cdr:cNvSpPr>
          <a:spLocks xmlns:a="http://schemas.openxmlformats.org/drawingml/2006/main" noChangeShapeType="1"/>
        </cdr:cNvSpPr>
      </cdr:nvSpPr>
      <cdr:spPr bwMode="auto">
        <a:xfrm xmlns:a="http://schemas.openxmlformats.org/drawingml/2006/main">
          <a:off x="994053" y="4060549"/>
          <a:ext cx="7392138" cy="0"/>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0.113</cdr:x>
      <cdr:y>0.27799</cdr:y>
    </cdr:from>
    <cdr:to>
      <cdr:x>0.9325</cdr:x>
      <cdr:y>0.35974</cdr:y>
    </cdr:to>
    <cdr:sp macro="" textlink="">
      <cdr:nvSpPr>
        <cdr:cNvPr id="1572125" name="Rectangle 27"/>
        <cdr:cNvSpPr>
          <a:spLocks xmlns:a="http://schemas.openxmlformats.org/drawingml/2006/main" noChangeArrowheads="1"/>
        </cdr:cNvSpPr>
      </cdr:nvSpPr>
      <cdr:spPr bwMode="auto">
        <a:xfrm xmlns:a="http://schemas.openxmlformats.org/drawingml/2006/main">
          <a:off x="1020641" y="1875414"/>
          <a:ext cx="7401920" cy="551505"/>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CCCCFF" mc:Ignorable="a14" a14:legacySpreadsheetColorIndex="31">
            <a:alpha val="32941"/>
          </a:srgbClr>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0">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a:lstStyle xmlns:a="http://schemas.openxmlformats.org/drawingml/2006/main"/>
        <a:p xmlns:a="http://schemas.openxmlformats.org/drawingml/2006/main">
          <a:r>
            <a:rPr lang="en-US"/>
            <a:t> </a:t>
          </a:r>
        </a:p>
      </cdr:txBody>
    </cdr:sp>
  </cdr:relSizeAnchor>
  <cdr:relSizeAnchor xmlns:cdr="http://schemas.openxmlformats.org/drawingml/2006/chartDrawing">
    <cdr:from>
      <cdr:x>0.11</cdr:x>
      <cdr:y>0.6853</cdr:y>
    </cdr:from>
    <cdr:to>
      <cdr:x>0.928</cdr:x>
      <cdr:y>0.6858</cdr:y>
    </cdr:to>
    <cdr:sp macro="" textlink="">
      <cdr:nvSpPr>
        <cdr:cNvPr id="1571863" name="Line 23"/>
        <cdr:cNvSpPr>
          <a:spLocks xmlns:a="http://schemas.openxmlformats.org/drawingml/2006/main" noChangeShapeType="1"/>
        </cdr:cNvSpPr>
      </cdr:nvSpPr>
      <cdr:spPr bwMode="auto">
        <a:xfrm xmlns:a="http://schemas.openxmlformats.org/drawingml/2006/main">
          <a:off x="994053" y="4618196"/>
          <a:ext cx="7392138" cy="3370"/>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0.1075</cdr:x>
      <cdr:y>0.2775</cdr:y>
    </cdr:from>
    <cdr:to>
      <cdr:x>0.92675</cdr:x>
      <cdr:y>0.2795</cdr:y>
    </cdr:to>
    <cdr:sp macro="" textlink="">
      <cdr:nvSpPr>
        <cdr:cNvPr id="1571868" name="Line 28"/>
        <cdr:cNvSpPr>
          <a:spLocks xmlns:a="http://schemas.openxmlformats.org/drawingml/2006/main" noChangeShapeType="1"/>
        </cdr:cNvSpPr>
      </cdr:nvSpPr>
      <cdr:spPr bwMode="auto">
        <a:xfrm xmlns:a="http://schemas.openxmlformats.org/drawingml/2006/main">
          <a:off x="993839" y="1867510"/>
          <a:ext cx="7290387" cy="13411"/>
        </a:xfrm>
        <a:prstGeom xmlns:a="http://schemas.openxmlformats.org/drawingml/2006/main" prst="line">
          <a:avLst/>
        </a:prstGeom>
        <a:noFill xmlns:a="http://schemas.openxmlformats.org/drawingml/2006/main"/>
        <a:ln xmlns:a="http://schemas.openxmlformats.org/drawingml/2006/main" w="1">
          <a:solidFill>
            <a:srgbClr xmlns:mc="http://schemas.openxmlformats.org/markup-compatibility/2006" xmlns:a14="http://schemas.microsoft.com/office/drawing/2010/main" val="0000D4" mc:Ignorable="a14" a14:legacySpreadsheetColorIndex="12"/>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7.xml><?xml version="1.0" encoding="utf-8"?>
<xdr:wsDr xmlns:xdr="http://schemas.openxmlformats.org/drawingml/2006/spreadsheetDrawing" xmlns:a="http://schemas.openxmlformats.org/drawingml/2006/main">
  <xdr:oneCellAnchor>
    <xdr:from>
      <xdr:col>12</xdr:col>
      <xdr:colOff>0</xdr:colOff>
      <xdr:row>8</xdr:row>
      <xdr:rowOff>0</xdr:rowOff>
    </xdr:from>
    <xdr:ext cx="73891" cy="215411"/>
    <xdr:sp macro="" textlink="">
      <xdr:nvSpPr>
        <xdr:cNvPr id="318465" name="Text Box 1">
          <a:extLst>
            <a:ext uri="{FF2B5EF4-FFF2-40B4-BE49-F238E27FC236}">
              <a16:creationId xmlns:a16="http://schemas.microsoft.com/office/drawing/2014/main" id="{00000000-0008-0000-0400-000001DC0400}"/>
            </a:ext>
          </a:extLst>
        </xdr:cNvPr>
        <xdr:cNvSpPr txBox="1">
          <a:spLocks noChangeArrowheads="1"/>
        </xdr:cNvSpPr>
      </xdr:nvSpPr>
      <xdr:spPr bwMode="auto">
        <a:xfrm>
          <a:off x="18186400" y="2298700"/>
          <a:ext cx="101600" cy="203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8</xdr:row>
      <xdr:rowOff>0</xdr:rowOff>
    </xdr:from>
    <xdr:ext cx="73891" cy="215411"/>
    <xdr:sp macro="" textlink="">
      <xdr:nvSpPr>
        <xdr:cNvPr id="318473" name="Text Box 9">
          <a:extLst>
            <a:ext uri="{FF2B5EF4-FFF2-40B4-BE49-F238E27FC236}">
              <a16:creationId xmlns:a16="http://schemas.microsoft.com/office/drawing/2014/main" id="{00000000-0008-0000-0400-000009DC0400}"/>
            </a:ext>
          </a:extLst>
        </xdr:cNvPr>
        <xdr:cNvSpPr txBox="1">
          <a:spLocks noChangeArrowheads="1"/>
        </xdr:cNvSpPr>
      </xdr:nvSpPr>
      <xdr:spPr bwMode="auto">
        <a:xfrm>
          <a:off x="18186400" y="2298700"/>
          <a:ext cx="101600" cy="203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twoCellAnchor editAs="oneCell">
    <xdr:from>
      <xdr:col>12</xdr:col>
      <xdr:colOff>0</xdr:colOff>
      <xdr:row>8</xdr:row>
      <xdr:rowOff>0</xdr:rowOff>
    </xdr:from>
    <xdr:to>
      <xdr:col>12</xdr:col>
      <xdr:colOff>76200</xdr:colOff>
      <xdr:row>9</xdr:row>
      <xdr:rowOff>67310</xdr:rowOff>
    </xdr:to>
    <xdr:pic>
      <xdr:nvPicPr>
        <xdr:cNvPr id="318581" name="Picture 11" descr="clip_clip_image001">
          <a:extLst>
            <a:ext uri="{FF2B5EF4-FFF2-40B4-BE49-F238E27FC236}">
              <a16:creationId xmlns:a16="http://schemas.microsoft.com/office/drawing/2014/main" id="{00000000-0008-0000-0400-000075DC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06425" y="3124200"/>
          <a:ext cx="762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8</xdr:row>
      <xdr:rowOff>0</xdr:rowOff>
    </xdr:from>
    <xdr:to>
      <xdr:col>12</xdr:col>
      <xdr:colOff>76200</xdr:colOff>
      <xdr:row>9</xdr:row>
      <xdr:rowOff>67310</xdr:rowOff>
    </xdr:to>
    <xdr:pic>
      <xdr:nvPicPr>
        <xdr:cNvPr id="318582" name="Picture 12" descr="clip_clip_image002">
          <a:extLst>
            <a:ext uri="{FF2B5EF4-FFF2-40B4-BE49-F238E27FC236}">
              <a16:creationId xmlns:a16="http://schemas.microsoft.com/office/drawing/2014/main" id="{00000000-0008-0000-0400-000076DC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2625" y="3124200"/>
          <a:ext cx="762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8</xdr:row>
      <xdr:rowOff>0</xdr:rowOff>
    </xdr:from>
    <xdr:to>
      <xdr:col>12</xdr:col>
      <xdr:colOff>76200</xdr:colOff>
      <xdr:row>9</xdr:row>
      <xdr:rowOff>67310</xdr:rowOff>
    </xdr:to>
    <xdr:pic>
      <xdr:nvPicPr>
        <xdr:cNvPr id="318583" name="Picture 13" descr="clip_clip_image001">
          <a:extLst>
            <a:ext uri="{FF2B5EF4-FFF2-40B4-BE49-F238E27FC236}">
              <a16:creationId xmlns:a16="http://schemas.microsoft.com/office/drawing/2014/main" id="{00000000-0008-0000-0400-000077DC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06425" y="3124200"/>
          <a:ext cx="762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8</xdr:row>
      <xdr:rowOff>0</xdr:rowOff>
    </xdr:from>
    <xdr:to>
      <xdr:col>12</xdr:col>
      <xdr:colOff>76200</xdr:colOff>
      <xdr:row>9</xdr:row>
      <xdr:rowOff>67310</xdr:rowOff>
    </xdr:to>
    <xdr:pic>
      <xdr:nvPicPr>
        <xdr:cNvPr id="318584" name="Picture 14" descr="clip_clip_image002">
          <a:extLst>
            <a:ext uri="{FF2B5EF4-FFF2-40B4-BE49-F238E27FC236}">
              <a16:creationId xmlns:a16="http://schemas.microsoft.com/office/drawing/2014/main" id="{00000000-0008-0000-0400-000078DC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2625" y="3124200"/>
          <a:ext cx="762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12</xdr:col>
      <xdr:colOff>0</xdr:colOff>
      <xdr:row>10</xdr:row>
      <xdr:rowOff>0</xdr:rowOff>
    </xdr:from>
    <xdr:ext cx="73891" cy="215411"/>
    <xdr:sp macro="" textlink="">
      <xdr:nvSpPr>
        <xdr:cNvPr id="10" name="Text Box 1">
          <a:extLst>
            <a:ext uri="{FF2B5EF4-FFF2-40B4-BE49-F238E27FC236}">
              <a16:creationId xmlns:a16="http://schemas.microsoft.com/office/drawing/2014/main" id="{00000000-0008-0000-0400-00000A000000}"/>
            </a:ext>
          </a:extLst>
        </xdr:cNvPr>
        <xdr:cNvSpPr txBox="1">
          <a:spLocks noChangeArrowheads="1"/>
        </xdr:cNvSpPr>
      </xdr:nvSpPr>
      <xdr:spPr bwMode="auto">
        <a:xfrm>
          <a:off x="14004925" y="22148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10</xdr:row>
      <xdr:rowOff>0</xdr:rowOff>
    </xdr:from>
    <xdr:ext cx="73891" cy="215411"/>
    <xdr:sp macro="" textlink="">
      <xdr:nvSpPr>
        <xdr:cNvPr id="11" name="Text Box 9">
          <a:extLst>
            <a:ext uri="{FF2B5EF4-FFF2-40B4-BE49-F238E27FC236}">
              <a16:creationId xmlns:a16="http://schemas.microsoft.com/office/drawing/2014/main" id="{00000000-0008-0000-0400-00000B000000}"/>
            </a:ext>
          </a:extLst>
        </xdr:cNvPr>
        <xdr:cNvSpPr txBox="1">
          <a:spLocks noChangeArrowheads="1"/>
        </xdr:cNvSpPr>
      </xdr:nvSpPr>
      <xdr:spPr bwMode="auto">
        <a:xfrm>
          <a:off x="14004925" y="22148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10</xdr:row>
      <xdr:rowOff>0</xdr:rowOff>
    </xdr:from>
    <xdr:ext cx="76200" cy="260350"/>
    <xdr:pic>
      <xdr:nvPicPr>
        <xdr:cNvPr id="12" name="Picture 11" descr="clip_clip_image001">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13" name="Picture 12" descr="clip_clip_image00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14" name="Picture 13" descr="clip_clip_image001">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15" name="Picture 14" descr="clip_clip_image002">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3891" cy="215411"/>
    <xdr:sp macro="" textlink="">
      <xdr:nvSpPr>
        <xdr:cNvPr id="16" name="Text Box 1">
          <a:extLst>
            <a:ext uri="{FF2B5EF4-FFF2-40B4-BE49-F238E27FC236}">
              <a16:creationId xmlns:a16="http://schemas.microsoft.com/office/drawing/2014/main" id="{00000000-0008-0000-0400-000010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3891" cy="215411"/>
    <xdr:sp macro="" textlink="">
      <xdr:nvSpPr>
        <xdr:cNvPr id="17" name="Text Box 9">
          <a:extLst>
            <a:ext uri="{FF2B5EF4-FFF2-40B4-BE49-F238E27FC236}">
              <a16:creationId xmlns:a16="http://schemas.microsoft.com/office/drawing/2014/main" id="{00000000-0008-0000-0400-000011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6200" cy="260350"/>
    <xdr:pic>
      <xdr:nvPicPr>
        <xdr:cNvPr id="18" name="Picture 17" descr="clip_clip_image001">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19" name="Picture 18" descr="clip_clip_image002">
          <a:extLst>
            <a:ext uri="{FF2B5EF4-FFF2-40B4-BE49-F238E27FC236}">
              <a16:creationId xmlns:a16="http://schemas.microsoft.com/office/drawing/2014/main" id="{00000000-0008-0000-04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20" name="Picture 19" descr="clip_clip_image001">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21" name="Picture 20" descr="clip_clip_image002">
          <a:extLst>
            <a:ext uri="{FF2B5EF4-FFF2-40B4-BE49-F238E27FC236}">
              <a16:creationId xmlns:a16="http://schemas.microsoft.com/office/drawing/2014/main" id="{00000000-0008-0000-04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3891" cy="215411"/>
    <xdr:sp macro="" textlink="">
      <xdr:nvSpPr>
        <xdr:cNvPr id="22" name="Text Box 1">
          <a:extLst>
            <a:ext uri="{FF2B5EF4-FFF2-40B4-BE49-F238E27FC236}">
              <a16:creationId xmlns:a16="http://schemas.microsoft.com/office/drawing/2014/main" id="{00000000-0008-0000-0400-000016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3891" cy="215411"/>
    <xdr:sp macro="" textlink="">
      <xdr:nvSpPr>
        <xdr:cNvPr id="23" name="Text Box 9">
          <a:extLst>
            <a:ext uri="{FF2B5EF4-FFF2-40B4-BE49-F238E27FC236}">
              <a16:creationId xmlns:a16="http://schemas.microsoft.com/office/drawing/2014/main" id="{00000000-0008-0000-0400-000017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6200" cy="260350"/>
    <xdr:pic>
      <xdr:nvPicPr>
        <xdr:cNvPr id="24" name="Picture 23" descr="clip_clip_image001">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25" name="Picture 24" descr="clip_clip_image002">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26" name="Picture 25" descr="clip_clip_image001">
          <a:extLst>
            <a:ext uri="{FF2B5EF4-FFF2-40B4-BE49-F238E27FC236}">
              <a16:creationId xmlns:a16="http://schemas.microsoft.com/office/drawing/2014/main" id="{00000000-0008-0000-04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27" name="Picture 26" descr="clip_clip_image002">
          <a:extLst>
            <a:ext uri="{FF2B5EF4-FFF2-40B4-BE49-F238E27FC236}">
              <a16:creationId xmlns:a16="http://schemas.microsoft.com/office/drawing/2014/main" id="{00000000-0008-0000-04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3891" cy="215411"/>
    <xdr:sp macro="" textlink="">
      <xdr:nvSpPr>
        <xdr:cNvPr id="28" name="Text Box 1">
          <a:extLst>
            <a:ext uri="{FF2B5EF4-FFF2-40B4-BE49-F238E27FC236}">
              <a16:creationId xmlns:a16="http://schemas.microsoft.com/office/drawing/2014/main" id="{00000000-0008-0000-0400-00001C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3891" cy="215411"/>
    <xdr:sp macro="" textlink="">
      <xdr:nvSpPr>
        <xdr:cNvPr id="29" name="Text Box 9">
          <a:extLst>
            <a:ext uri="{FF2B5EF4-FFF2-40B4-BE49-F238E27FC236}">
              <a16:creationId xmlns:a16="http://schemas.microsoft.com/office/drawing/2014/main" id="{00000000-0008-0000-0400-00001D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6200" cy="260350"/>
    <xdr:pic>
      <xdr:nvPicPr>
        <xdr:cNvPr id="30" name="Picture 29" descr="clip_clip_image001">
          <a:extLst>
            <a:ext uri="{FF2B5EF4-FFF2-40B4-BE49-F238E27FC236}">
              <a16:creationId xmlns:a16="http://schemas.microsoft.com/office/drawing/2014/main" id="{00000000-0008-0000-04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31" name="Picture 30" descr="clip_clip_image002">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32" name="Picture 31" descr="clip_clip_image001">
          <a:extLst>
            <a:ext uri="{FF2B5EF4-FFF2-40B4-BE49-F238E27FC236}">
              <a16:creationId xmlns:a16="http://schemas.microsoft.com/office/drawing/2014/main" id="{00000000-0008-0000-04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33" name="Picture 32" descr="clip_clip_image002">
          <a:extLst>
            <a:ext uri="{FF2B5EF4-FFF2-40B4-BE49-F238E27FC236}">
              <a16:creationId xmlns:a16="http://schemas.microsoft.com/office/drawing/2014/main" id="{00000000-0008-0000-04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34" name="Text Box 1">
          <a:extLst>
            <a:ext uri="{FF2B5EF4-FFF2-40B4-BE49-F238E27FC236}">
              <a16:creationId xmlns:a16="http://schemas.microsoft.com/office/drawing/2014/main" id="{00000000-0008-0000-0400-000022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35" name="Text Box 9">
          <a:extLst>
            <a:ext uri="{FF2B5EF4-FFF2-40B4-BE49-F238E27FC236}">
              <a16:creationId xmlns:a16="http://schemas.microsoft.com/office/drawing/2014/main" id="{00000000-0008-0000-0400-000023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36" name="Picture 35" descr="clip_clip_image001">
          <a:extLst>
            <a:ext uri="{FF2B5EF4-FFF2-40B4-BE49-F238E27FC236}">
              <a16:creationId xmlns:a16="http://schemas.microsoft.com/office/drawing/2014/main" id="{00000000-0008-0000-04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37" name="Picture 36" descr="clip_clip_image002">
          <a:extLst>
            <a:ext uri="{FF2B5EF4-FFF2-40B4-BE49-F238E27FC236}">
              <a16:creationId xmlns:a16="http://schemas.microsoft.com/office/drawing/2014/main" id="{00000000-0008-0000-04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38" name="Picture 37" descr="clip_clip_image001">
          <a:extLst>
            <a:ext uri="{FF2B5EF4-FFF2-40B4-BE49-F238E27FC236}">
              <a16:creationId xmlns:a16="http://schemas.microsoft.com/office/drawing/2014/main" id="{00000000-0008-0000-04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39" name="Picture 38" descr="clip_clip_image002">
          <a:extLst>
            <a:ext uri="{FF2B5EF4-FFF2-40B4-BE49-F238E27FC236}">
              <a16:creationId xmlns:a16="http://schemas.microsoft.com/office/drawing/2014/main" id="{00000000-0008-0000-04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40" name="Text Box 1">
          <a:extLst>
            <a:ext uri="{FF2B5EF4-FFF2-40B4-BE49-F238E27FC236}">
              <a16:creationId xmlns:a16="http://schemas.microsoft.com/office/drawing/2014/main" id="{00000000-0008-0000-0400-000028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41" name="Text Box 9">
          <a:extLst>
            <a:ext uri="{FF2B5EF4-FFF2-40B4-BE49-F238E27FC236}">
              <a16:creationId xmlns:a16="http://schemas.microsoft.com/office/drawing/2014/main" id="{00000000-0008-0000-0400-000029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42" name="Picture 41" descr="clip_clip_image001">
          <a:extLst>
            <a:ext uri="{FF2B5EF4-FFF2-40B4-BE49-F238E27FC236}">
              <a16:creationId xmlns:a16="http://schemas.microsoft.com/office/drawing/2014/main" id="{00000000-0008-0000-04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43" name="Picture 42" descr="clip_clip_image002">
          <a:extLst>
            <a:ext uri="{FF2B5EF4-FFF2-40B4-BE49-F238E27FC236}">
              <a16:creationId xmlns:a16="http://schemas.microsoft.com/office/drawing/2014/main" id="{00000000-0008-0000-04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44" name="Picture 43" descr="clip_clip_image001">
          <a:extLst>
            <a:ext uri="{FF2B5EF4-FFF2-40B4-BE49-F238E27FC236}">
              <a16:creationId xmlns:a16="http://schemas.microsoft.com/office/drawing/2014/main" id="{00000000-0008-0000-04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45" name="Picture 44" descr="clip_clip_image002">
          <a:extLst>
            <a:ext uri="{FF2B5EF4-FFF2-40B4-BE49-F238E27FC236}">
              <a16:creationId xmlns:a16="http://schemas.microsoft.com/office/drawing/2014/main" id="{00000000-0008-0000-04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3891" cy="215411"/>
    <xdr:sp macro="" textlink="">
      <xdr:nvSpPr>
        <xdr:cNvPr id="46" name="Text Box 1">
          <a:extLst>
            <a:ext uri="{FF2B5EF4-FFF2-40B4-BE49-F238E27FC236}">
              <a16:creationId xmlns:a16="http://schemas.microsoft.com/office/drawing/2014/main" id="{00000000-0008-0000-0400-00002E000000}"/>
            </a:ext>
          </a:extLst>
        </xdr:cNvPr>
        <xdr:cNvSpPr txBox="1">
          <a:spLocks noChangeArrowheads="1"/>
        </xdr:cNvSpPr>
      </xdr:nvSpPr>
      <xdr:spPr bwMode="auto">
        <a:xfrm>
          <a:off x="14004925" y="22148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10</xdr:row>
      <xdr:rowOff>0</xdr:rowOff>
    </xdr:from>
    <xdr:ext cx="73891" cy="215411"/>
    <xdr:sp macro="" textlink="">
      <xdr:nvSpPr>
        <xdr:cNvPr id="47" name="Text Box 9">
          <a:extLst>
            <a:ext uri="{FF2B5EF4-FFF2-40B4-BE49-F238E27FC236}">
              <a16:creationId xmlns:a16="http://schemas.microsoft.com/office/drawing/2014/main" id="{00000000-0008-0000-0400-00002F000000}"/>
            </a:ext>
          </a:extLst>
        </xdr:cNvPr>
        <xdr:cNvSpPr txBox="1">
          <a:spLocks noChangeArrowheads="1"/>
        </xdr:cNvSpPr>
      </xdr:nvSpPr>
      <xdr:spPr bwMode="auto">
        <a:xfrm>
          <a:off x="14004925" y="22148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10</xdr:row>
      <xdr:rowOff>0</xdr:rowOff>
    </xdr:from>
    <xdr:ext cx="76200" cy="260350"/>
    <xdr:pic>
      <xdr:nvPicPr>
        <xdr:cNvPr id="48" name="Picture 11" descr="clip_clip_image001">
          <a:extLst>
            <a:ext uri="{FF2B5EF4-FFF2-40B4-BE49-F238E27FC236}">
              <a16:creationId xmlns:a16="http://schemas.microsoft.com/office/drawing/2014/main" id="{00000000-0008-0000-04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49" name="Picture 12" descr="clip_clip_image002">
          <a:extLst>
            <a:ext uri="{FF2B5EF4-FFF2-40B4-BE49-F238E27FC236}">
              <a16:creationId xmlns:a16="http://schemas.microsoft.com/office/drawing/2014/main" id="{00000000-0008-0000-04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50" name="Picture 13" descr="clip_clip_image001">
          <a:extLst>
            <a:ext uri="{FF2B5EF4-FFF2-40B4-BE49-F238E27FC236}">
              <a16:creationId xmlns:a16="http://schemas.microsoft.com/office/drawing/2014/main" id="{00000000-0008-0000-04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10</xdr:row>
      <xdr:rowOff>0</xdr:rowOff>
    </xdr:from>
    <xdr:ext cx="76200" cy="260350"/>
    <xdr:pic>
      <xdr:nvPicPr>
        <xdr:cNvPr id="51" name="Picture 14" descr="clip_clip_image002">
          <a:extLst>
            <a:ext uri="{FF2B5EF4-FFF2-40B4-BE49-F238E27FC236}">
              <a16:creationId xmlns:a16="http://schemas.microsoft.com/office/drawing/2014/main" id="{00000000-0008-0000-04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2148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3891" cy="215411"/>
    <xdr:sp macro="" textlink="">
      <xdr:nvSpPr>
        <xdr:cNvPr id="52" name="Text Box 1">
          <a:extLst>
            <a:ext uri="{FF2B5EF4-FFF2-40B4-BE49-F238E27FC236}">
              <a16:creationId xmlns:a16="http://schemas.microsoft.com/office/drawing/2014/main" id="{00000000-0008-0000-0400-000034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3891" cy="215411"/>
    <xdr:sp macro="" textlink="">
      <xdr:nvSpPr>
        <xdr:cNvPr id="53" name="Text Box 9">
          <a:extLst>
            <a:ext uri="{FF2B5EF4-FFF2-40B4-BE49-F238E27FC236}">
              <a16:creationId xmlns:a16="http://schemas.microsoft.com/office/drawing/2014/main" id="{00000000-0008-0000-0400-000035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6200" cy="260350"/>
    <xdr:pic>
      <xdr:nvPicPr>
        <xdr:cNvPr id="54" name="Picture 53" descr="clip_clip_image001">
          <a:extLst>
            <a:ext uri="{FF2B5EF4-FFF2-40B4-BE49-F238E27FC236}">
              <a16:creationId xmlns:a16="http://schemas.microsoft.com/office/drawing/2014/main" id="{00000000-0008-0000-04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55" name="Picture 54" descr="clip_clip_image002">
          <a:extLst>
            <a:ext uri="{FF2B5EF4-FFF2-40B4-BE49-F238E27FC236}">
              <a16:creationId xmlns:a16="http://schemas.microsoft.com/office/drawing/2014/main" id="{00000000-0008-0000-04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56" name="Picture 55" descr="clip_clip_image001">
          <a:extLst>
            <a:ext uri="{FF2B5EF4-FFF2-40B4-BE49-F238E27FC236}">
              <a16:creationId xmlns:a16="http://schemas.microsoft.com/office/drawing/2014/main" id="{00000000-0008-0000-04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57" name="Picture 56" descr="clip_clip_image002">
          <a:extLst>
            <a:ext uri="{FF2B5EF4-FFF2-40B4-BE49-F238E27FC236}">
              <a16:creationId xmlns:a16="http://schemas.microsoft.com/office/drawing/2014/main" id="{00000000-0008-0000-04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3891" cy="215411"/>
    <xdr:sp macro="" textlink="">
      <xdr:nvSpPr>
        <xdr:cNvPr id="58" name="Text Box 1">
          <a:extLst>
            <a:ext uri="{FF2B5EF4-FFF2-40B4-BE49-F238E27FC236}">
              <a16:creationId xmlns:a16="http://schemas.microsoft.com/office/drawing/2014/main" id="{00000000-0008-0000-0400-00003A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3891" cy="215411"/>
    <xdr:sp macro="" textlink="">
      <xdr:nvSpPr>
        <xdr:cNvPr id="59" name="Text Box 9">
          <a:extLst>
            <a:ext uri="{FF2B5EF4-FFF2-40B4-BE49-F238E27FC236}">
              <a16:creationId xmlns:a16="http://schemas.microsoft.com/office/drawing/2014/main" id="{00000000-0008-0000-0400-00003B000000}"/>
            </a:ext>
          </a:extLst>
        </xdr:cNvPr>
        <xdr:cNvSpPr txBox="1">
          <a:spLocks noChangeArrowheads="1"/>
        </xdr:cNvSpPr>
      </xdr:nvSpPr>
      <xdr:spPr bwMode="auto">
        <a:xfrm>
          <a:off x="14004925" y="26009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12</xdr:row>
      <xdr:rowOff>0</xdr:rowOff>
    </xdr:from>
    <xdr:ext cx="76200" cy="260350"/>
    <xdr:pic>
      <xdr:nvPicPr>
        <xdr:cNvPr id="60" name="Picture 11" descr="clip_clip_image001">
          <a:extLst>
            <a:ext uri="{FF2B5EF4-FFF2-40B4-BE49-F238E27FC236}">
              <a16:creationId xmlns:a16="http://schemas.microsoft.com/office/drawing/2014/main" id="{00000000-0008-0000-04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61" name="Picture 12" descr="clip_clip_image002">
          <a:extLst>
            <a:ext uri="{FF2B5EF4-FFF2-40B4-BE49-F238E27FC236}">
              <a16:creationId xmlns:a16="http://schemas.microsoft.com/office/drawing/2014/main" id="{00000000-0008-0000-04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62" name="Picture 13" descr="clip_clip_image001">
          <a:extLst>
            <a:ext uri="{FF2B5EF4-FFF2-40B4-BE49-F238E27FC236}">
              <a16:creationId xmlns:a16="http://schemas.microsoft.com/office/drawing/2014/main" id="{00000000-0008-0000-04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12</xdr:row>
      <xdr:rowOff>0</xdr:rowOff>
    </xdr:from>
    <xdr:ext cx="76200" cy="260350"/>
    <xdr:pic>
      <xdr:nvPicPr>
        <xdr:cNvPr id="63" name="Picture 14" descr="clip_clip_image002">
          <a:extLst>
            <a:ext uri="{FF2B5EF4-FFF2-40B4-BE49-F238E27FC236}">
              <a16:creationId xmlns:a16="http://schemas.microsoft.com/office/drawing/2014/main" id="{00000000-0008-0000-04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6009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3891" cy="215411"/>
    <xdr:sp macro="" textlink="">
      <xdr:nvSpPr>
        <xdr:cNvPr id="64" name="Text Box 1">
          <a:extLst>
            <a:ext uri="{FF2B5EF4-FFF2-40B4-BE49-F238E27FC236}">
              <a16:creationId xmlns:a16="http://schemas.microsoft.com/office/drawing/2014/main" id="{00000000-0008-0000-0400-000040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3891" cy="215411"/>
    <xdr:sp macro="" textlink="">
      <xdr:nvSpPr>
        <xdr:cNvPr id="65" name="Text Box 9">
          <a:extLst>
            <a:ext uri="{FF2B5EF4-FFF2-40B4-BE49-F238E27FC236}">
              <a16:creationId xmlns:a16="http://schemas.microsoft.com/office/drawing/2014/main" id="{00000000-0008-0000-0400-000041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6200" cy="260350"/>
    <xdr:pic>
      <xdr:nvPicPr>
        <xdr:cNvPr id="66" name="Picture 65" descr="clip_clip_image001">
          <a:extLst>
            <a:ext uri="{FF2B5EF4-FFF2-40B4-BE49-F238E27FC236}">
              <a16:creationId xmlns:a16="http://schemas.microsoft.com/office/drawing/2014/main" id="{00000000-0008-0000-04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67" name="Picture 66" descr="clip_clip_image002">
          <a:extLst>
            <a:ext uri="{FF2B5EF4-FFF2-40B4-BE49-F238E27FC236}">
              <a16:creationId xmlns:a16="http://schemas.microsoft.com/office/drawing/2014/main" id="{00000000-0008-0000-04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68" name="Picture 67" descr="clip_clip_image001">
          <a:extLst>
            <a:ext uri="{FF2B5EF4-FFF2-40B4-BE49-F238E27FC236}">
              <a16:creationId xmlns:a16="http://schemas.microsoft.com/office/drawing/2014/main" id="{00000000-0008-0000-04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69" name="Picture 68" descr="clip_clip_image002">
          <a:extLst>
            <a:ext uri="{FF2B5EF4-FFF2-40B4-BE49-F238E27FC236}">
              <a16:creationId xmlns:a16="http://schemas.microsoft.com/office/drawing/2014/main" id="{00000000-0008-0000-04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3891" cy="215411"/>
    <xdr:sp macro="" textlink="">
      <xdr:nvSpPr>
        <xdr:cNvPr id="70" name="Text Box 1">
          <a:extLst>
            <a:ext uri="{FF2B5EF4-FFF2-40B4-BE49-F238E27FC236}">
              <a16:creationId xmlns:a16="http://schemas.microsoft.com/office/drawing/2014/main" id="{00000000-0008-0000-0400-000046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3891" cy="215411"/>
    <xdr:sp macro="" textlink="">
      <xdr:nvSpPr>
        <xdr:cNvPr id="71" name="Text Box 9">
          <a:extLst>
            <a:ext uri="{FF2B5EF4-FFF2-40B4-BE49-F238E27FC236}">
              <a16:creationId xmlns:a16="http://schemas.microsoft.com/office/drawing/2014/main" id="{00000000-0008-0000-0400-000047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6200" cy="260350"/>
    <xdr:pic>
      <xdr:nvPicPr>
        <xdr:cNvPr id="72" name="Picture 71" descr="clip_clip_image001">
          <a:extLst>
            <a:ext uri="{FF2B5EF4-FFF2-40B4-BE49-F238E27FC236}">
              <a16:creationId xmlns:a16="http://schemas.microsoft.com/office/drawing/2014/main" id="{00000000-0008-0000-04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73" name="Picture 72" descr="clip_clip_image002">
          <a:extLst>
            <a:ext uri="{FF2B5EF4-FFF2-40B4-BE49-F238E27FC236}">
              <a16:creationId xmlns:a16="http://schemas.microsoft.com/office/drawing/2014/main" id="{00000000-0008-0000-04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74" name="Picture 73" descr="clip_clip_image001">
          <a:extLst>
            <a:ext uri="{FF2B5EF4-FFF2-40B4-BE49-F238E27FC236}">
              <a16:creationId xmlns:a16="http://schemas.microsoft.com/office/drawing/2014/main" id="{00000000-0008-0000-04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75" name="Picture 74" descr="clip_clip_image002">
          <a:extLst>
            <a:ext uri="{FF2B5EF4-FFF2-40B4-BE49-F238E27FC236}">
              <a16:creationId xmlns:a16="http://schemas.microsoft.com/office/drawing/2014/main" id="{00000000-0008-0000-04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3891" cy="215411"/>
    <xdr:sp macro="" textlink="">
      <xdr:nvSpPr>
        <xdr:cNvPr id="76" name="Text Box 1">
          <a:extLst>
            <a:ext uri="{FF2B5EF4-FFF2-40B4-BE49-F238E27FC236}">
              <a16:creationId xmlns:a16="http://schemas.microsoft.com/office/drawing/2014/main" id="{00000000-0008-0000-0400-00004C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3891" cy="215411"/>
    <xdr:sp macro="" textlink="">
      <xdr:nvSpPr>
        <xdr:cNvPr id="77" name="Text Box 9">
          <a:extLst>
            <a:ext uri="{FF2B5EF4-FFF2-40B4-BE49-F238E27FC236}">
              <a16:creationId xmlns:a16="http://schemas.microsoft.com/office/drawing/2014/main" id="{00000000-0008-0000-0400-00004D000000}"/>
            </a:ext>
          </a:extLst>
        </xdr:cNvPr>
        <xdr:cNvSpPr txBox="1">
          <a:spLocks noChangeArrowheads="1"/>
        </xdr:cNvSpPr>
      </xdr:nvSpPr>
      <xdr:spPr bwMode="auto">
        <a:xfrm>
          <a:off x="14004925" y="298704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14</xdr:row>
      <xdr:rowOff>0</xdr:rowOff>
    </xdr:from>
    <xdr:ext cx="76200" cy="260350"/>
    <xdr:pic>
      <xdr:nvPicPr>
        <xdr:cNvPr id="78" name="Picture 11" descr="clip_clip_image001">
          <a:extLst>
            <a:ext uri="{FF2B5EF4-FFF2-40B4-BE49-F238E27FC236}">
              <a16:creationId xmlns:a16="http://schemas.microsoft.com/office/drawing/2014/main" id="{00000000-0008-0000-04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79" name="Picture 12" descr="clip_clip_image002">
          <a:extLst>
            <a:ext uri="{FF2B5EF4-FFF2-40B4-BE49-F238E27FC236}">
              <a16:creationId xmlns:a16="http://schemas.microsoft.com/office/drawing/2014/main" id="{00000000-0008-0000-04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80" name="Picture 13" descr="clip_clip_image001">
          <a:extLst>
            <a:ext uri="{FF2B5EF4-FFF2-40B4-BE49-F238E27FC236}">
              <a16:creationId xmlns:a16="http://schemas.microsoft.com/office/drawing/2014/main" id="{00000000-0008-0000-04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14</xdr:row>
      <xdr:rowOff>0</xdr:rowOff>
    </xdr:from>
    <xdr:ext cx="76200" cy="260350"/>
    <xdr:pic>
      <xdr:nvPicPr>
        <xdr:cNvPr id="81" name="Picture 14" descr="clip_clip_image002">
          <a:extLst>
            <a:ext uri="{FF2B5EF4-FFF2-40B4-BE49-F238E27FC236}">
              <a16:creationId xmlns:a16="http://schemas.microsoft.com/office/drawing/2014/main" id="{00000000-0008-0000-04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298704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3891" cy="215411"/>
    <xdr:sp macro="" textlink="">
      <xdr:nvSpPr>
        <xdr:cNvPr id="82" name="Text Box 1">
          <a:extLst>
            <a:ext uri="{FF2B5EF4-FFF2-40B4-BE49-F238E27FC236}">
              <a16:creationId xmlns:a16="http://schemas.microsoft.com/office/drawing/2014/main" id="{00000000-0008-0000-0400-000052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3891" cy="215411"/>
    <xdr:sp macro="" textlink="">
      <xdr:nvSpPr>
        <xdr:cNvPr id="83" name="Text Box 9">
          <a:extLst>
            <a:ext uri="{FF2B5EF4-FFF2-40B4-BE49-F238E27FC236}">
              <a16:creationId xmlns:a16="http://schemas.microsoft.com/office/drawing/2014/main" id="{00000000-0008-0000-0400-000053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6200" cy="260350"/>
    <xdr:pic>
      <xdr:nvPicPr>
        <xdr:cNvPr id="84" name="Picture 83" descr="clip_clip_image001">
          <a:extLst>
            <a:ext uri="{FF2B5EF4-FFF2-40B4-BE49-F238E27FC236}">
              <a16:creationId xmlns:a16="http://schemas.microsoft.com/office/drawing/2014/main" id="{00000000-0008-0000-04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85" name="Picture 84" descr="clip_clip_image002">
          <a:extLst>
            <a:ext uri="{FF2B5EF4-FFF2-40B4-BE49-F238E27FC236}">
              <a16:creationId xmlns:a16="http://schemas.microsoft.com/office/drawing/2014/main" id="{00000000-0008-0000-04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86" name="Picture 85" descr="clip_clip_image001">
          <a:extLst>
            <a:ext uri="{FF2B5EF4-FFF2-40B4-BE49-F238E27FC236}">
              <a16:creationId xmlns:a16="http://schemas.microsoft.com/office/drawing/2014/main" id="{00000000-0008-0000-04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87" name="Picture 86" descr="clip_clip_image002">
          <a:extLst>
            <a:ext uri="{FF2B5EF4-FFF2-40B4-BE49-F238E27FC236}">
              <a16:creationId xmlns:a16="http://schemas.microsoft.com/office/drawing/2014/main" id="{00000000-0008-0000-04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3891" cy="215411"/>
    <xdr:sp macro="" textlink="">
      <xdr:nvSpPr>
        <xdr:cNvPr id="88" name="Text Box 1">
          <a:extLst>
            <a:ext uri="{FF2B5EF4-FFF2-40B4-BE49-F238E27FC236}">
              <a16:creationId xmlns:a16="http://schemas.microsoft.com/office/drawing/2014/main" id="{00000000-0008-0000-0400-000058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3891" cy="215411"/>
    <xdr:sp macro="" textlink="">
      <xdr:nvSpPr>
        <xdr:cNvPr id="89" name="Text Box 9">
          <a:extLst>
            <a:ext uri="{FF2B5EF4-FFF2-40B4-BE49-F238E27FC236}">
              <a16:creationId xmlns:a16="http://schemas.microsoft.com/office/drawing/2014/main" id="{00000000-0008-0000-0400-000059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6200" cy="260350"/>
    <xdr:pic>
      <xdr:nvPicPr>
        <xdr:cNvPr id="90" name="Picture 89" descr="clip_clip_image001">
          <a:extLst>
            <a:ext uri="{FF2B5EF4-FFF2-40B4-BE49-F238E27FC236}">
              <a16:creationId xmlns:a16="http://schemas.microsoft.com/office/drawing/2014/main" id="{00000000-0008-0000-04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1" name="Picture 90" descr="clip_clip_image002">
          <a:extLst>
            <a:ext uri="{FF2B5EF4-FFF2-40B4-BE49-F238E27FC236}">
              <a16:creationId xmlns:a16="http://schemas.microsoft.com/office/drawing/2014/main" id="{00000000-0008-0000-04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2" name="Picture 91" descr="clip_clip_image001">
          <a:extLst>
            <a:ext uri="{FF2B5EF4-FFF2-40B4-BE49-F238E27FC236}">
              <a16:creationId xmlns:a16="http://schemas.microsoft.com/office/drawing/2014/main" id="{00000000-0008-0000-04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3" name="Picture 92" descr="clip_clip_image002">
          <a:extLst>
            <a:ext uri="{FF2B5EF4-FFF2-40B4-BE49-F238E27FC236}">
              <a16:creationId xmlns:a16="http://schemas.microsoft.com/office/drawing/2014/main" id="{00000000-0008-0000-04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3891" cy="215411"/>
    <xdr:sp macro="" textlink="">
      <xdr:nvSpPr>
        <xdr:cNvPr id="94" name="Text Box 1">
          <a:extLst>
            <a:ext uri="{FF2B5EF4-FFF2-40B4-BE49-F238E27FC236}">
              <a16:creationId xmlns:a16="http://schemas.microsoft.com/office/drawing/2014/main" id="{00000000-0008-0000-0400-00005E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3891" cy="215411"/>
    <xdr:sp macro="" textlink="">
      <xdr:nvSpPr>
        <xdr:cNvPr id="95" name="Text Box 9">
          <a:extLst>
            <a:ext uri="{FF2B5EF4-FFF2-40B4-BE49-F238E27FC236}">
              <a16:creationId xmlns:a16="http://schemas.microsoft.com/office/drawing/2014/main" id="{00000000-0008-0000-0400-00005F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6200" cy="260350"/>
    <xdr:pic>
      <xdr:nvPicPr>
        <xdr:cNvPr id="96" name="Picture 95" descr="clip_clip_image001">
          <a:extLst>
            <a:ext uri="{FF2B5EF4-FFF2-40B4-BE49-F238E27FC236}">
              <a16:creationId xmlns:a16="http://schemas.microsoft.com/office/drawing/2014/main" id="{00000000-0008-0000-04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7" name="Picture 96" descr="clip_clip_image002">
          <a:extLst>
            <a:ext uri="{FF2B5EF4-FFF2-40B4-BE49-F238E27FC236}">
              <a16:creationId xmlns:a16="http://schemas.microsoft.com/office/drawing/2014/main" id="{00000000-0008-0000-04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8" name="Picture 97" descr="clip_clip_image001">
          <a:extLst>
            <a:ext uri="{FF2B5EF4-FFF2-40B4-BE49-F238E27FC236}">
              <a16:creationId xmlns:a16="http://schemas.microsoft.com/office/drawing/2014/main" id="{00000000-0008-0000-04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99" name="Picture 98" descr="clip_clip_image002">
          <a:extLst>
            <a:ext uri="{FF2B5EF4-FFF2-40B4-BE49-F238E27FC236}">
              <a16:creationId xmlns:a16="http://schemas.microsoft.com/office/drawing/2014/main" id="{00000000-0008-0000-04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3891" cy="215411"/>
    <xdr:sp macro="" textlink="">
      <xdr:nvSpPr>
        <xdr:cNvPr id="100" name="Text Box 1">
          <a:extLst>
            <a:ext uri="{FF2B5EF4-FFF2-40B4-BE49-F238E27FC236}">
              <a16:creationId xmlns:a16="http://schemas.microsoft.com/office/drawing/2014/main" id="{00000000-0008-0000-0400-000064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3891" cy="215411"/>
    <xdr:sp macro="" textlink="">
      <xdr:nvSpPr>
        <xdr:cNvPr id="101" name="Text Box 9">
          <a:extLst>
            <a:ext uri="{FF2B5EF4-FFF2-40B4-BE49-F238E27FC236}">
              <a16:creationId xmlns:a16="http://schemas.microsoft.com/office/drawing/2014/main" id="{00000000-0008-0000-0400-000065000000}"/>
            </a:ext>
          </a:extLst>
        </xdr:cNvPr>
        <xdr:cNvSpPr txBox="1">
          <a:spLocks noChangeArrowheads="1"/>
        </xdr:cNvSpPr>
      </xdr:nvSpPr>
      <xdr:spPr bwMode="auto">
        <a:xfrm>
          <a:off x="14004925" y="337312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16</xdr:row>
      <xdr:rowOff>0</xdr:rowOff>
    </xdr:from>
    <xdr:ext cx="76200" cy="260350"/>
    <xdr:pic>
      <xdr:nvPicPr>
        <xdr:cNvPr id="102" name="Picture 11" descr="clip_clip_image001">
          <a:extLst>
            <a:ext uri="{FF2B5EF4-FFF2-40B4-BE49-F238E27FC236}">
              <a16:creationId xmlns:a16="http://schemas.microsoft.com/office/drawing/2014/main" id="{00000000-0008-0000-04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103" name="Picture 12" descr="clip_clip_image002">
          <a:extLst>
            <a:ext uri="{FF2B5EF4-FFF2-40B4-BE49-F238E27FC236}">
              <a16:creationId xmlns:a16="http://schemas.microsoft.com/office/drawing/2014/main" id="{00000000-0008-0000-04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104" name="Picture 13" descr="clip_clip_image001">
          <a:extLst>
            <a:ext uri="{FF2B5EF4-FFF2-40B4-BE49-F238E27FC236}">
              <a16:creationId xmlns:a16="http://schemas.microsoft.com/office/drawing/2014/main" id="{00000000-0008-0000-04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16</xdr:row>
      <xdr:rowOff>0</xdr:rowOff>
    </xdr:from>
    <xdr:ext cx="76200" cy="260350"/>
    <xdr:pic>
      <xdr:nvPicPr>
        <xdr:cNvPr id="105" name="Picture 14" descr="clip_clip_image002">
          <a:extLst>
            <a:ext uri="{FF2B5EF4-FFF2-40B4-BE49-F238E27FC236}">
              <a16:creationId xmlns:a16="http://schemas.microsoft.com/office/drawing/2014/main" id="{00000000-0008-0000-04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37312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106" name="Text Box 1">
          <a:extLst>
            <a:ext uri="{FF2B5EF4-FFF2-40B4-BE49-F238E27FC236}">
              <a16:creationId xmlns:a16="http://schemas.microsoft.com/office/drawing/2014/main" id="{00000000-0008-0000-0400-00006A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107" name="Text Box 9">
          <a:extLst>
            <a:ext uri="{FF2B5EF4-FFF2-40B4-BE49-F238E27FC236}">
              <a16:creationId xmlns:a16="http://schemas.microsoft.com/office/drawing/2014/main" id="{00000000-0008-0000-0400-00006B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108" name="Picture 107" descr="clip_clip_image001">
          <a:extLst>
            <a:ext uri="{FF2B5EF4-FFF2-40B4-BE49-F238E27FC236}">
              <a16:creationId xmlns:a16="http://schemas.microsoft.com/office/drawing/2014/main" id="{00000000-0008-0000-04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09" name="Picture 108" descr="clip_clip_image002">
          <a:extLst>
            <a:ext uri="{FF2B5EF4-FFF2-40B4-BE49-F238E27FC236}">
              <a16:creationId xmlns:a16="http://schemas.microsoft.com/office/drawing/2014/main" id="{00000000-0008-0000-04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10" name="Picture 109" descr="clip_clip_image001">
          <a:extLst>
            <a:ext uri="{FF2B5EF4-FFF2-40B4-BE49-F238E27FC236}">
              <a16:creationId xmlns:a16="http://schemas.microsoft.com/office/drawing/2014/main" id="{00000000-0008-0000-04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11" name="Picture 110" descr="clip_clip_image002">
          <a:extLst>
            <a:ext uri="{FF2B5EF4-FFF2-40B4-BE49-F238E27FC236}">
              <a16:creationId xmlns:a16="http://schemas.microsoft.com/office/drawing/2014/main" id="{00000000-0008-0000-04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112" name="Text Box 1">
          <a:extLst>
            <a:ext uri="{FF2B5EF4-FFF2-40B4-BE49-F238E27FC236}">
              <a16:creationId xmlns:a16="http://schemas.microsoft.com/office/drawing/2014/main" id="{00000000-0008-0000-0400-000070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113" name="Text Box 9">
          <a:extLst>
            <a:ext uri="{FF2B5EF4-FFF2-40B4-BE49-F238E27FC236}">
              <a16:creationId xmlns:a16="http://schemas.microsoft.com/office/drawing/2014/main" id="{00000000-0008-0000-0400-000071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114" name="Picture 113" descr="clip_clip_image001">
          <a:extLst>
            <a:ext uri="{FF2B5EF4-FFF2-40B4-BE49-F238E27FC236}">
              <a16:creationId xmlns:a16="http://schemas.microsoft.com/office/drawing/2014/main" id="{00000000-0008-0000-04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15" name="Picture 114" descr="clip_clip_image002">
          <a:extLst>
            <a:ext uri="{FF2B5EF4-FFF2-40B4-BE49-F238E27FC236}">
              <a16:creationId xmlns:a16="http://schemas.microsoft.com/office/drawing/2014/main" id="{00000000-0008-0000-04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16" name="Picture 115" descr="clip_clip_image001">
          <a:extLst>
            <a:ext uri="{FF2B5EF4-FFF2-40B4-BE49-F238E27FC236}">
              <a16:creationId xmlns:a16="http://schemas.microsoft.com/office/drawing/2014/main" id="{00000000-0008-0000-04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17" name="Picture 116" descr="clip_clip_image002">
          <a:extLst>
            <a:ext uri="{FF2B5EF4-FFF2-40B4-BE49-F238E27FC236}">
              <a16:creationId xmlns:a16="http://schemas.microsoft.com/office/drawing/2014/main" id="{00000000-0008-0000-04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118" name="Text Box 1">
          <a:extLst>
            <a:ext uri="{FF2B5EF4-FFF2-40B4-BE49-F238E27FC236}">
              <a16:creationId xmlns:a16="http://schemas.microsoft.com/office/drawing/2014/main" id="{00000000-0008-0000-0400-000076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119" name="Text Box 9">
          <a:extLst>
            <a:ext uri="{FF2B5EF4-FFF2-40B4-BE49-F238E27FC236}">
              <a16:creationId xmlns:a16="http://schemas.microsoft.com/office/drawing/2014/main" id="{00000000-0008-0000-0400-000077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120" name="Picture 119" descr="clip_clip_image001">
          <a:extLst>
            <a:ext uri="{FF2B5EF4-FFF2-40B4-BE49-F238E27FC236}">
              <a16:creationId xmlns:a16="http://schemas.microsoft.com/office/drawing/2014/main" id="{00000000-0008-0000-04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1" name="Picture 120" descr="clip_clip_image002">
          <a:extLst>
            <a:ext uri="{FF2B5EF4-FFF2-40B4-BE49-F238E27FC236}">
              <a16:creationId xmlns:a16="http://schemas.microsoft.com/office/drawing/2014/main" id="{00000000-0008-0000-04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2" name="Picture 121" descr="clip_clip_image001">
          <a:extLst>
            <a:ext uri="{FF2B5EF4-FFF2-40B4-BE49-F238E27FC236}">
              <a16:creationId xmlns:a16="http://schemas.microsoft.com/office/drawing/2014/main" id="{00000000-0008-0000-04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3" name="Picture 122" descr="clip_clip_image002">
          <a:extLst>
            <a:ext uri="{FF2B5EF4-FFF2-40B4-BE49-F238E27FC236}">
              <a16:creationId xmlns:a16="http://schemas.microsoft.com/office/drawing/2014/main" id="{00000000-0008-0000-04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124" name="Text Box 1">
          <a:extLst>
            <a:ext uri="{FF2B5EF4-FFF2-40B4-BE49-F238E27FC236}">
              <a16:creationId xmlns:a16="http://schemas.microsoft.com/office/drawing/2014/main" id="{00000000-0008-0000-0400-00007C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125" name="Text Box 9">
          <a:extLst>
            <a:ext uri="{FF2B5EF4-FFF2-40B4-BE49-F238E27FC236}">
              <a16:creationId xmlns:a16="http://schemas.microsoft.com/office/drawing/2014/main" id="{00000000-0008-0000-0400-00007D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126" name="Picture 125" descr="clip_clip_image001">
          <a:extLst>
            <a:ext uri="{FF2B5EF4-FFF2-40B4-BE49-F238E27FC236}">
              <a16:creationId xmlns:a16="http://schemas.microsoft.com/office/drawing/2014/main" id="{00000000-0008-0000-04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7" name="Picture 126" descr="clip_clip_image002">
          <a:extLst>
            <a:ext uri="{FF2B5EF4-FFF2-40B4-BE49-F238E27FC236}">
              <a16:creationId xmlns:a16="http://schemas.microsoft.com/office/drawing/2014/main" id="{00000000-0008-0000-04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8" name="Picture 127" descr="clip_clip_image001">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29" name="Picture 128" descr="clip_clip_image002">
          <a:extLst>
            <a:ext uri="{FF2B5EF4-FFF2-40B4-BE49-F238E27FC236}">
              <a16:creationId xmlns:a16="http://schemas.microsoft.com/office/drawing/2014/main" id="{00000000-0008-0000-04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3891" cy="215411"/>
    <xdr:sp macro="" textlink="">
      <xdr:nvSpPr>
        <xdr:cNvPr id="130" name="Text Box 1">
          <a:extLst>
            <a:ext uri="{FF2B5EF4-FFF2-40B4-BE49-F238E27FC236}">
              <a16:creationId xmlns:a16="http://schemas.microsoft.com/office/drawing/2014/main" id="{00000000-0008-0000-0400-000082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3891" cy="215411"/>
    <xdr:sp macro="" textlink="">
      <xdr:nvSpPr>
        <xdr:cNvPr id="131" name="Text Box 9">
          <a:extLst>
            <a:ext uri="{FF2B5EF4-FFF2-40B4-BE49-F238E27FC236}">
              <a16:creationId xmlns:a16="http://schemas.microsoft.com/office/drawing/2014/main" id="{00000000-0008-0000-0400-000083000000}"/>
            </a:ext>
          </a:extLst>
        </xdr:cNvPr>
        <xdr:cNvSpPr txBox="1">
          <a:spLocks noChangeArrowheads="1"/>
        </xdr:cNvSpPr>
      </xdr:nvSpPr>
      <xdr:spPr bwMode="auto">
        <a:xfrm>
          <a:off x="14004925" y="37592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18</xdr:row>
      <xdr:rowOff>0</xdr:rowOff>
    </xdr:from>
    <xdr:ext cx="76200" cy="260350"/>
    <xdr:pic>
      <xdr:nvPicPr>
        <xdr:cNvPr id="132" name="Picture 11" descr="clip_clip_image001">
          <a:extLst>
            <a:ext uri="{FF2B5EF4-FFF2-40B4-BE49-F238E27FC236}">
              <a16:creationId xmlns:a16="http://schemas.microsoft.com/office/drawing/2014/main" id="{00000000-0008-0000-04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33" name="Picture 12" descr="clip_clip_image002">
          <a:extLst>
            <a:ext uri="{FF2B5EF4-FFF2-40B4-BE49-F238E27FC236}">
              <a16:creationId xmlns:a16="http://schemas.microsoft.com/office/drawing/2014/main" id="{00000000-0008-0000-04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34" name="Picture 13" descr="clip_clip_image001">
          <a:extLst>
            <a:ext uri="{FF2B5EF4-FFF2-40B4-BE49-F238E27FC236}">
              <a16:creationId xmlns:a16="http://schemas.microsoft.com/office/drawing/2014/main" id="{00000000-0008-0000-04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18</xdr:row>
      <xdr:rowOff>0</xdr:rowOff>
    </xdr:from>
    <xdr:ext cx="76200" cy="260350"/>
    <xdr:pic>
      <xdr:nvPicPr>
        <xdr:cNvPr id="135" name="Picture 14" descr="clip_clip_image002">
          <a:extLst>
            <a:ext uri="{FF2B5EF4-FFF2-40B4-BE49-F238E27FC236}">
              <a16:creationId xmlns:a16="http://schemas.microsoft.com/office/drawing/2014/main" id="{00000000-0008-0000-04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37592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36" name="Text Box 1">
          <a:extLst>
            <a:ext uri="{FF2B5EF4-FFF2-40B4-BE49-F238E27FC236}">
              <a16:creationId xmlns:a16="http://schemas.microsoft.com/office/drawing/2014/main" id="{00000000-0008-0000-0400-000088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37" name="Text Box 9">
          <a:extLst>
            <a:ext uri="{FF2B5EF4-FFF2-40B4-BE49-F238E27FC236}">
              <a16:creationId xmlns:a16="http://schemas.microsoft.com/office/drawing/2014/main" id="{00000000-0008-0000-0400-000089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38" name="Picture 137" descr="clip_clip_image001">
          <a:extLst>
            <a:ext uri="{FF2B5EF4-FFF2-40B4-BE49-F238E27FC236}">
              <a16:creationId xmlns:a16="http://schemas.microsoft.com/office/drawing/2014/main" id="{00000000-0008-0000-04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39" name="Picture 138" descr="clip_clip_image002">
          <a:extLst>
            <a:ext uri="{FF2B5EF4-FFF2-40B4-BE49-F238E27FC236}">
              <a16:creationId xmlns:a16="http://schemas.microsoft.com/office/drawing/2014/main" id="{00000000-0008-0000-04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40" name="Picture 139" descr="clip_clip_image001">
          <a:extLst>
            <a:ext uri="{FF2B5EF4-FFF2-40B4-BE49-F238E27FC236}">
              <a16:creationId xmlns:a16="http://schemas.microsoft.com/office/drawing/2014/main" id="{00000000-0008-0000-04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41" name="Picture 140" descr="clip_clip_image002">
          <a:extLst>
            <a:ext uri="{FF2B5EF4-FFF2-40B4-BE49-F238E27FC236}">
              <a16:creationId xmlns:a16="http://schemas.microsoft.com/office/drawing/2014/main" id="{00000000-0008-0000-04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42" name="Text Box 1">
          <a:extLst>
            <a:ext uri="{FF2B5EF4-FFF2-40B4-BE49-F238E27FC236}">
              <a16:creationId xmlns:a16="http://schemas.microsoft.com/office/drawing/2014/main" id="{00000000-0008-0000-0400-00008E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43" name="Text Box 9">
          <a:extLst>
            <a:ext uri="{FF2B5EF4-FFF2-40B4-BE49-F238E27FC236}">
              <a16:creationId xmlns:a16="http://schemas.microsoft.com/office/drawing/2014/main" id="{00000000-0008-0000-0400-00008F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44" name="Picture 143" descr="clip_clip_image001">
          <a:extLst>
            <a:ext uri="{FF2B5EF4-FFF2-40B4-BE49-F238E27FC236}">
              <a16:creationId xmlns:a16="http://schemas.microsoft.com/office/drawing/2014/main" id="{00000000-0008-0000-04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45" name="Picture 144" descr="clip_clip_image002">
          <a:extLst>
            <a:ext uri="{FF2B5EF4-FFF2-40B4-BE49-F238E27FC236}">
              <a16:creationId xmlns:a16="http://schemas.microsoft.com/office/drawing/2014/main" id="{00000000-0008-0000-04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46" name="Picture 145" descr="clip_clip_image001">
          <a:extLst>
            <a:ext uri="{FF2B5EF4-FFF2-40B4-BE49-F238E27FC236}">
              <a16:creationId xmlns:a16="http://schemas.microsoft.com/office/drawing/2014/main" id="{00000000-0008-0000-04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47" name="Picture 146" descr="clip_clip_image002">
          <a:extLst>
            <a:ext uri="{FF2B5EF4-FFF2-40B4-BE49-F238E27FC236}">
              <a16:creationId xmlns:a16="http://schemas.microsoft.com/office/drawing/2014/main" id="{00000000-0008-0000-04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48" name="Text Box 1">
          <a:extLst>
            <a:ext uri="{FF2B5EF4-FFF2-40B4-BE49-F238E27FC236}">
              <a16:creationId xmlns:a16="http://schemas.microsoft.com/office/drawing/2014/main" id="{00000000-0008-0000-0400-000094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49" name="Text Box 9">
          <a:extLst>
            <a:ext uri="{FF2B5EF4-FFF2-40B4-BE49-F238E27FC236}">
              <a16:creationId xmlns:a16="http://schemas.microsoft.com/office/drawing/2014/main" id="{00000000-0008-0000-0400-000095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50" name="Picture 149" descr="clip_clip_image001">
          <a:extLst>
            <a:ext uri="{FF2B5EF4-FFF2-40B4-BE49-F238E27FC236}">
              <a16:creationId xmlns:a16="http://schemas.microsoft.com/office/drawing/2014/main" id="{00000000-0008-0000-04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1" name="Picture 150" descr="clip_clip_image002">
          <a:extLst>
            <a:ext uri="{FF2B5EF4-FFF2-40B4-BE49-F238E27FC236}">
              <a16:creationId xmlns:a16="http://schemas.microsoft.com/office/drawing/2014/main" id="{00000000-0008-0000-04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2" name="Picture 151" descr="clip_clip_image001">
          <a:extLst>
            <a:ext uri="{FF2B5EF4-FFF2-40B4-BE49-F238E27FC236}">
              <a16:creationId xmlns:a16="http://schemas.microsoft.com/office/drawing/2014/main" id="{00000000-0008-0000-04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3" name="Picture 152" descr="clip_clip_image002">
          <a:extLst>
            <a:ext uri="{FF2B5EF4-FFF2-40B4-BE49-F238E27FC236}">
              <a16:creationId xmlns:a16="http://schemas.microsoft.com/office/drawing/2014/main" id="{00000000-0008-0000-04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54" name="Text Box 1">
          <a:extLst>
            <a:ext uri="{FF2B5EF4-FFF2-40B4-BE49-F238E27FC236}">
              <a16:creationId xmlns:a16="http://schemas.microsoft.com/office/drawing/2014/main" id="{00000000-0008-0000-0400-00009A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55" name="Text Box 9">
          <a:extLst>
            <a:ext uri="{FF2B5EF4-FFF2-40B4-BE49-F238E27FC236}">
              <a16:creationId xmlns:a16="http://schemas.microsoft.com/office/drawing/2014/main" id="{00000000-0008-0000-0400-00009B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56" name="Picture 155" descr="clip_clip_image001">
          <a:extLst>
            <a:ext uri="{FF2B5EF4-FFF2-40B4-BE49-F238E27FC236}">
              <a16:creationId xmlns:a16="http://schemas.microsoft.com/office/drawing/2014/main" id="{00000000-0008-0000-04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7" name="Picture 156" descr="clip_clip_image002">
          <a:extLst>
            <a:ext uri="{FF2B5EF4-FFF2-40B4-BE49-F238E27FC236}">
              <a16:creationId xmlns:a16="http://schemas.microsoft.com/office/drawing/2014/main" id="{00000000-0008-0000-04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8" name="Picture 157" descr="clip_clip_image001">
          <a:extLst>
            <a:ext uri="{FF2B5EF4-FFF2-40B4-BE49-F238E27FC236}">
              <a16:creationId xmlns:a16="http://schemas.microsoft.com/office/drawing/2014/main" id="{00000000-0008-0000-04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59" name="Picture 158" descr="clip_clip_image002">
          <a:extLst>
            <a:ext uri="{FF2B5EF4-FFF2-40B4-BE49-F238E27FC236}">
              <a16:creationId xmlns:a16="http://schemas.microsoft.com/office/drawing/2014/main" id="{00000000-0008-0000-04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60" name="Text Box 1">
          <a:extLst>
            <a:ext uri="{FF2B5EF4-FFF2-40B4-BE49-F238E27FC236}">
              <a16:creationId xmlns:a16="http://schemas.microsoft.com/office/drawing/2014/main" id="{00000000-0008-0000-0400-0000A0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61" name="Text Box 9">
          <a:extLst>
            <a:ext uri="{FF2B5EF4-FFF2-40B4-BE49-F238E27FC236}">
              <a16:creationId xmlns:a16="http://schemas.microsoft.com/office/drawing/2014/main" id="{00000000-0008-0000-0400-0000A1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62" name="Picture 161" descr="clip_clip_image001">
          <a:extLst>
            <a:ext uri="{FF2B5EF4-FFF2-40B4-BE49-F238E27FC236}">
              <a16:creationId xmlns:a16="http://schemas.microsoft.com/office/drawing/2014/main" id="{00000000-0008-0000-04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63" name="Picture 162" descr="clip_clip_image002">
          <a:extLst>
            <a:ext uri="{FF2B5EF4-FFF2-40B4-BE49-F238E27FC236}">
              <a16:creationId xmlns:a16="http://schemas.microsoft.com/office/drawing/2014/main" id="{00000000-0008-0000-04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64" name="Picture 163" descr="clip_clip_image001">
          <a:extLst>
            <a:ext uri="{FF2B5EF4-FFF2-40B4-BE49-F238E27FC236}">
              <a16:creationId xmlns:a16="http://schemas.microsoft.com/office/drawing/2014/main" id="{00000000-0008-0000-04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65" name="Picture 164" descr="clip_clip_image002">
          <a:extLst>
            <a:ext uri="{FF2B5EF4-FFF2-40B4-BE49-F238E27FC236}">
              <a16:creationId xmlns:a16="http://schemas.microsoft.com/office/drawing/2014/main" id="{00000000-0008-0000-04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3891" cy="215411"/>
    <xdr:sp macro="" textlink="">
      <xdr:nvSpPr>
        <xdr:cNvPr id="166" name="Text Box 1">
          <a:extLst>
            <a:ext uri="{FF2B5EF4-FFF2-40B4-BE49-F238E27FC236}">
              <a16:creationId xmlns:a16="http://schemas.microsoft.com/office/drawing/2014/main" id="{00000000-0008-0000-0400-0000A6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3891" cy="215411"/>
    <xdr:sp macro="" textlink="">
      <xdr:nvSpPr>
        <xdr:cNvPr id="167" name="Text Box 9">
          <a:extLst>
            <a:ext uri="{FF2B5EF4-FFF2-40B4-BE49-F238E27FC236}">
              <a16:creationId xmlns:a16="http://schemas.microsoft.com/office/drawing/2014/main" id="{00000000-0008-0000-0400-0000A7000000}"/>
            </a:ext>
          </a:extLst>
        </xdr:cNvPr>
        <xdr:cNvSpPr txBox="1">
          <a:spLocks noChangeArrowheads="1"/>
        </xdr:cNvSpPr>
      </xdr:nvSpPr>
      <xdr:spPr bwMode="auto">
        <a:xfrm>
          <a:off x="14004925" y="414528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20</xdr:row>
      <xdr:rowOff>0</xdr:rowOff>
    </xdr:from>
    <xdr:ext cx="76200" cy="260350"/>
    <xdr:pic>
      <xdr:nvPicPr>
        <xdr:cNvPr id="168" name="Picture 11" descr="clip_clip_image001">
          <a:extLst>
            <a:ext uri="{FF2B5EF4-FFF2-40B4-BE49-F238E27FC236}">
              <a16:creationId xmlns:a16="http://schemas.microsoft.com/office/drawing/2014/main" id="{00000000-0008-0000-04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69" name="Picture 12" descr="clip_clip_image002">
          <a:extLst>
            <a:ext uri="{FF2B5EF4-FFF2-40B4-BE49-F238E27FC236}">
              <a16:creationId xmlns:a16="http://schemas.microsoft.com/office/drawing/2014/main" id="{00000000-0008-0000-04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70" name="Picture 13" descr="clip_clip_image001">
          <a:extLst>
            <a:ext uri="{FF2B5EF4-FFF2-40B4-BE49-F238E27FC236}">
              <a16:creationId xmlns:a16="http://schemas.microsoft.com/office/drawing/2014/main" id="{00000000-0008-0000-04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20</xdr:row>
      <xdr:rowOff>0</xdr:rowOff>
    </xdr:from>
    <xdr:ext cx="76200" cy="260350"/>
    <xdr:pic>
      <xdr:nvPicPr>
        <xdr:cNvPr id="171" name="Picture 14" descr="clip_clip_image002">
          <a:extLst>
            <a:ext uri="{FF2B5EF4-FFF2-40B4-BE49-F238E27FC236}">
              <a16:creationId xmlns:a16="http://schemas.microsoft.com/office/drawing/2014/main" id="{00000000-0008-0000-04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14528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172" name="Text Box 1">
          <a:extLst>
            <a:ext uri="{FF2B5EF4-FFF2-40B4-BE49-F238E27FC236}">
              <a16:creationId xmlns:a16="http://schemas.microsoft.com/office/drawing/2014/main" id="{00000000-0008-0000-0400-0000AC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173" name="Text Box 9">
          <a:extLst>
            <a:ext uri="{FF2B5EF4-FFF2-40B4-BE49-F238E27FC236}">
              <a16:creationId xmlns:a16="http://schemas.microsoft.com/office/drawing/2014/main" id="{00000000-0008-0000-0400-0000AD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174" name="Picture 173" descr="clip_clip_image001">
          <a:extLst>
            <a:ext uri="{FF2B5EF4-FFF2-40B4-BE49-F238E27FC236}">
              <a16:creationId xmlns:a16="http://schemas.microsoft.com/office/drawing/2014/main" id="{00000000-0008-0000-04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76" name="Picture 175" descr="clip_clip_image001">
          <a:extLst>
            <a:ext uri="{FF2B5EF4-FFF2-40B4-BE49-F238E27FC236}">
              <a16:creationId xmlns:a16="http://schemas.microsoft.com/office/drawing/2014/main" id="{00000000-0008-0000-04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77" name="Picture 176" descr="clip_clip_image002">
          <a:extLst>
            <a:ext uri="{FF2B5EF4-FFF2-40B4-BE49-F238E27FC236}">
              <a16:creationId xmlns:a16="http://schemas.microsoft.com/office/drawing/2014/main" id="{00000000-0008-0000-04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178" name="Text Box 1">
          <a:extLst>
            <a:ext uri="{FF2B5EF4-FFF2-40B4-BE49-F238E27FC236}">
              <a16:creationId xmlns:a16="http://schemas.microsoft.com/office/drawing/2014/main" id="{00000000-0008-0000-0400-0000B2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179" name="Text Box 9">
          <a:extLst>
            <a:ext uri="{FF2B5EF4-FFF2-40B4-BE49-F238E27FC236}">
              <a16:creationId xmlns:a16="http://schemas.microsoft.com/office/drawing/2014/main" id="{00000000-0008-0000-0400-0000B3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180" name="Picture 179" descr="clip_clip_image001">
          <a:extLst>
            <a:ext uri="{FF2B5EF4-FFF2-40B4-BE49-F238E27FC236}">
              <a16:creationId xmlns:a16="http://schemas.microsoft.com/office/drawing/2014/main" id="{00000000-0008-0000-04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1" name="Picture 180" descr="clip_clip_image002">
          <a:extLst>
            <a:ext uri="{FF2B5EF4-FFF2-40B4-BE49-F238E27FC236}">
              <a16:creationId xmlns:a16="http://schemas.microsoft.com/office/drawing/2014/main" id="{00000000-0008-0000-04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2" name="Picture 181" descr="clip_clip_image001">
          <a:extLst>
            <a:ext uri="{FF2B5EF4-FFF2-40B4-BE49-F238E27FC236}">
              <a16:creationId xmlns:a16="http://schemas.microsoft.com/office/drawing/2014/main" id="{00000000-0008-0000-04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3" name="Picture 182" descr="clip_clip_image002">
          <a:extLst>
            <a:ext uri="{FF2B5EF4-FFF2-40B4-BE49-F238E27FC236}">
              <a16:creationId xmlns:a16="http://schemas.microsoft.com/office/drawing/2014/main" id="{00000000-0008-0000-04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184" name="Text Box 1">
          <a:extLst>
            <a:ext uri="{FF2B5EF4-FFF2-40B4-BE49-F238E27FC236}">
              <a16:creationId xmlns:a16="http://schemas.microsoft.com/office/drawing/2014/main" id="{00000000-0008-0000-0400-0000B8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185" name="Text Box 9">
          <a:extLst>
            <a:ext uri="{FF2B5EF4-FFF2-40B4-BE49-F238E27FC236}">
              <a16:creationId xmlns:a16="http://schemas.microsoft.com/office/drawing/2014/main" id="{00000000-0008-0000-0400-0000B9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186" name="Picture 185" descr="clip_clip_image001">
          <a:extLst>
            <a:ext uri="{FF2B5EF4-FFF2-40B4-BE49-F238E27FC236}">
              <a16:creationId xmlns:a16="http://schemas.microsoft.com/office/drawing/2014/main" id="{00000000-0008-0000-04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7" name="Picture 186" descr="clip_clip_image002">
          <a:extLst>
            <a:ext uri="{FF2B5EF4-FFF2-40B4-BE49-F238E27FC236}">
              <a16:creationId xmlns:a16="http://schemas.microsoft.com/office/drawing/2014/main" id="{00000000-0008-0000-04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8" name="Picture 187" descr="clip_clip_image001">
          <a:extLst>
            <a:ext uri="{FF2B5EF4-FFF2-40B4-BE49-F238E27FC236}">
              <a16:creationId xmlns:a16="http://schemas.microsoft.com/office/drawing/2014/main" id="{00000000-0008-0000-04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89" name="Picture 188" descr="clip_clip_image002">
          <a:extLst>
            <a:ext uri="{FF2B5EF4-FFF2-40B4-BE49-F238E27FC236}">
              <a16:creationId xmlns:a16="http://schemas.microsoft.com/office/drawing/2014/main" id="{00000000-0008-0000-04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190" name="Text Box 1">
          <a:extLst>
            <a:ext uri="{FF2B5EF4-FFF2-40B4-BE49-F238E27FC236}">
              <a16:creationId xmlns:a16="http://schemas.microsoft.com/office/drawing/2014/main" id="{00000000-0008-0000-0400-0000BE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191" name="Text Box 9">
          <a:extLst>
            <a:ext uri="{FF2B5EF4-FFF2-40B4-BE49-F238E27FC236}">
              <a16:creationId xmlns:a16="http://schemas.microsoft.com/office/drawing/2014/main" id="{00000000-0008-0000-0400-0000BF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192" name="Picture 191" descr="clip_clip_image001">
          <a:extLst>
            <a:ext uri="{FF2B5EF4-FFF2-40B4-BE49-F238E27FC236}">
              <a16:creationId xmlns:a16="http://schemas.microsoft.com/office/drawing/2014/main" id="{00000000-0008-0000-04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93" name="Picture 192" descr="clip_clip_image002">
          <a:extLst>
            <a:ext uri="{FF2B5EF4-FFF2-40B4-BE49-F238E27FC236}">
              <a16:creationId xmlns:a16="http://schemas.microsoft.com/office/drawing/2014/main" id="{00000000-0008-0000-04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94" name="Picture 193" descr="clip_clip_image001">
          <a:extLst>
            <a:ext uri="{FF2B5EF4-FFF2-40B4-BE49-F238E27FC236}">
              <a16:creationId xmlns:a16="http://schemas.microsoft.com/office/drawing/2014/main" id="{00000000-0008-0000-04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95" name="Picture 194" descr="clip_clip_image002">
          <a:extLst>
            <a:ext uri="{FF2B5EF4-FFF2-40B4-BE49-F238E27FC236}">
              <a16:creationId xmlns:a16="http://schemas.microsoft.com/office/drawing/2014/main" id="{00000000-0008-0000-04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196" name="Text Box 1">
          <a:extLst>
            <a:ext uri="{FF2B5EF4-FFF2-40B4-BE49-F238E27FC236}">
              <a16:creationId xmlns:a16="http://schemas.microsoft.com/office/drawing/2014/main" id="{00000000-0008-0000-0400-0000C4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197" name="Text Box 9">
          <a:extLst>
            <a:ext uri="{FF2B5EF4-FFF2-40B4-BE49-F238E27FC236}">
              <a16:creationId xmlns:a16="http://schemas.microsoft.com/office/drawing/2014/main" id="{00000000-0008-0000-0400-0000C5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198" name="Picture 197" descr="clip_clip_image001">
          <a:extLst>
            <a:ext uri="{FF2B5EF4-FFF2-40B4-BE49-F238E27FC236}">
              <a16:creationId xmlns:a16="http://schemas.microsoft.com/office/drawing/2014/main" id="{00000000-0008-0000-04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199" name="Picture 198" descr="clip_clip_image002">
          <a:extLst>
            <a:ext uri="{FF2B5EF4-FFF2-40B4-BE49-F238E27FC236}">
              <a16:creationId xmlns:a16="http://schemas.microsoft.com/office/drawing/2014/main" id="{00000000-0008-0000-04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00" name="Picture 199" descr="clip_clip_image001">
          <a:extLst>
            <a:ext uri="{FF2B5EF4-FFF2-40B4-BE49-F238E27FC236}">
              <a16:creationId xmlns:a16="http://schemas.microsoft.com/office/drawing/2014/main" id="{00000000-0008-0000-04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01" name="Picture 200" descr="clip_clip_image002">
          <a:extLst>
            <a:ext uri="{FF2B5EF4-FFF2-40B4-BE49-F238E27FC236}">
              <a16:creationId xmlns:a16="http://schemas.microsoft.com/office/drawing/2014/main" id="{00000000-0008-0000-04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202" name="Text Box 1">
          <a:extLst>
            <a:ext uri="{FF2B5EF4-FFF2-40B4-BE49-F238E27FC236}">
              <a16:creationId xmlns:a16="http://schemas.microsoft.com/office/drawing/2014/main" id="{00000000-0008-0000-0400-0000CA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203" name="Text Box 9">
          <a:extLst>
            <a:ext uri="{FF2B5EF4-FFF2-40B4-BE49-F238E27FC236}">
              <a16:creationId xmlns:a16="http://schemas.microsoft.com/office/drawing/2014/main" id="{00000000-0008-0000-0400-0000CB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204" name="Picture 203" descr="clip_clip_image001">
          <a:extLst>
            <a:ext uri="{FF2B5EF4-FFF2-40B4-BE49-F238E27FC236}">
              <a16:creationId xmlns:a16="http://schemas.microsoft.com/office/drawing/2014/main" id="{00000000-0008-0000-04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05" name="Picture 204" descr="clip_clip_image002">
          <a:extLst>
            <a:ext uri="{FF2B5EF4-FFF2-40B4-BE49-F238E27FC236}">
              <a16:creationId xmlns:a16="http://schemas.microsoft.com/office/drawing/2014/main" id="{00000000-0008-0000-04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06" name="Picture 205" descr="clip_clip_image001">
          <a:extLst>
            <a:ext uri="{FF2B5EF4-FFF2-40B4-BE49-F238E27FC236}">
              <a16:creationId xmlns:a16="http://schemas.microsoft.com/office/drawing/2014/main" id="{00000000-0008-0000-04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07" name="Picture 206" descr="clip_clip_image002">
          <a:extLst>
            <a:ext uri="{FF2B5EF4-FFF2-40B4-BE49-F238E27FC236}">
              <a16:creationId xmlns:a16="http://schemas.microsoft.com/office/drawing/2014/main" id="{00000000-0008-0000-04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3891" cy="215411"/>
    <xdr:sp macro="" textlink="">
      <xdr:nvSpPr>
        <xdr:cNvPr id="208" name="Text Box 1">
          <a:extLst>
            <a:ext uri="{FF2B5EF4-FFF2-40B4-BE49-F238E27FC236}">
              <a16:creationId xmlns:a16="http://schemas.microsoft.com/office/drawing/2014/main" id="{00000000-0008-0000-0400-0000D0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3891" cy="215411"/>
    <xdr:sp macro="" textlink="">
      <xdr:nvSpPr>
        <xdr:cNvPr id="209" name="Text Box 9">
          <a:extLst>
            <a:ext uri="{FF2B5EF4-FFF2-40B4-BE49-F238E27FC236}">
              <a16:creationId xmlns:a16="http://schemas.microsoft.com/office/drawing/2014/main" id="{00000000-0008-0000-0400-0000D1000000}"/>
            </a:ext>
          </a:extLst>
        </xdr:cNvPr>
        <xdr:cNvSpPr txBox="1">
          <a:spLocks noChangeArrowheads="1"/>
        </xdr:cNvSpPr>
      </xdr:nvSpPr>
      <xdr:spPr bwMode="auto">
        <a:xfrm>
          <a:off x="14004925" y="453136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2</xdr:row>
      <xdr:rowOff>0</xdr:rowOff>
    </xdr:from>
    <xdr:ext cx="76200" cy="260350"/>
    <xdr:pic>
      <xdr:nvPicPr>
        <xdr:cNvPr id="210" name="Picture 11" descr="clip_clip_image001">
          <a:extLst>
            <a:ext uri="{FF2B5EF4-FFF2-40B4-BE49-F238E27FC236}">
              <a16:creationId xmlns:a16="http://schemas.microsoft.com/office/drawing/2014/main" id="{00000000-0008-0000-04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11" name="Picture 12" descr="clip_clip_image002">
          <a:extLst>
            <a:ext uri="{FF2B5EF4-FFF2-40B4-BE49-F238E27FC236}">
              <a16:creationId xmlns:a16="http://schemas.microsoft.com/office/drawing/2014/main" id="{00000000-0008-0000-04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12" name="Picture 13" descr="clip_clip_image001">
          <a:extLst>
            <a:ext uri="{FF2B5EF4-FFF2-40B4-BE49-F238E27FC236}">
              <a16:creationId xmlns:a16="http://schemas.microsoft.com/office/drawing/2014/main" id="{00000000-0008-0000-04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652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2</xdr:row>
      <xdr:rowOff>0</xdr:rowOff>
    </xdr:from>
    <xdr:ext cx="76200" cy="260350"/>
    <xdr:pic>
      <xdr:nvPicPr>
        <xdr:cNvPr id="213" name="Picture 14" descr="clip_clip_image002">
          <a:extLst>
            <a:ext uri="{FF2B5EF4-FFF2-40B4-BE49-F238E27FC236}">
              <a16:creationId xmlns:a16="http://schemas.microsoft.com/office/drawing/2014/main" id="{00000000-0008-0000-04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1400" y="453136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xdr:col>
          <xdr:colOff>205740</xdr:colOff>
          <xdr:row>1</xdr:row>
          <xdr:rowOff>91440</xdr:rowOff>
        </xdr:from>
        <xdr:to>
          <xdr:col>4</xdr:col>
          <xdr:colOff>83820</xdr:colOff>
          <xdr:row>1</xdr:row>
          <xdr:rowOff>449580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Clear PP#1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23</xdr:row>
          <xdr:rowOff>30480</xdr:rowOff>
        </xdr:from>
        <xdr:to>
          <xdr:col>4</xdr:col>
          <xdr:colOff>91440</xdr:colOff>
          <xdr:row>23</xdr:row>
          <xdr:rowOff>411480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Clear PP#2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xdr:colOff>
          <xdr:row>47</xdr:row>
          <xdr:rowOff>53340</xdr:rowOff>
        </xdr:from>
        <xdr:to>
          <xdr:col>4</xdr:col>
          <xdr:colOff>91440</xdr:colOff>
          <xdr:row>47</xdr:row>
          <xdr:rowOff>434340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Clear All PP#3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289560</xdr:colOff>
          <xdr:row>1</xdr:row>
          <xdr:rowOff>121920</xdr:rowOff>
        </xdr:from>
        <xdr:to>
          <xdr:col>5</xdr:col>
          <xdr:colOff>236220</xdr:colOff>
          <xdr:row>1</xdr:row>
          <xdr:rowOff>381000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Clear Selected PP#1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312420</xdr:colOff>
          <xdr:row>23</xdr:row>
          <xdr:rowOff>83820</xdr:rowOff>
        </xdr:from>
        <xdr:to>
          <xdr:col>5</xdr:col>
          <xdr:colOff>579120</xdr:colOff>
          <xdr:row>23</xdr:row>
          <xdr:rowOff>365760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Clear Selected PP#2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220980</xdr:colOff>
          <xdr:row>47</xdr:row>
          <xdr:rowOff>91440</xdr:rowOff>
        </xdr:from>
        <xdr:to>
          <xdr:col>5</xdr:col>
          <xdr:colOff>426720</xdr:colOff>
          <xdr:row>47</xdr:row>
          <xdr:rowOff>373380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Helv"/>
                </a:rPr>
                <a:t>Clear Selected PP#3</a:t>
              </a:r>
            </a:p>
          </xdr:txBody>
        </xdr:sp>
        <xdr:clientData fPrintsWithSheet="0"/>
      </xdr:twoCellAnchor>
    </mc:Choice>
    <mc:Fallback/>
  </mc:AlternateContent>
  <xdr:oneCellAnchor>
    <xdr:from>
      <xdr:col>12</xdr:col>
      <xdr:colOff>0</xdr:colOff>
      <xdr:row>4</xdr:row>
      <xdr:rowOff>0</xdr:rowOff>
    </xdr:from>
    <xdr:ext cx="73891" cy="215411"/>
    <xdr:sp macro="" textlink="">
      <xdr:nvSpPr>
        <xdr:cNvPr id="217" name="Text Box 1">
          <a:extLst>
            <a:ext uri="{FF2B5EF4-FFF2-40B4-BE49-F238E27FC236}">
              <a16:creationId xmlns:a16="http://schemas.microsoft.com/office/drawing/2014/main" id="{00000000-0008-0000-0400-0000D9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3891" cy="215411"/>
    <xdr:sp macro="" textlink="">
      <xdr:nvSpPr>
        <xdr:cNvPr id="218" name="Text Box 9">
          <a:extLst>
            <a:ext uri="{FF2B5EF4-FFF2-40B4-BE49-F238E27FC236}">
              <a16:creationId xmlns:a16="http://schemas.microsoft.com/office/drawing/2014/main" id="{00000000-0008-0000-0400-0000DA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6200" cy="260350"/>
    <xdr:pic>
      <xdr:nvPicPr>
        <xdr:cNvPr id="219" name="Picture 218" descr="clip_clip_image001">
          <a:extLst>
            <a:ext uri="{FF2B5EF4-FFF2-40B4-BE49-F238E27FC236}">
              <a16:creationId xmlns:a16="http://schemas.microsoft.com/office/drawing/2014/main" id="{00000000-0008-0000-04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20" name="Picture 219" descr="clip_clip_image001">
          <a:extLst>
            <a:ext uri="{FF2B5EF4-FFF2-40B4-BE49-F238E27FC236}">
              <a16:creationId xmlns:a16="http://schemas.microsoft.com/office/drawing/2014/main" id="{00000000-0008-0000-04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21" name="Picture 220" descr="clip_clip_image002">
          <a:extLst>
            <a:ext uri="{FF2B5EF4-FFF2-40B4-BE49-F238E27FC236}">
              <a16:creationId xmlns:a16="http://schemas.microsoft.com/office/drawing/2014/main" id="{00000000-0008-0000-04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3891" cy="215411"/>
    <xdr:sp macro="" textlink="">
      <xdr:nvSpPr>
        <xdr:cNvPr id="222" name="Text Box 1">
          <a:extLst>
            <a:ext uri="{FF2B5EF4-FFF2-40B4-BE49-F238E27FC236}">
              <a16:creationId xmlns:a16="http://schemas.microsoft.com/office/drawing/2014/main" id="{00000000-0008-0000-0400-0000DE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3891" cy="215411"/>
    <xdr:sp macro="" textlink="">
      <xdr:nvSpPr>
        <xdr:cNvPr id="223" name="Text Box 9">
          <a:extLst>
            <a:ext uri="{FF2B5EF4-FFF2-40B4-BE49-F238E27FC236}">
              <a16:creationId xmlns:a16="http://schemas.microsoft.com/office/drawing/2014/main" id="{00000000-0008-0000-0400-0000DF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6200" cy="260350"/>
    <xdr:pic>
      <xdr:nvPicPr>
        <xdr:cNvPr id="224" name="Picture 223" descr="clip_clip_image001">
          <a:extLst>
            <a:ext uri="{FF2B5EF4-FFF2-40B4-BE49-F238E27FC236}">
              <a16:creationId xmlns:a16="http://schemas.microsoft.com/office/drawing/2014/main" id="{00000000-0008-0000-04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25" name="Picture 224" descr="clip_clip_image002">
          <a:extLst>
            <a:ext uri="{FF2B5EF4-FFF2-40B4-BE49-F238E27FC236}">
              <a16:creationId xmlns:a16="http://schemas.microsoft.com/office/drawing/2014/main" id="{00000000-0008-0000-04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26" name="Picture 225" descr="clip_clip_image001">
          <a:extLst>
            <a:ext uri="{FF2B5EF4-FFF2-40B4-BE49-F238E27FC236}">
              <a16:creationId xmlns:a16="http://schemas.microsoft.com/office/drawing/2014/main" id="{00000000-0008-0000-04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27" name="Picture 226" descr="clip_clip_image002">
          <a:extLst>
            <a:ext uri="{FF2B5EF4-FFF2-40B4-BE49-F238E27FC236}">
              <a16:creationId xmlns:a16="http://schemas.microsoft.com/office/drawing/2014/main" id="{00000000-0008-0000-04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3891" cy="215411"/>
    <xdr:sp macro="" textlink="">
      <xdr:nvSpPr>
        <xdr:cNvPr id="228" name="Text Box 1">
          <a:extLst>
            <a:ext uri="{FF2B5EF4-FFF2-40B4-BE49-F238E27FC236}">
              <a16:creationId xmlns:a16="http://schemas.microsoft.com/office/drawing/2014/main" id="{00000000-0008-0000-0400-0000E4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3891" cy="215411"/>
    <xdr:sp macro="" textlink="">
      <xdr:nvSpPr>
        <xdr:cNvPr id="229" name="Text Box 9">
          <a:extLst>
            <a:ext uri="{FF2B5EF4-FFF2-40B4-BE49-F238E27FC236}">
              <a16:creationId xmlns:a16="http://schemas.microsoft.com/office/drawing/2014/main" id="{00000000-0008-0000-0400-0000E5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6200" cy="260350"/>
    <xdr:pic>
      <xdr:nvPicPr>
        <xdr:cNvPr id="230" name="Picture 229" descr="clip_clip_image001">
          <a:extLst>
            <a:ext uri="{FF2B5EF4-FFF2-40B4-BE49-F238E27FC236}">
              <a16:creationId xmlns:a16="http://schemas.microsoft.com/office/drawing/2014/main" id="{00000000-0008-0000-04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31" name="Picture 230" descr="clip_clip_image002">
          <a:extLst>
            <a:ext uri="{FF2B5EF4-FFF2-40B4-BE49-F238E27FC236}">
              <a16:creationId xmlns:a16="http://schemas.microsoft.com/office/drawing/2014/main" id="{00000000-0008-0000-04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32" name="Picture 231" descr="clip_clip_image001">
          <a:extLst>
            <a:ext uri="{FF2B5EF4-FFF2-40B4-BE49-F238E27FC236}">
              <a16:creationId xmlns:a16="http://schemas.microsoft.com/office/drawing/2014/main" id="{00000000-0008-0000-04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33" name="Picture 232" descr="clip_clip_image002">
          <a:extLst>
            <a:ext uri="{FF2B5EF4-FFF2-40B4-BE49-F238E27FC236}">
              <a16:creationId xmlns:a16="http://schemas.microsoft.com/office/drawing/2014/main" id="{00000000-0008-0000-04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3891" cy="215411"/>
    <xdr:sp macro="" textlink="">
      <xdr:nvSpPr>
        <xdr:cNvPr id="234" name="Text Box 1">
          <a:extLst>
            <a:ext uri="{FF2B5EF4-FFF2-40B4-BE49-F238E27FC236}">
              <a16:creationId xmlns:a16="http://schemas.microsoft.com/office/drawing/2014/main" id="{00000000-0008-0000-0400-0000EA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3891" cy="215411"/>
    <xdr:sp macro="" textlink="">
      <xdr:nvSpPr>
        <xdr:cNvPr id="235" name="Text Box 9">
          <a:extLst>
            <a:ext uri="{FF2B5EF4-FFF2-40B4-BE49-F238E27FC236}">
              <a16:creationId xmlns:a16="http://schemas.microsoft.com/office/drawing/2014/main" id="{00000000-0008-0000-0400-0000EB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6200" cy="260350"/>
    <xdr:pic>
      <xdr:nvPicPr>
        <xdr:cNvPr id="236" name="Picture 235" descr="clip_clip_image001">
          <a:extLst>
            <a:ext uri="{FF2B5EF4-FFF2-40B4-BE49-F238E27FC236}">
              <a16:creationId xmlns:a16="http://schemas.microsoft.com/office/drawing/2014/main" id="{00000000-0008-0000-04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37" name="Picture 236" descr="clip_clip_image002">
          <a:extLst>
            <a:ext uri="{FF2B5EF4-FFF2-40B4-BE49-F238E27FC236}">
              <a16:creationId xmlns:a16="http://schemas.microsoft.com/office/drawing/2014/main" id="{00000000-0008-0000-04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38" name="Picture 237" descr="clip_clip_image001">
          <a:extLst>
            <a:ext uri="{FF2B5EF4-FFF2-40B4-BE49-F238E27FC236}">
              <a16:creationId xmlns:a16="http://schemas.microsoft.com/office/drawing/2014/main" id="{00000000-0008-0000-04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39" name="Picture 238" descr="clip_clip_image002">
          <a:extLst>
            <a:ext uri="{FF2B5EF4-FFF2-40B4-BE49-F238E27FC236}">
              <a16:creationId xmlns:a16="http://schemas.microsoft.com/office/drawing/2014/main" id="{00000000-0008-0000-04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3891" cy="215411"/>
    <xdr:sp macro="" textlink="">
      <xdr:nvSpPr>
        <xdr:cNvPr id="240" name="Text Box 1">
          <a:extLst>
            <a:ext uri="{FF2B5EF4-FFF2-40B4-BE49-F238E27FC236}">
              <a16:creationId xmlns:a16="http://schemas.microsoft.com/office/drawing/2014/main" id="{00000000-0008-0000-0400-0000F0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3891" cy="215411"/>
    <xdr:sp macro="" textlink="">
      <xdr:nvSpPr>
        <xdr:cNvPr id="241" name="Text Box 9">
          <a:extLst>
            <a:ext uri="{FF2B5EF4-FFF2-40B4-BE49-F238E27FC236}">
              <a16:creationId xmlns:a16="http://schemas.microsoft.com/office/drawing/2014/main" id="{00000000-0008-0000-0400-0000F1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6200" cy="260350"/>
    <xdr:pic>
      <xdr:nvPicPr>
        <xdr:cNvPr id="242" name="Picture 241" descr="clip_clip_image001">
          <a:extLst>
            <a:ext uri="{FF2B5EF4-FFF2-40B4-BE49-F238E27FC236}">
              <a16:creationId xmlns:a16="http://schemas.microsoft.com/office/drawing/2014/main" id="{00000000-0008-0000-04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43" name="Picture 242" descr="clip_clip_image002">
          <a:extLst>
            <a:ext uri="{FF2B5EF4-FFF2-40B4-BE49-F238E27FC236}">
              <a16:creationId xmlns:a16="http://schemas.microsoft.com/office/drawing/2014/main" id="{00000000-0008-0000-04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44" name="Picture 243" descr="clip_clip_image001">
          <a:extLst>
            <a:ext uri="{FF2B5EF4-FFF2-40B4-BE49-F238E27FC236}">
              <a16:creationId xmlns:a16="http://schemas.microsoft.com/office/drawing/2014/main" id="{00000000-0008-0000-04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45" name="Picture 244" descr="clip_clip_image002">
          <a:extLst>
            <a:ext uri="{FF2B5EF4-FFF2-40B4-BE49-F238E27FC236}">
              <a16:creationId xmlns:a16="http://schemas.microsoft.com/office/drawing/2014/main" id="{00000000-0008-0000-04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3891" cy="215411"/>
    <xdr:sp macro="" textlink="">
      <xdr:nvSpPr>
        <xdr:cNvPr id="246" name="Text Box 1">
          <a:extLst>
            <a:ext uri="{FF2B5EF4-FFF2-40B4-BE49-F238E27FC236}">
              <a16:creationId xmlns:a16="http://schemas.microsoft.com/office/drawing/2014/main" id="{00000000-0008-0000-0400-0000F6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3891" cy="215411"/>
    <xdr:sp macro="" textlink="">
      <xdr:nvSpPr>
        <xdr:cNvPr id="247" name="Text Box 9">
          <a:extLst>
            <a:ext uri="{FF2B5EF4-FFF2-40B4-BE49-F238E27FC236}">
              <a16:creationId xmlns:a16="http://schemas.microsoft.com/office/drawing/2014/main" id="{00000000-0008-0000-0400-0000F7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6200" cy="260350"/>
    <xdr:pic>
      <xdr:nvPicPr>
        <xdr:cNvPr id="248" name="Picture 247" descr="clip_clip_image001">
          <a:extLst>
            <a:ext uri="{FF2B5EF4-FFF2-40B4-BE49-F238E27FC236}">
              <a16:creationId xmlns:a16="http://schemas.microsoft.com/office/drawing/2014/main" id="{00000000-0008-0000-04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49" name="Picture 248" descr="clip_clip_image002">
          <a:extLst>
            <a:ext uri="{FF2B5EF4-FFF2-40B4-BE49-F238E27FC236}">
              <a16:creationId xmlns:a16="http://schemas.microsoft.com/office/drawing/2014/main" id="{00000000-0008-0000-04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50" name="Picture 249" descr="clip_clip_image001">
          <a:extLst>
            <a:ext uri="{FF2B5EF4-FFF2-40B4-BE49-F238E27FC236}">
              <a16:creationId xmlns:a16="http://schemas.microsoft.com/office/drawing/2014/main" id="{00000000-0008-0000-04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51" name="Picture 250" descr="clip_clip_image002">
          <a:extLst>
            <a:ext uri="{FF2B5EF4-FFF2-40B4-BE49-F238E27FC236}">
              <a16:creationId xmlns:a16="http://schemas.microsoft.com/office/drawing/2014/main" id="{00000000-0008-0000-04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3891" cy="215411"/>
    <xdr:sp macro="" textlink="">
      <xdr:nvSpPr>
        <xdr:cNvPr id="252" name="Text Box 1">
          <a:extLst>
            <a:ext uri="{FF2B5EF4-FFF2-40B4-BE49-F238E27FC236}">
              <a16:creationId xmlns:a16="http://schemas.microsoft.com/office/drawing/2014/main" id="{00000000-0008-0000-0400-0000FC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3891" cy="215411"/>
    <xdr:sp macro="" textlink="">
      <xdr:nvSpPr>
        <xdr:cNvPr id="253" name="Text Box 9">
          <a:extLst>
            <a:ext uri="{FF2B5EF4-FFF2-40B4-BE49-F238E27FC236}">
              <a16:creationId xmlns:a16="http://schemas.microsoft.com/office/drawing/2014/main" id="{00000000-0008-0000-0400-0000FD000000}"/>
            </a:ext>
          </a:extLst>
        </xdr:cNvPr>
        <xdr:cNvSpPr txBox="1">
          <a:spLocks noChangeArrowheads="1"/>
        </xdr:cNvSpPr>
      </xdr:nvSpPr>
      <xdr:spPr bwMode="auto">
        <a:xfrm>
          <a:off x="10454640" y="1320800"/>
          <a:ext cx="73891" cy="2154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clientData/>
  </xdr:oneCellAnchor>
  <xdr:oneCellAnchor>
    <xdr:from>
      <xdr:col>12</xdr:col>
      <xdr:colOff>0</xdr:colOff>
      <xdr:row>4</xdr:row>
      <xdr:rowOff>0</xdr:rowOff>
    </xdr:from>
    <xdr:ext cx="76200" cy="260350"/>
    <xdr:pic>
      <xdr:nvPicPr>
        <xdr:cNvPr id="254" name="Picture 11" descr="clip_clip_image001">
          <a:extLst>
            <a:ext uri="{FF2B5EF4-FFF2-40B4-BE49-F238E27FC236}">
              <a16:creationId xmlns:a16="http://schemas.microsoft.com/office/drawing/2014/main" id="{00000000-0008-0000-04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55" name="Picture 12" descr="clip_clip_image002">
          <a:extLst>
            <a:ext uri="{FF2B5EF4-FFF2-40B4-BE49-F238E27FC236}">
              <a16:creationId xmlns:a16="http://schemas.microsoft.com/office/drawing/2014/main" id="{00000000-0008-0000-04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56" name="Picture 13" descr="clip_clip_image001">
          <a:extLst>
            <a:ext uri="{FF2B5EF4-FFF2-40B4-BE49-F238E27FC236}">
              <a16:creationId xmlns:a16="http://schemas.microsoft.com/office/drawing/2014/main" id="{00000000-0008-0000-04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12</xdr:col>
      <xdr:colOff>0</xdr:colOff>
      <xdr:row>4</xdr:row>
      <xdr:rowOff>0</xdr:rowOff>
    </xdr:from>
    <xdr:ext cx="76200" cy="260350"/>
    <xdr:pic>
      <xdr:nvPicPr>
        <xdr:cNvPr id="257" name="Picture 14" descr="clip_clip_image002">
          <a:extLst>
            <a:ext uri="{FF2B5EF4-FFF2-40B4-BE49-F238E27FC236}">
              <a16:creationId xmlns:a16="http://schemas.microsoft.com/office/drawing/2014/main" id="{00000000-0008-0000-04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4640" y="1320800"/>
          <a:ext cx="76200" cy="260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oneCellAnchor>
    <xdr:from>
      <xdr:col>4</xdr:col>
      <xdr:colOff>1000125</xdr:colOff>
      <xdr:row>1</xdr:row>
      <xdr:rowOff>47625</xdr:rowOff>
    </xdr:from>
    <xdr:ext cx="1443772" cy="176290"/>
    <xdr:sp macro="[0]!Clear_Phase_Lines" textlink="">
      <xdr:nvSpPr>
        <xdr:cNvPr id="1052823" name="AutoShape 1">
          <a:extLst>
            <a:ext uri="{FF2B5EF4-FFF2-40B4-BE49-F238E27FC236}">
              <a16:creationId xmlns:a16="http://schemas.microsoft.com/office/drawing/2014/main" id="{00000000-0008-0000-0500-000097101000}"/>
            </a:ext>
          </a:extLst>
        </xdr:cNvPr>
        <xdr:cNvSpPr>
          <a:spLocks noChangeArrowheads="1"/>
        </xdr:cNvSpPr>
      </xdr:nvSpPr>
      <xdr:spPr bwMode="auto">
        <a:xfrm>
          <a:off x="3657600" y="209550"/>
          <a:ext cx="1443772" cy="176290"/>
        </a:xfrm>
        <a:prstGeom prst="roundRect">
          <a:avLst>
            <a:gd name="adj" fmla="val 16667"/>
          </a:avLst>
        </a:prstGeom>
        <a:solidFill>
          <a:srgbClr xmlns:mc="http://schemas.openxmlformats.org/markup-compatibility/2006" xmlns:a14="http://schemas.microsoft.com/office/drawing/2010/main" val="F20884" mc:Ignorable="a14" a14:legacySpreadsheetColorIndex="14"/>
        </a:solidFill>
        <a:ln>
          <a:noFill/>
        </a:ln>
        <a:effectLst>
          <a:outerShdw dist="35921" dir="2700000" algn="ctr" rotWithShape="0">
            <a:srgbClr val="808080">
              <a:alpha val="74997"/>
            </a:srgbClr>
          </a:outerShdw>
        </a:effectLst>
        <a:extLst>
          <a:ext uri="{91240B29-F687-4F45-9708-019B960494DF}">
            <a14:hiddenLine xmlns:a14="http://schemas.microsoft.com/office/drawing/2010/main" w="1">
              <a:solidFill>
                <a:srgbClr xmlns:mc="http://schemas.openxmlformats.org/markup-compatibility/2006" val="FFFFFF" mc:Ignorable="a14" a14:legacySpreadsheetColorIndex="65"/>
              </a:solidFill>
              <a:round/>
              <a:headEnd/>
              <a:tailEnd/>
            </a14:hiddenLine>
          </a:ext>
        </a:extLst>
      </xdr:spPr>
      <xdr:txBody>
        <a:bodyPr wrap="none" lIns="18288" tIns="18288" rIns="0" bIns="0" anchor="t" upright="1">
          <a:spAutoFit/>
        </a:bodyPr>
        <a:lstStyle/>
        <a:p>
          <a:pPr algn="l" rtl="0">
            <a:defRPr sz="1000"/>
          </a:pPr>
          <a:r>
            <a:rPr lang="en-US" sz="900" b="0" i="0" u="none" strike="noStrike" baseline="0">
              <a:solidFill>
                <a:srgbClr val="000000"/>
              </a:solidFill>
              <a:latin typeface="Helv"/>
            </a:rPr>
            <a:t>CLEAR ALL PHASE LINES</a:t>
          </a:r>
          <a:endParaRPr lang="en-US"/>
        </a:p>
      </xdr:txBody>
    </xdr:sp>
    <xdr:clientData/>
  </xdr:oneCellAnchor>
  <xdr:twoCellAnchor>
    <xdr:from>
      <xdr:col>12</xdr:col>
      <xdr:colOff>342900</xdr:colOff>
      <xdr:row>13</xdr:row>
      <xdr:rowOff>28575</xdr:rowOff>
    </xdr:from>
    <xdr:to>
      <xdr:col>14</xdr:col>
      <xdr:colOff>238125</xdr:colOff>
      <xdr:row>15</xdr:row>
      <xdr:rowOff>38100</xdr:rowOff>
    </xdr:to>
    <xdr:grpSp>
      <xdr:nvGrpSpPr>
        <xdr:cNvPr id="1052824" name="Group -1022">
          <a:extLst>
            <a:ext uri="{FF2B5EF4-FFF2-40B4-BE49-F238E27FC236}">
              <a16:creationId xmlns:a16="http://schemas.microsoft.com/office/drawing/2014/main" id="{00000000-0008-0000-0500-000098101000}"/>
            </a:ext>
          </a:extLst>
        </xdr:cNvPr>
        <xdr:cNvGrpSpPr>
          <a:grpSpLocks noChangeAspect="1"/>
        </xdr:cNvGrpSpPr>
      </xdr:nvGrpSpPr>
      <xdr:grpSpPr bwMode="auto">
        <a:xfrm>
          <a:off x="7749540" y="2466975"/>
          <a:ext cx="1068705" cy="337185"/>
          <a:chOff x="654" y="191"/>
          <a:chExt cx="101" cy="27"/>
        </a:xfrm>
      </xdr:grpSpPr>
      <xdr:sp macro="" textlink="">
        <xdr:nvSpPr>
          <xdr:cNvPr id="1052678" name="Oval 6">
            <a:extLst>
              <a:ext uri="{FF2B5EF4-FFF2-40B4-BE49-F238E27FC236}">
                <a16:creationId xmlns:a16="http://schemas.microsoft.com/office/drawing/2014/main" id="{00000000-0008-0000-0500-000006101000}"/>
              </a:ext>
            </a:extLst>
          </xdr:cNvPr>
          <xdr:cNvSpPr>
            <a:spLocks noChangeAspect="1" noChangeArrowheads="1"/>
          </xdr:cNvSpPr>
        </xdr:nvSpPr>
        <xdr:spPr bwMode="auto">
          <a:xfrm>
            <a:off x="654" y="194"/>
            <a:ext cx="27" cy="23"/>
          </a:xfrm>
          <a:prstGeom prst="ellipse">
            <a:avLst/>
          </a:prstGeom>
          <a:noFill/>
          <a:ln w="1">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sp macro="" textlink="">
        <xdr:nvSpPr>
          <xdr:cNvPr id="1052680" name="Oval 8">
            <a:extLst>
              <a:ext uri="{FF2B5EF4-FFF2-40B4-BE49-F238E27FC236}">
                <a16:creationId xmlns:a16="http://schemas.microsoft.com/office/drawing/2014/main" id="{00000000-0008-0000-0500-000008101000}"/>
              </a:ext>
            </a:extLst>
          </xdr:cNvPr>
          <xdr:cNvSpPr>
            <a:spLocks noChangeAspect="1" noChangeArrowheads="1"/>
          </xdr:cNvSpPr>
        </xdr:nvSpPr>
        <xdr:spPr bwMode="auto">
          <a:xfrm>
            <a:off x="700" y="195"/>
            <a:ext cx="22" cy="22"/>
          </a:xfrm>
          <a:prstGeom prst="ellipse">
            <a:avLst/>
          </a:prstGeom>
          <a:noFill/>
          <a:ln w="1">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sp macro="" textlink="">
        <xdr:nvSpPr>
          <xdr:cNvPr id="1052682" name="Oval 10">
            <a:extLst>
              <a:ext uri="{FF2B5EF4-FFF2-40B4-BE49-F238E27FC236}">
                <a16:creationId xmlns:a16="http://schemas.microsoft.com/office/drawing/2014/main" id="{00000000-0008-0000-0500-00000A101000}"/>
              </a:ext>
            </a:extLst>
          </xdr:cNvPr>
          <xdr:cNvSpPr>
            <a:spLocks noChangeAspect="1" noChangeArrowheads="1"/>
          </xdr:cNvSpPr>
        </xdr:nvSpPr>
        <xdr:spPr bwMode="auto">
          <a:xfrm>
            <a:off x="731" y="191"/>
            <a:ext cx="24" cy="27"/>
          </a:xfrm>
          <a:prstGeom prst="ellipse">
            <a:avLst/>
          </a:prstGeom>
          <a:noFill/>
          <a:ln w="1">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grpSp>
    <xdr:clientData/>
  </xdr:twoCellAnchor>
  <xdr:twoCellAnchor>
    <xdr:from>
      <xdr:col>10</xdr:col>
      <xdr:colOff>45720</xdr:colOff>
      <xdr:row>2</xdr:row>
      <xdr:rowOff>22860</xdr:rowOff>
    </xdr:from>
    <xdr:to>
      <xdr:col>18</xdr:col>
      <xdr:colOff>121920</xdr:colOff>
      <xdr:row>27</xdr:row>
      <xdr:rowOff>60960</xdr:rowOff>
    </xdr:to>
    <xdr:grpSp>
      <xdr:nvGrpSpPr>
        <xdr:cNvPr id="1052825" name="Group 18">
          <a:extLst>
            <a:ext uri="{FF2B5EF4-FFF2-40B4-BE49-F238E27FC236}">
              <a16:creationId xmlns:a16="http://schemas.microsoft.com/office/drawing/2014/main" id="{00000000-0008-0000-0500-000099101000}"/>
            </a:ext>
          </a:extLst>
        </xdr:cNvPr>
        <xdr:cNvGrpSpPr>
          <a:grpSpLocks/>
        </xdr:cNvGrpSpPr>
      </xdr:nvGrpSpPr>
      <xdr:grpSpPr bwMode="auto">
        <a:xfrm>
          <a:off x="6278880" y="693420"/>
          <a:ext cx="4770120" cy="4061460"/>
          <a:chOff x="539" y="58"/>
          <a:chExt cx="447" cy="321"/>
        </a:xfrm>
      </xdr:grpSpPr>
      <xdr:pic>
        <xdr:nvPicPr>
          <xdr:cNvPr id="1052677" name="Picture 5">
            <a:extLst>
              <a:ext uri="{FF2B5EF4-FFF2-40B4-BE49-F238E27FC236}">
                <a16:creationId xmlns:a16="http://schemas.microsoft.com/office/drawing/2014/main" id="{00000000-0008-0000-0500-000005101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539" y="58"/>
            <a:ext cx="447" cy="321"/>
          </a:xfrm>
          <a:prstGeom prst="rect">
            <a:avLst/>
          </a:prstGeom>
          <a:noFill/>
          <a:ln w="9525">
            <a:solidFill>
              <a:srgbClr xmlns:mc="http://schemas.openxmlformats.org/markup-compatibility/2006" xmlns:a14="http://schemas.microsoft.com/office/drawing/2010/main" val="000000" mc:Ignorable="a14" a14:legacySpreadsheetColorIndex="8"/>
            </a:solidFill>
            <a:miter lim="800000"/>
            <a:headEnd/>
            <a:tailEnd/>
          </a:ln>
          <a:effectLst>
            <a:outerShdw blurRad="63500" dist="38099" dir="2700000" algn="ctr" rotWithShape="0">
              <a:srgbClr val="000000">
                <a:alpha val="74998"/>
              </a:srgbClr>
            </a:outerShdw>
          </a:effectLst>
          <a:extLst>
            <a:ext uri="{909E8E84-426E-40DD-AFC4-6F175D3DCCD1}">
              <a14:hiddenFill xmlns:a14="http://schemas.microsoft.com/office/drawing/2010/main">
                <a:solidFill>
                  <a:srgbClr val="FFFFFF"/>
                </a:solidFill>
              </a14:hiddenFill>
            </a:ext>
          </a:extLst>
        </xdr:spPr>
      </xdr:pic>
      <xdr:sp macro="" textlink="">
        <xdr:nvSpPr>
          <xdr:cNvPr id="1052683" name="Line 11">
            <a:extLst>
              <a:ext uri="{FF2B5EF4-FFF2-40B4-BE49-F238E27FC236}">
                <a16:creationId xmlns:a16="http://schemas.microsoft.com/office/drawing/2014/main" id="{00000000-0008-0000-0500-00000B101000}"/>
              </a:ext>
            </a:extLst>
          </xdr:cNvPr>
          <xdr:cNvSpPr>
            <a:spLocks noChangeAspect="1" noChangeShapeType="1"/>
          </xdr:cNvSpPr>
        </xdr:nvSpPr>
        <xdr:spPr bwMode="auto">
          <a:xfrm flipH="1" flipV="1">
            <a:off x="611" y="150"/>
            <a:ext cx="134" cy="60"/>
          </a:xfrm>
          <a:prstGeom prst="line">
            <a:avLst/>
          </a:prstGeom>
          <a:noFill/>
          <a:ln w="1">
            <a:solidFill>
              <a:srgbClr xmlns:mc="http://schemas.openxmlformats.org/markup-compatibility/2006" xmlns:a14="http://schemas.microsoft.com/office/drawing/2010/main" val="000000" mc:Ignorable="a14" a14:legacySpreadsheetColorIndex="8"/>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sp macro="" textlink="">
        <xdr:nvSpPr>
          <xdr:cNvPr id="1052679" name="Line 7">
            <a:extLst>
              <a:ext uri="{FF2B5EF4-FFF2-40B4-BE49-F238E27FC236}">
                <a16:creationId xmlns:a16="http://schemas.microsoft.com/office/drawing/2014/main" id="{00000000-0008-0000-0500-000007101000}"/>
              </a:ext>
            </a:extLst>
          </xdr:cNvPr>
          <xdr:cNvSpPr>
            <a:spLocks noChangeAspect="1" noChangeShapeType="1"/>
          </xdr:cNvSpPr>
        </xdr:nvSpPr>
        <xdr:spPr bwMode="auto">
          <a:xfrm flipH="1" flipV="1">
            <a:off x="611" y="109"/>
            <a:ext cx="65" cy="93"/>
          </a:xfrm>
          <a:prstGeom prst="line">
            <a:avLst/>
          </a:prstGeom>
          <a:noFill/>
          <a:ln w="1">
            <a:solidFill>
              <a:srgbClr xmlns:mc="http://schemas.openxmlformats.org/markup-compatibility/2006" xmlns:a14="http://schemas.microsoft.com/office/drawing/2010/main" val="000000" mc:Ignorable="a14" a14:legacySpreadsheetColorIndex="8"/>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sp macro="" textlink="">
        <xdr:nvSpPr>
          <xdr:cNvPr id="1052681" name="Line 9">
            <a:extLst>
              <a:ext uri="{FF2B5EF4-FFF2-40B4-BE49-F238E27FC236}">
                <a16:creationId xmlns:a16="http://schemas.microsoft.com/office/drawing/2014/main" id="{00000000-0008-0000-0500-000009101000}"/>
              </a:ext>
            </a:extLst>
          </xdr:cNvPr>
          <xdr:cNvSpPr>
            <a:spLocks noChangeAspect="1" noChangeShapeType="1"/>
          </xdr:cNvSpPr>
        </xdr:nvSpPr>
        <xdr:spPr bwMode="auto">
          <a:xfrm flipH="1">
            <a:off x="613" y="220"/>
            <a:ext cx="103" cy="115"/>
          </a:xfrm>
          <a:prstGeom prst="line">
            <a:avLst/>
          </a:prstGeom>
          <a:noFill/>
          <a:ln w="1">
            <a:solidFill>
              <a:srgbClr xmlns:mc="http://schemas.openxmlformats.org/markup-compatibility/2006" xmlns:a14="http://schemas.microsoft.com/office/drawing/2010/main" val="000000" mc:Ignorable="a14" a14:legacySpreadsheetColorIndex="8"/>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endParaRPr lang="en-US"/>
          </a:p>
        </xdr:txBody>
      </xdr:sp>
    </xdr:grpSp>
    <xdr:clientData/>
  </xdr:twoCellAnchor>
  <xdr:oneCellAnchor>
    <xdr:from>
      <xdr:col>12</xdr:col>
      <xdr:colOff>99695</xdr:colOff>
      <xdr:row>21</xdr:row>
      <xdr:rowOff>50800</xdr:rowOff>
    </xdr:from>
    <xdr:ext cx="3263394" cy="292003"/>
    <xdr:sp macro="" textlink="">
      <xdr:nvSpPr>
        <xdr:cNvPr id="1052687" name="Text Box 15">
          <a:extLst>
            <a:ext uri="{FF2B5EF4-FFF2-40B4-BE49-F238E27FC236}">
              <a16:creationId xmlns:a16="http://schemas.microsoft.com/office/drawing/2014/main" id="{00000000-0008-0000-0500-00000F101000}"/>
            </a:ext>
          </a:extLst>
        </xdr:cNvPr>
        <xdr:cNvSpPr txBox="1">
          <a:spLocks noChangeArrowheads="1"/>
        </xdr:cNvSpPr>
      </xdr:nvSpPr>
      <xdr:spPr bwMode="auto">
        <a:xfrm>
          <a:off x="7506335" y="3776980"/>
          <a:ext cx="3263394" cy="292003"/>
        </a:xfrm>
        <a:prstGeom prst="rect">
          <a:avLst/>
        </a:prstGeom>
        <a:solidFill>
          <a:schemeClr val="bg1"/>
        </a:solidFill>
        <a:ln>
          <a:noFill/>
        </a:ln>
        <a:effectLst/>
      </xdr:spPr>
      <xdr:txBody>
        <a:bodyPr wrap="none" lIns="18288" tIns="18288" rIns="0" bIns="0" anchor="t" upright="1">
          <a:spAutoFit/>
        </a:bodyPr>
        <a:lstStyle/>
        <a:p>
          <a:pPr algn="l" rtl="0">
            <a:defRPr sz="1000"/>
          </a:pPr>
          <a:r>
            <a:rPr lang="en-US" sz="900" b="0" i="0" u="none" strike="noStrike" baseline="0">
              <a:solidFill>
                <a:srgbClr val="000000"/>
              </a:solidFill>
              <a:latin typeface="Helv"/>
            </a:rPr>
            <a:t>Note: The Phase Change Line is offset so as to place</a:t>
          </a:r>
        </a:p>
        <a:p>
          <a:pPr algn="l" rtl="0">
            <a:defRPr sz="1000"/>
          </a:pPr>
          <a:r>
            <a:rPr lang="en-US" sz="900" b="0" i="0" u="none" strike="noStrike" baseline="0">
              <a:solidFill>
                <a:srgbClr val="000000"/>
              </a:solidFill>
              <a:latin typeface="Helv"/>
            </a:rPr>
            <a:t>it midway between the "Change Date" and the preceeding date.</a:t>
          </a:r>
          <a:endParaRPr lang="en-US"/>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3</xdr:col>
      <xdr:colOff>634222</xdr:colOff>
      <xdr:row>0</xdr:row>
      <xdr:rowOff>142875</xdr:rowOff>
    </xdr:from>
    <xdr:ext cx="627031" cy="292003"/>
    <xdr:sp macro="[0]!CLEARAIMS" textlink="">
      <xdr:nvSpPr>
        <xdr:cNvPr id="1159183" name="Text Box 2">
          <a:extLst>
            <a:ext uri="{FF2B5EF4-FFF2-40B4-BE49-F238E27FC236}">
              <a16:creationId xmlns:a16="http://schemas.microsoft.com/office/drawing/2014/main" id="{00000000-0008-0000-0600-00000FB01100}"/>
            </a:ext>
          </a:extLst>
        </xdr:cNvPr>
        <xdr:cNvSpPr txBox="1">
          <a:spLocks noChangeArrowheads="1"/>
        </xdr:cNvSpPr>
      </xdr:nvSpPr>
      <xdr:spPr bwMode="auto">
        <a:xfrm>
          <a:off x="2605897" y="142875"/>
          <a:ext cx="627031" cy="292003"/>
        </a:xfrm>
        <a:prstGeom prst="rect">
          <a:avLst/>
        </a:prstGeom>
        <a:solidFill>
          <a:srgbClr xmlns:mc="http://schemas.openxmlformats.org/markup-compatibility/2006" xmlns:a14="http://schemas.microsoft.com/office/drawing/2010/main" val="F20884" mc:Ignorable="a14" a14:legacySpreadsheetColorIndex="14"/>
        </a:solidFill>
        <a:ln w="1">
          <a:solidFill>
            <a:srgbClr xmlns:mc="http://schemas.openxmlformats.org/markup-compatibility/2006" xmlns:a14="http://schemas.microsoft.com/office/drawing/2010/main" val="000000" mc:Ignorable="a14" a14:legacySpreadsheetColorIndex="8"/>
          </a:solidFill>
          <a:miter lim="800000"/>
          <a:headEnd/>
          <a:tailEnd/>
        </a:ln>
        <a:effectLst>
          <a:outerShdw dist="35921" dir="2700000" algn="ctr" rotWithShape="0">
            <a:srgbClr val="808080">
              <a:alpha val="74997"/>
            </a:srgbClr>
          </a:outerShdw>
        </a:effectLst>
      </xdr:spPr>
      <xdr:txBody>
        <a:bodyPr wrap="none" lIns="18288" tIns="18288" rIns="18288" bIns="0" anchor="t" upright="1">
          <a:spAutoFit/>
        </a:bodyPr>
        <a:lstStyle/>
        <a:p>
          <a:pPr algn="ctr" rtl="0">
            <a:defRPr sz="1000"/>
          </a:pPr>
          <a:r>
            <a:rPr lang="en-US" sz="900" b="0" i="0" u="none" strike="noStrike" baseline="0">
              <a:solidFill>
                <a:srgbClr val="000000"/>
              </a:solidFill>
              <a:latin typeface="Helv"/>
            </a:rPr>
            <a:t>CLEAR</a:t>
          </a:r>
        </a:p>
        <a:p>
          <a:pPr algn="ctr" rtl="0">
            <a:defRPr sz="1000"/>
          </a:pPr>
          <a:r>
            <a:rPr lang="en-US" sz="900" b="0" i="0" u="none" strike="noStrike" baseline="0">
              <a:solidFill>
                <a:srgbClr val="000000"/>
              </a:solidFill>
              <a:latin typeface="Helv"/>
            </a:rPr>
            <a:t>AIMSTARS</a:t>
          </a:r>
          <a:endParaRPr lang="en-US"/>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E0000" mc:Ignorable="a14" a14:legacySpreadsheetColorIndex="14"/>
        </a:solidFill>
        <a:ln w="1" cap="flat" cmpd="sng" algn="ctr">
          <a:solidFill>
            <a:srgbClr xmlns:mc="http://schemas.openxmlformats.org/markup-compatibility/2006" xmlns:a14="http://schemas.microsoft.com/office/drawing/2010/main" val="08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vert270" wrap="none" lIns="18288" tIns="0" rIns="0" bIns="0" upright="1">
        <a:spAutoFit/>
      </a:bodyPr>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20884" mc:Ignorable="a14" a14:legacySpreadsheetColorIndex="14"/>
        </a:solidFill>
        <a:ln w="1" cap="flat" cmpd="sng" algn="ctr">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vert270"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Setup">
    <tabColor rgb="FFFFC000"/>
  </sheetPr>
  <dimension ref="A1:AN82"/>
  <sheetViews>
    <sheetView topLeftCell="P1" zoomScale="99" zoomScaleNormal="99" workbookViewId="0">
      <selection activeCell="AD3" sqref="AD3"/>
    </sheetView>
  </sheetViews>
  <sheetFormatPr defaultColWidth="9" defaultRowHeight="15.6"/>
  <cols>
    <col min="1" max="1" width="3.85546875" style="128" customWidth="1"/>
    <col min="2" max="2" width="33" style="87" customWidth="1"/>
    <col min="3" max="3" width="48.140625" style="148" bestFit="1" customWidth="1"/>
    <col min="4" max="6" width="9" style="88" customWidth="1"/>
    <col min="7" max="7" width="16" style="88" customWidth="1"/>
    <col min="8" max="8" width="39" style="88" customWidth="1"/>
    <col min="9" max="9" width="4" style="128" customWidth="1"/>
    <col min="10" max="10" width="6" style="16" customWidth="1"/>
    <col min="11" max="11" width="33.28515625" style="16" customWidth="1"/>
    <col min="12" max="12" width="34.140625" style="16" customWidth="1"/>
    <col min="13" max="13" width="22" style="16" customWidth="1"/>
    <col min="14" max="14" width="13.28515625" style="16" customWidth="1"/>
    <col min="15" max="15" width="11.7109375" style="16" customWidth="1"/>
    <col min="16" max="16" width="17.7109375" style="16" customWidth="1"/>
    <col min="17" max="17" width="9" style="16" customWidth="1"/>
    <col min="18" max="18" width="19.140625" style="16" customWidth="1"/>
    <col min="19" max="19" width="6.85546875" style="16" customWidth="1"/>
    <col min="20" max="20" width="14" style="24" customWidth="1"/>
    <col min="21" max="21" width="8.5703125" style="40" bestFit="1" customWidth="1"/>
    <col min="22" max="22" width="10.5703125" style="40" bestFit="1" customWidth="1"/>
    <col min="23" max="23" width="11.7109375" style="40" bestFit="1" customWidth="1"/>
    <col min="24" max="24" width="10" style="40" bestFit="1" customWidth="1"/>
    <col min="25" max="25" width="6" style="40" bestFit="1" customWidth="1"/>
    <col min="26" max="26" width="6.140625" style="40" bestFit="1" customWidth="1"/>
    <col min="27" max="27" width="11.85546875" style="40" bestFit="1" customWidth="1"/>
    <col min="28" max="28" width="9.140625" style="40" bestFit="1" customWidth="1"/>
    <col min="29" max="29" width="7.42578125" style="40" bestFit="1" customWidth="1"/>
    <col min="30" max="30" width="18" style="40" bestFit="1" customWidth="1"/>
    <col min="31" max="31" width="29.7109375" style="40" bestFit="1" customWidth="1"/>
    <col min="32" max="32" width="11.28515625" style="56" bestFit="1" customWidth="1"/>
    <col min="33" max="33" width="14.140625" style="56" bestFit="1" customWidth="1"/>
    <col min="34" max="34" width="16.140625" style="56" customWidth="1"/>
    <col min="35" max="35" width="18.5703125" style="16" customWidth="1"/>
    <col min="36" max="36" width="16" style="16" customWidth="1"/>
    <col min="37" max="37" width="9" style="16" customWidth="1"/>
    <col min="38" max="38" width="10.140625" style="16" customWidth="1"/>
    <col min="39" max="39" width="10.7109375" style="16" customWidth="1"/>
    <col min="40" max="40" width="9" style="16"/>
  </cols>
  <sheetData>
    <row r="1" spans="1:40" s="180" customFormat="1" ht="12.6" thickBot="1">
      <c r="A1" s="174"/>
      <c r="B1" s="175" t="s">
        <v>205</v>
      </c>
      <c r="C1" s="176" t="s">
        <v>206</v>
      </c>
      <c r="D1" s="177" t="s">
        <v>207</v>
      </c>
      <c r="E1" s="178"/>
      <c r="F1" s="178"/>
      <c r="G1" s="178"/>
      <c r="H1" s="179"/>
      <c r="I1" s="174"/>
      <c r="T1" s="346"/>
      <c r="U1" s="56">
        <v>1</v>
      </c>
      <c r="V1" s="56">
        <v>2</v>
      </c>
      <c r="W1" s="56">
        <v>3</v>
      </c>
      <c r="X1" s="56">
        <v>4</v>
      </c>
      <c r="Y1" s="56">
        <v>5</v>
      </c>
      <c r="Z1" s="56">
        <v>6</v>
      </c>
      <c r="AA1" s="56">
        <v>7</v>
      </c>
      <c r="AB1" s="56">
        <v>8</v>
      </c>
      <c r="AC1" s="56">
        <v>9</v>
      </c>
      <c r="AD1" s="56">
        <v>10</v>
      </c>
      <c r="AE1" s="56">
        <v>11</v>
      </c>
      <c r="AF1" s="56">
        <v>12</v>
      </c>
      <c r="AG1" s="56">
        <v>13</v>
      </c>
      <c r="AH1" s="56">
        <v>14</v>
      </c>
      <c r="AI1" s="97">
        <v>15</v>
      </c>
    </row>
    <row r="2" spans="1:40" ht="29.1" customHeight="1" thickBot="1">
      <c r="A2" s="140"/>
      <c r="B2" s="158" t="s">
        <v>113</v>
      </c>
      <c r="C2" s="149"/>
      <c r="D2" s="485" t="s">
        <v>146</v>
      </c>
      <c r="E2" s="485"/>
      <c r="F2" s="485"/>
      <c r="G2" s="485"/>
      <c r="H2" s="487"/>
      <c r="I2" s="140"/>
      <c r="K2" s="124"/>
      <c r="P2" s="316" t="s">
        <v>11</v>
      </c>
      <c r="Q2" s="316" t="s">
        <v>143</v>
      </c>
      <c r="R2" s="316" t="s">
        <v>22</v>
      </c>
      <c r="S2" s="316" t="s">
        <v>8</v>
      </c>
      <c r="T2" s="347"/>
      <c r="U2" s="347" t="s">
        <v>161</v>
      </c>
      <c r="V2" s="347" t="s">
        <v>170</v>
      </c>
      <c r="W2" s="347" t="s">
        <v>112</v>
      </c>
      <c r="X2" s="348" t="s">
        <v>68</v>
      </c>
      <c r="Y2" s="348" t="s">
        <v>58</v>
      </c>
      <c r="Z2" s="348" t="s">
        <v>56</v>
      </c>
      <c r="AA2" s="347" t="s">
        <v>59</v>
      </c>
      <c r="AB2" s="347" t="s">
        <v>23</v>
      </c>
      <c r="AC2" s="347" t="s">
        <v>234</v>
      </c>
      <c r="AD2" s="347" t="s">
        <v>138</v>
      </c>
      <c r="AE2" s="347" t="s">
        <v>157</v>
      </c>
      <c r="AF2" s="347" t="s">
        <v>192</v>
      </c>
      <c r="AG2" s="347" t="s">
        <v>197</v>
      </c>
      <c r="AH2" s="349" t="s">
        <v>208</v>
      </c>
      <c r="AI2" s="349" t="s">
        <v>292</v>
      </c>
      <c r="AJ2" s="172"/>
      <c r="AK2" s="123"/>
      <c r="AL2" s="122" t="s">
        <v>7</v>
      </c>
      <c r="AM2" s="122" t="str">
        <f>TEXT(YEAR(SyncDate),"0000")&amp;"-"&amp;TEXT(YEAR(SyncDate)+1,"0000")</f>
        <v>2020-2021</v>
      </c>
      <c r="AN2" s="129" t="str">
        <f>RIGHT(AM2,4)</f>
        <v>2021</v>
      </c>
    </row>
    <row r="3" spans="1:40" ht="37.799999999999997" customHeight="1" thickBot="1">
      <c r="A3" s="140"/>
      <c r="B3" s="158" t="s">
        <v>169</v>
      </c>
      <c r="C3" s="150"/>
      <c r="D3" s="141"/>
      <c r="E3" s="166"/>
      <c r="F3" s="166"/>
      <c r="G3" s="166"/>
      <c r="H3" s="167"/>
      <c r="I3" s="140"/>
      <c r="K3" s="124"/>
      <c r="P3" s="317" t="s">
        <v>154</v>
      </c>
      <c r="Q3" s="318">
        <v>14</v>
      </c>
      <c r="R3" s="318" t="str">
        <f>IF(OSmw="M",CHAR(13),CHAR(10))</f>
        <v xml:space="preserve">
</v>
      </c>
      <c r="S3" s="318" t="str">
        <f>IF(eVersion&lt;=11.3,"","")</f>
        <v/>
      </c>
      <c r="T3" s="350"/>
      <c r="U3" s="350">
        <f>MATCH(1,Selector,0)</f>
        <v>2</v>
      </c>
      <c r="V3" s="350" t="str" cm="1">
        <f t="array" ref="V3">INDEX($V$5:$V$13,SelRow,1)</f>
        <v>DCPD</v>
      </c>
      <c r="W3" s="350" cm="1">
        <f t="array" ref="W3">INDEX(ScalarTbl,SelRow,W1)</f>
        <v>7</v>
      </c>
      <c r="X3" s="359" cm="1">
        <f t="array" ref="X3">INDEX(ScalarTbl,SelRow,X1)</f>
        <v>100000</v>
      </c>
      <c r="Y3" s="360" cm="1">
        <f t="array" ref="Y3">INDEX(ScalarTbl,SelRow,Y1)</f>
        <v>0.1</v>
      </c>
      <c r="Z3" s="360" cm="1">
        <f t="array" ref="Z3">INDEX(ScalarTbl,SelRow,Z1)</f>
        <v>140</v>
      </c>
      <c r="AA3" s="350" cm="1">
        <f t="array" ref="AA3">INDEX(ScalarTbl,SelRow,AA1)</f>
        <v>140</v>
      </c>
      <c r="AB3" s="350" cm="1">
        <f t="array" ref="AB3">INDEX(ScalarTbl,SelRow,AB1)</f>
        <v>1</v>
      </c>
      <c r="AC3" s="350" t="str" cm="1">
        <f t="array" ref="AC3">INDEX(ScalarTbl,SelRow,AC1)</f>
        <v>D</v>
      </c>
      <c r="AD3" s="350" t="str" cm="1">
        <f t="array" ref="AD3">INDEX(ScalarTbl,SelRow,AD1)</f>
        <v>EVENT FREQUENCY</v>
      </c>
      <c r="AE3" s="350" t="str" cm="1">
        <f t="array" ref="AE3">INDEX(ScalarTbl,SelRow,AE1)</f>
        <v>SUCCESSIVE CALENDAR DAYS</v>
      </c>
      <c r="AF3" s="350" t="str" cm="1">
        <f t="array" ref="AF3">INDEX(ScalarTbl,SelRow,AF1)</f>
        <v>mm/dd/yy</v>
      </c>
      <c r="AG3" s="350" t="str" cm="1">
        <f t="array" ref="AG3">INDEX(ScalarTbl,SelRow,AG1)</f>
        <v>WEEKS</v>
      </c>
      <c r="AH3" s="350" t="str" cm="1">
        <f t="array" ref="AH3">INDEX(ScalarTbl,SelRow,AH1)</f>
        <v>DAY</v>
      </c>
      <c r="AI3" s="350" t="str" cm="1">
        <f t="array" ref="AI3">INDEX(ScalarTbl,SelRow,AI1)</f>
        <v>EVENT FREQUENCY</v>
      </c>
      <c r="AJ3" s="121"/>
      <c r="AK3" s="173" t="s">
        <v>6</v>
      </c>
      <c r="AL3" s="173" t="s">
        <v>25</v>
      </c>
      <c r="AM3" s="173" t="s">
        <v>39</v>
      </c>
    </row>
    <row r="4" spans="1:40" ht="57" customHeight="1" thickBot="1">
      <c r="A4" s="140"/>
      <c r="B4" s="158" t="s">
        <v>288</v>
      </c>
      <c r="C4" s="151" t="s">
        <v>296</v>
      </c>
      <c r="D4" s="485" t="s">
        <v>74</v>
      </c>
      <c r="E4" s="485"/>
      <c r="F4" s="485"/>
      <c r="G4" s="485"/>
      <c r="H4" s="487"/>
      <c r="I4" s="140"/>
      <c r="K4" s="488" t="s">
        <v>243</v>
      </c>
      <c r="L4" s="488"/>
      <c r="T4" s="351" t="s">
        <v>3</v>
      </c>
      <c r="U4" s="347" t="s">
        <v>38</v>
      </c>
      <c r="V4" s="347" t="s">
        <v>54</v>
      </c>
      <c r="W4" s="347" t="s">
        <v>55</v>
      </c>
      <c r="X4" s="348" t="s">
        <v>57</v>
      </c>
      <c r="Y4" s="348" t="s">
        <v>58</v>
      </c>
      <c r="Z4" s="348" t="s">
        <v>56</v>
      </c>
      <c r="AA4" s="351" t="s">
        <v>24</v>
      </c>
      <c r="AB4" s="347" t="s">
        <v>121</v>
      </c>
      <c r="AC4" s="347" t="s">
        <v>234</v>
      </c>
      <c r="AD4" s="347" t="s">
        <v>5</v>
      </c>
      <c r="AE4" s="347" t="s">
        <v>156</v>
      </c>
      <c r="AF4" s="347" t="s">
        <v>191</v>
      </c>
      <c r="AG4" s="347" t="s">
        <v>198</v>
      </c>
      <c r="AH4" s="349" t="s">
        <v>209</v>
      </c>
      <c r="AI4" s="349" t="s">
        <v>291</v>
      </c>
      <c r="AJ4" s="172"/>
      <c r="AK4" s="122" t="s">
        <v>33</v>
      </c>
      <c r="AL4" s="122">
        <v>9</v>
      </c>
      <c r="AM4" s="122">
        <f>CHOOSE(AL4,31,IF((AM1/4)-INT(AM1/4)=0,29,28),31,30,31,30,31,31,30,31,30,31)</f>
        <v>30</v>
      </c>
    </row>
    <row r="5" spans="1:40" ht="29.1" customHeight="1">
      <c r="A5" s="140"/>
      <c r="B5" s="158" t="s">
        <v>289</v>
      </c>
      <c r="C5" s="151" t="s">
        <v>297</v>
      </c>
      <c r="D5" s="485" t="s">
        <v>62</v>
      </c>
      <c r="E5" s="485"/>
      <c r="F5" s="485"/>
      <c r="G5" s="485"/>
      <c r="H5" s="486"/>
      <c r="I5" s="140"/>
      <c r="K5" s="342" t="str">
        <f>L10&amp;"; "&amp;L11&amp;RTN&amp;L12&amp;RTN&amp;L13&amp;RTN&amp;L14</f>
        <v>; 
Infections
Deaths
Recoveries</v>
      </c>
      <c r="L5" s="285"/>
      <c r="M5" s="286"/>
      <c r="N5" s="125"/>
      <c r="O5" s="125"/>
      <c r="P5" s="125"/>
      <c r="Q5" s="125"/>
      <c r="R5" s="125"/>
      <c r="T5" s="350">
        <v>1</v>
      </c>
      <c r="U5" s="345">
        <v>0</v>
      </c>
      <c r="V5" s="350" t="s">
        <v>173</v>
      </c>
      <c r="W5" s="350">
        <v>7</v>
      </c>
      <c r="X5" s="352">
        <v>1000</v>
      </c>
      <c r="Y5" s="353">
        <v>1E-3</v>
      </c>
      <c r="Z5" s="353">
        <v>140</v>
      </c>
      <c r="AA5" s="354">
        <v>140</v>
      </c>
      <c r="AB5" s="350">
        <v>1</v>
      </c>
      <c r="AC5" s="350" t="s">
        <v>194</v>
      </c>
      <c r="AD5" s="350" t="s">
        <v>137</v>
      </c>
      <c r="AE5" s="350" t="s">
        <v>158</v>
      </c>
      <c r="AF5" s="350" t="s">
        <v>193</v>
      </c>
      <c r="AG5" s="350" t="s">
        <v>199</v>
      </c>
      <c r="AH5" s="350" t="s">
        <v>210</v>
      </c>
      <c r="AI5" s="353" t="s">
        <v>137</v>
      </c>
      <c r="AJ5" s="125"/>
      <c r="AK5" s="122" t="s">
        <v>34</v>
      </c>
      <c r="AL5" s="122">
        <v>10</v>
      </c>
      <c r="AM5" s="122">
        <f t="shared" ref="AM5:AM15" si="0">CHOOSE(AL5,31,IF((AM2/4)-INT(AM2/4)=0,29,28),31,30,31,30,31,31,30,31,30,31)</f>
        <v>31</v>
      </c>
    </row>
    <row r="6" spans="1:40" ht="29.1" customHeight="1">
      <c r="A6" s="140"/>
      <c r="B6" s="158" t="s">
        <v>261</v>
      </c>
      <c r="C6" s="151" t="s">
        <v>298</v>
      </c>
      <c r="D6" s="160" t="s">
        <v>109</v>
      </c>
      <c r="E6" s="159"/>
      <c r="F6" s="159"/>
      <c r="G6" s="159"/>
      <c r="H6" s="142"/>
      <c r="I6" s="140"/>
      <c r="K6" s="344" t="str">
        <f>L15&amp;RTN&amp;L16&amp;"; "&amp;L17&amp;RTN&amp;L18&amp;RTN&amp;L20&amp;L21&amp;L22</f>
        <v xml:space="preserve">
; 
</v>
      </c>
      <c r="L6" s="287"/>
      <c r="M6" s="288"/>
      <c r="N6" s="125"/>
      <c r="O6" s="125"/>
      <c r="P6" s="125"/>
      <c r="Q6" s="125"/>
      <c r="R6" s="125"/>
      <c r="T6" s="350">
        <v>2</v>
      </c>
      <c r="U6" s="345">
        <v>1</v>
      </c>
      <c r="V6" s="350" t="s">
        <v>174</v>
      </c>
      <c r="W6" s="350">
        <v>7</v>
      </c>
      <c r="X6" s="352">
        <v>100000</v>
      </c>
      <c r="Y6" s="353">
        <v>0.1</v>
      </c>
      <c r="Z6" s="353">
        <v>140</v>
      </c>
      <c r="AA6" s="354">
        <v>140</v>
      </c>
      <c r="AB6" s="350">
        <v>1</v>
      </c>
      <c r="AC6" s="350" t="s">
        <v>194</v>
      </c>
      <c r="AD6" s="350" t="s">
        <v>293</v>
      </c>
      <c r="AE6" s="350" t="s">
        <v>158</v>
      </c>
      <c r="AF6" s="350" t="s">
        <v>193</v>
      </c>
      <c r="AG6" s="350" t="s">
        <v>199</v>
      </c>
      <c r="AH6" s="350" t="s">
        <v>210</v>
      </c>
      <c r="AI6" s="353" t="s">
        <v>293</v>
      </c>
      <c r="AJ6" s="125"/>
      <c r="AK6" s="122" t="s">
        <v>35</v>
      </c>
      <c r="AL6" s="122">
        <v>11</v>
      </c>
      <c r="AM6" s="122">
        <f t="shared" si="0"/>
        <v>30</v>
      </c>
    </row>
    <row r="7" spans="1:40" ht="29.1" customHeight="1" thickBot="1">
      <c r="A7" s="140"/>
      <c r="B7" s="158" t="s">
        <v>92</v>
      </c>
      <c r="C7" s="149"/>
      <c r="D7" s="143"/>
      <c r="E7" s="168"/>
      <c r="F7" s="168"/>
      <c r="G7" s="168"/>
      <c r="H7" s="169"/>
      <c r="I7" s="140"/>
      <c r="K7" s="343"/>
      <c r="L7" s="289"/>
      <c r="M7" s="290"/>
      <c r="N7" s="125"/>
      <c r="O7" s="125"/>
      <c r="P7" s="125"/>
      <c r="Q7" s="125"/>
      <c r="R7" s="125"/>
      <c r="T7" s="350">
        <v>3</v>
      </c>
      <c r="U7" s="345">
        <v>0</v>
      </c>
      <c r="V7" s="350" t="s">
        <v>174</v>
      </c>
      <c r="W7" s="350">
        <v>7</v>
      </c>
      <c r="X7" s="352">
        <v>1000000</v>
      </c>
      <c r="Y7" s="353">
        <v>1</v>
      </c>
      <c r="Z7" s="353">
        <v>140</v>
      </c>
      <c r="AA7" s="354">
        <v>140</v>
      </c>
      <c r="AB7" s="350">
        <v>1</v>
      </c>
      <c r="AC7" s="350" t="s">
        <v>194</v>
      </c>
      <c r="AD7" s="350" t="s">
        <v>293</v>
      </c>
      <c r="AE7" s="350" t="s">
        <v>158</v>
      </c>
      <c r="AF7" s="350" t="s">
        <v>193</v>
      </c>
      <c r="AG7" s="350" t="s">
        <v>199</v>
      </c>
      <c r="AH7" s="350" t="s">
        <v>210</v>
      </c>
      <c r="AI7" s="353" t="s">
        <v>293</v>
      </c>
      <c r="AJ7" s="125"/>
      <c r="AK7" s="122" t="s">
        <v>36</v>
      </c>
      <c r="AL7" s="122">
        <v>12</v>
      </c>
      <c r="AM7" s="122">
        <f t="shared" si="0"/>
        <v>31</v>
      </c>
    </row>
    <row r="8" spans="1:40" ht="29.1" customHeight="1" thickBot="1">
      <c r="A8" s="140"/>
      <c r="B8" s="158" t="s">
        <v>93</v>
      </c>
      <c r="C8" s="149"/>
      <c r="D8" s="143"/>
      <c r="E8" s="168"/>
      <c r="F8" s="168"/>
      <c r="G8" s="168"/>
      <c r="H8" s="169"/>
      <c r="I8" s="140"/>
      <c r="K8" s="127" t="str">
        <f>"LINDSLEY STANDARD TIME-SERIES CHART"</f>
        <v>LINDSLEY STANDARD TIME-SERIES CHART</v>
      </c>
      <c r="L8" s="126"/>
      <c r="M8" s="126"/>
      <c r="N8" s="125"/>
      <c r="O8" s="125"/>
      <c r="P8" s="125"/>
      <c r="T8" s="350">
        <v>4</v>
      </c>
      <c r="U8" s="345">
        <v>0</v>
      </c>
      <c r="V8" s="350" t="s">
        <v>175</v>
      </c>
      <c r="W8" s="350">
        <v>5</v>
      </c>
      <c r="X8" s="352">
        <v>1000</v>
      </c>
      <c r="Y8" s="353">
        <v>1E-3</v>
      </c>
      <c r="Z8" s="353">
        <v>100</v>
      </c>
      <c r="AA8" s="354">
        <v>700</v>
      </c>
      <c r="AB8" s="350">
        <v>7</v>
      </c>
      <c r="AC8" s="350" t="s">
        <v>60</v>
      </c>
      <c r="AD8" s="350" t="s">
        <v>137</v>
      </c>
      <c r="AE8" s="350" t="s">
        <v>155</v>
      </c>
      <c r="AF8" s="350" t="s">
        <v>193</v>
      </c>
      <c r="AG8" s="350" t="s">
        <v>200</v>
      </c>
      <c r="AH8" s="350" t="s">
        <v>211</v>
      </c>
      <c r="AI8" s="353" t="s">
        <v>137</v>
      </c>
      <c r="AJ8" s="125"/>
      <c r="AK8" s="122" t="s">
        <v>40</v>
      </c>
      <c r="AL8" s="122">
        <v>1</v>
      </c>
      <c r="AM8" s="122">
        <f t="shared" si="0"/>
        <v>31</v>
      </c>
    </row>
    <row r="9" spans="1:40" ht="29.1" customHeight="1" thickBot="1">
      <c r="A9" s="140"/>
      <c r="B9" s="158" t="s">
        <v>94</v>
      </c>
      <c r="C9" s="149"/>
      <c r="D9" s="143"/>
      <c r="E9" s="168"/>
      <c r="F9" s="168"/>
      <c r="G9" s="168"/>
      <c r="H9" s="169"/>
      <c r="I9" s="140"/>
      <c r="K9" s="484" t="s">
        <v>182</v>
      </c>
      <c r="L9" s="484"/>
      <c r="M9" s="484"/>
      <c r="N9" s="215"/>
      <c r="O9" s="215"/>
      <c r="P9" s="215"/>
      <c r="T9" s="350">
        <v>5</v>
      </c>
      <c r="U9" s="345">
        <v>0</v>
      </c>
      <c r="V9" s="350" t="s">
        <v>176</v>
      </c>
      <c r="W9" s="350">
        <v>5</v>
      </c>
      <c r="X9" s="352">
        <v>100000</v>
      </c>
      <c r="Y9" s="353">
        <v>0.1</v>
      </c>
      <c r="Z9" s="353">
        <v>100</v>
      </c>
      <c r="AA9" s="354">
        <v>700</v>
      </c>
      <c r="AB9" s="350">
        <v>7</v>
      </c>
      <c r="AC9" s="350" t="s">
        <v>60</v>
      </c>
      <c r="AD9" s="350" t="s">
        <v>293</v>
      </c>
      <c r="AE9" s="350" t="s">
        <v>155</v>
      </c>
      <c r="AF9" s="350" t="s">
        <v>193</v>
      </c>
      <c r="AG9" s="350" t="s">
        <v>200</v>
      </c>
      <c r="AH9" s="350" t="s">
        <v>211</v>
      </c>
      <c r="AI9" s="353" t="s">
        <v>293</v>
      </c>
      <c r="AJ9" s="125"/>
      <c r="AK9" s="122" t="s">
        <v>41</v>
      </c>
      <c r="AL9" s="122">
        <v>2</v>
      </c>
      <c r="AM9" s="170">
        <f>CHOOSE(AL9,31,IF((AN2/4)-INT(AN2/4)=0,29,28),31,30,31,30,31,31,30,31,30,31)</f>
        <v>28</v>
      </c>
    </row>
    <row r="10" spans="1:40" ht="29.1" customHeight="1">
      <c r="A10" s="140"/>
      <c r="B10" s="158" t="s">
        <v>91</v>
      </c>
      <c r="C10" s="149"/>
      <c r="D10" s="143"/>
      <c r="E10" s="168"/>
      <c r="F10" s="168"/>
      <c r="G10" s="168"/>
      <c r="H10" s="169"/>
      <c r="I10" s="140"/>
      <c r="K10" s="214" t="str">
        <f>B2</f>
        <v>Performer</v>
      </c>
      <c r="L10" s="468" t="str">
        <f>IF(C2="","",C2)</f>
        <v/>
      </c>
      <c r="M10" s="314"/>
      <c r="N10" s="171"/>
      <c r="O10" s="171"/>
      <c r="P10" s="171"/>
      <c r="T10" s="350">
        <v>6</v>
      </c>
      <c r="U10" s="345">
        <v>0</v>
      </c>
      <c r="V10" s="350" t="s">
        <v>176</v>
      </c>
      <c r="W10" s="350">
        <v>5</v>
      </c>
      <c r="X10" s="352">
        <v>1000000</v>
      </c>
      <c r="Y10" s="353">
        <v>1</v>
      </c>
      <c r="Z10" s="353">
        <v>100</v>
      </c>
      <c r="AA10" s="354">
        <v>700</v>
      </c>
      <c r="AB10" s="350">
        <v>7</v>
      </c>
      <c r="AC10" s="350" t="s">
        <v>60</v>
      </c>
      <c r="AD10" s="350" t="s">
        <v>293</v>
      </c>
      <c r="AE10" s="350" t="s">
        <v>155</v>
      </c>
      <c r="AF10" s="350" t="s">
        <v>193</v>
      </c>
      <c r="AG10" s="350" t="s">
        <v>200</v>
      </c>
      <c r="AH10" s="350" t="s">
        <v>211</v>
      </c>
      <c r="AI10" s="353" t="s">
        <v>293</v>
      </c>
      <c r="AJ10" s="125"/>
      <c r="AK10" s="122" t="s">
        <v>42</v>
      </c>
      <c r="AL10" s="122">
        <v>3</v>
      </c>
      <c r="AM10" s="122">
        <f t="shared" si="0"/>
        <v>31</v>
      </c>
    </row>
    <row r="11" spans="1:40" ht="29.1" customHeight="1">
      <c r="A11" s="140"/>
      <c r="B11" s="158" t="s">
        <v>129</v>
      </c>
      <c r="C11" s="149"/>
      <c r="D11" s="143"/>
      <c r="E11" s="168"/>
      <c r="F11" s="168"/>
      <c r="G11" s="168"/>
      <c r="H11" s="169"/>
      <c r="I11" s="140"/>
      <c r="K11" s="214" t="str">
        <f t="shared" ref="K11:K22" si="1">B3</f>
        <v>Setting</v>
      </c>
      <c r="L11" s="468" t="str">
        <f t="shared" ref="L11:L22" si="2">IF(C3="","",C3)</f>
        <v/>
      </c>
      <c r="M11" s="315"/>
      <c r="N11" s="171"/>
      <c r="O11" s="171"/>
      <c r="P11" s="171"/>
      <c r="T11" s="350">
        <v>7</v>
      </c>
      <c r="U11" s="345">
        <v>0</v>
      </c>
      <c r="V11" s="350" t="s">
        <v>177</v>
      </c>
      <c r="W11" s="350">
        <v>6</v>
      </c>
      <c r="X11" s="476">
        <v>1000</v>
      </c>
      <c r="Y11" s="477">
        <v>1E-3</v>
      </c>
      <c r="Z11" s="477">
        <v>120</v>
      </c>
      <c r="AA11" s="354">
        <f>Z11*30.25</f>
        <v>3630</v>
      </c>
      <c r="AB11" s="356">
        <v>30.25</v>
      </c>
      <c r="AC11" s="356" t="s">
        <v>196</v>
      </c>
      <c r="AD11" s="350" t="s">
        <v>137</v>
      </c>
      <c r="AE11" s="350" t="s">
        <v>159</v>
      </c>
      <c r="AF11" s="350" t="s">
        <v>189</v>
      </c>
      <c r="AG11" s="350" t="s">
        <v>201</v>
      </c>
      <c r="AH11" s="350" t="s">
        <v>212</v>
      </c>
      <c r="AI11" s="353" t="s">
        <v>137</v>
      </c>
      <c r="AJ11" s="125"/>
      <c r="AK11" s="122" t="s">
        <v>0</v>
      </c>
      <c r="AL11" s="122">
        <v>4</v>
      </c>
      <c r="AM11" s="122">
        <f t="shared" si="0"/>
        <v>30</v>
      </c>
    </row>
    <row r="12" spans="1:40" s="16" customFormat="1" ht="29.1" customHeight="1">
      <c r="A12" s="140"/>
      <c r="B12" s="158" t="s">
        <v>130</v>
      </c>
      <c r="C12" s="149"/>
      <c r="D12" s="143"/>
      <c r="E12" s="168"/>
      <c r="F12" s="168"/>
      <c r="G12" s="168"/>
      <c r="H12" s="169"/>
      <c r="I12" s="140"/>
      <c r="K12" s="214" t="str">
        <f t="shared" si="1"/>
        <v>PinPoint #1</v>
      </c>
      <c r="L12" s="468" t="str">
        <f t="shared" si="2"/>
        <v>Infections</v>
      </c>
      <c r="M12" s="315"/>
      <c r="N12" s="171"/>
      <c r="O12" s="171"/>
      <c r="P12" s="171"/>
      <c r="T12" s="350">
        <v>8</v>
      </c>
      <c r="U12" s="475">
        <v>0</v>
      </c>
      <c r="V12" s="350" t="s">
        <v>177</v>
      </c>
      <c r="W12" s="350">
        <v>6</v>
      </c>
      <c r="X12" s="355">
        <v>1000000</v>
      </c>
      <c r="Y12" s="353">
        <v>1</v>
      </c>
      <c r="Z12" s="353">
        <v>120</v>
      </c>
      <c r="AA12" s="354">
        <f>Z12*30.25</f>
        <v>3630</v>
      </c>
      <c r="AB12" s="356">
        <v>30.25</v>
      </c>
      <c r="AC12" s="356" t="s">
        <v>196</v>
      </c>
      <c r="AD12" s="350" t="s">
        <v>293</v>
      </c>
      <c r="AE12" s="350" t="s">
        <v>159</v>
      </c>
      <c r="AF12" s="350" t="s">
        <v>189</v>
      </c>
      <c r="AG12" s="350" t="s">
        <v>201</v>
      </c>
      <c r="AH12" s="350" t="s">
        <v>212</v>
      </c>
      <c r="AI12" s="353" t="s">
        <v>293</v>
      </c>
      <c r="AJ12" s="125"/>
      <c r="AK12" s="122" t="s">
        <v>1</v>
      </c>
      <c r="AL12" s="122">
        <v>5</v>
      </c>
      <c r="AM12" s="122">
        <f t="shared" si="0"/>
        <v>31</v>
      </c>
    </row>
    <row r="13" spans="1:40" ht="29.1" customHeight="1">
      <c r="A13" s="140"/>
      <c r="B13" s="158" t="s">
        <v>131</v>
      </c>
      <c r="C13" s="149"/>
      <c r="D13" s="143"/>
      <c r="E13" s="168"/>
      <c r="F13" s="168"/>
      <c r="G13" s="168"/>
      <c r="H13" s="169"/>
      <c r="I13" s="140"/>
      <c r="K13" s="214" t="str">
        <f t="shared" si="1"/>
        <v>PinPoint #2</v>
      </c>
      <c r="L13" s="468" t="str">
        <f t="shared" si="2"/>
        <v>Deaths</v>
      </c>
      <c r="M13" s="315"/>
      <c r="N13" s="171"/>
      <c r="O13" s="216"/>
      <c r="P13" s="171"/>
      <c r="T13" s="350">
        <v>1</v>
      </c>
      <c r="U13" s="345">
        <v>0</v>
      </c>
      <c r="V13" s="350" t="s">
        <v>178</v>
      </c>
      <c r="W13" s="350">
        <v>5</v>
      </c>
      <c r="X13" s="352">
        <v>1000000</v>
      </c>
      <c r="Y13" s="353">
        <v>1</v>
      </c>
      <c r="Z13" s="353">
        <v>100</v>
      </c>
      <c r="AA13" s="354">
        <f>100*((365*3+366)/4)</f>
        <v>36525</v>
      </c>
      <c r="AB13" s="350">
        <v>365.25</v>
      </c>
      <c r="AC13" s="350" t="s">
        <v>195</v>
      </c>
      <c r="AD13" s="350" t="s">
        <v>293</v>
      </c>
      <c r="AE13" s="350" t="s">
        <v>160</v>
      </c>
      <c r="AF13" s="350" t="s">
        <v>190</v>
      </c>
      <c r="AG13" s="350" t="s">
        <v>202</v>
      </c>
      <c r="AH13" s="350" t="s">
        <v>213</v>
      </c>
      <c r="AI13" s="353" t="s">
        <v>293</v>
      </c>
      <c r="AK13" s="122" t="s">
        <v>30</v>
      </c>
      <c r="AL13" s="122">
        <v>6</v>
      </c>
      <c r="AM13" s="122">
        <f t="shared" si="0"/>
        <v>30</v>
      </c>
    </row>
    <row r="14" spans="1:40" ht="29.1" customHeight="1">
      <c r="A14" s="140"/>
      <c r="B14" s="158" t="s">
        <v>127</v>
      </c>
      <c r="C14" s="149"/>
      <c r="D14" s="143"/>
      <c r="E14" s="168"/>
      <c r="F14" s="168"/>
      <c r="G14" s="168"/>
      <c r="H14" s="169"/>
      <c r="I14" s="140"/>
      <c r="K14" s="214" t="str">
        <f t="shared" si="1"/>
        <v>PinPoint#3</v>
      </c>
      <c r="L14" s="468" t="str">
        <f t="shared" si="2"/>
        <v>Recoveries</v>
      </c>
      <c r="M14" s="315"/>
      <c r="N14" s="171"/>
      <c r="O14" s="171"/>
      <c r="P14" s="171"/>
      <c r="T14" s="97"/>
      <c r="U14" s="56"/>
      <c r="V14" s="56"/>
      <c r="W14" s="56"/>
      <c r="X14"/>
      <c r="Y14"/>
      <c r="Z14"/>
      <c r="AA14"/>
      <c r="AB14"/>
      <c r="AC14"/>
      <c r="AD14" s="56"/>
      <c r="AE14" s="357"/>
      <c r="AF14" s="357"/>
      <c r="AG14" s="357"/>
      <c r="AH14" s="357"/>
      <c r="AI14" s="125"/>
      <c r="AK14" s="122" t="s">
        <v>31</v>
      </c>
      <c r="AL14" s="122">
        <v>7</v>
      </c>
      <c r="AM14" s="122">
        <f t="shared" si="0"/>
        <v>31</v>
      </c>
    </row>
    <row r="15" spans="1:40" ht="48.75" customHeight="1">
      <c r="A15" s="140"/>
      <c r="B15" s="161" t="s">
        <v>88</v>
      </c>
      <c r="C15" s="162">
        <v>43961</v>
      </c>
      <c r="D15" s="485" t="s">
        <v>172</v>
      </c>
      <c r="E15" s="485"/>
      <c r="F15" s="485"/>
      <c r="G15" s="485"/>
      <c r="H15" s="486"/>
      <c r="I15" s="140"/>
      <c r="K15" s="214" t="str">
        <f t="shared" si="1"/>
        <v>Supervisor</v>
      </c>
      <c r="L15" s="468" t="str">
        <f t="shared" si="2"/>
        <v/>
      </c>
      <c r="M15" s="315"/>
      <c r="N15" s="171"/>
      <c r="O15" s="171"/>
      <c r="P15" s="171"/>
      <c r="T15" s="97"/>
      <c r="U15" s="56"/>
      <c r="V15" s="56"/>
      <c r="W15" s="56"/>
      <c r="X15" s="56"/>
      <c r="Y15" s="56"/>
      <c r="Z15" s="56"/>
      <c r="AA15" s="56"/>
      <c r="AB15" s="56"/>
      <c r="AC15" s="56"/>
      <c r="AD15" s="56"/>
      <c r="AE15" s="56"/>
      <c r="AK15" s="122" t="s">
        <v>32</v>
      </c>
      <c r="AL15" s="122">
        <v>8</v>
      </c>
      <c r="AM15" s="122">
        <f t="shared" si="0"/>
        <v>31</v>
      </c>
    </row>
    <row r="16" spans="1:40" ht="71.099999999999994" customHeight="1">
      <c r="A16" s="140"/>
      <c r="B16" s="158" t="s">
        <v>16</v>
      </c>
      <c r="C16" s="149">
        <v>0.5</v>
      </c>
      <c r="D16" s="485" t="s">
        <v>171</v>
      </c>
      <c r="E16" s="485"/>
      <c r="F16" s="485"/>
      <c r="G16" s="485"/>
      <c r="H16" s="486"/>
      <c r="I16" s="140"/>
      <c r="K16" s="214" t="str">
        <f t="shared" si="1"/>
        <v>Manager</v>
      </c>
      <c r="L16" s="468" t="str">
        <f t="shared" si="2"/>
        <v/>
      </c>
      <c r="M16" s="315"/>
      <c r="N16" s="171"/>
      <c r="O16" s="171"/>
      <c r="P16" s="171"/>
      <c r="T16" s="97"/>
      <c r="U16" s="56"/>
      <c r="V16" s="56"/>
      <c r="W16" s="56"/>
      <c r="X16" s="56"/>
      <c r="Y16" s="56"/>
      <c r="Z16" s="56"/>
      <c r="AA16" s="56"/>
      <c r="AB16" s="56"/>
      <c r="AC16" s="56"/>
      <c r="AD16" s="56"/>
      <c r="AE16" s="56"/>
      <c r="AK16" s="121"/>
      <c r="AL16" s="121"/>
    </row>
    <row r="17" spans="1:36" ht="42.6" customHeight="1">
      <c r="A17" s="157"/>
      <c r="B17" s="158" t="s">
        <v>111</v>
      </c>
      <c r="C17" s="149">
        <v>1</v>
      </c>
      <c r="D17" s="485" t="s">
        <v>46</v>
      </c>
      <c r="E17" s="485"/>
      <c r="F17" s="485"/>
      <c r="G17" s="485"/>
      <c r="H17" s="486"/>
      <c r="I17" s="157"/>
      <c r="K17" s="214" t="str">
        <f t="shared" si="1"/>
        <v>Adviser</v>
      </c>
      <c r="L17" s="468" t="str">
        <f t="shared" si="2"/>
        <v/>
      </c>
      <c r="M17" s="315"/>
      <c r="N17" s="171"/>
      <c r="O17" s="171"/>
      <c r="P17" s="171"/>
      <c r="T17" s="97"/>
      <c r="U17" s="56"/>
      <c r="V17" s="56"/>
      <c r="W17" s="56"/>
      <c r="X17" s="56"/>
      <c r="Y17" s="56"/>
      <c r="Z17" s="56"/>
      <c r="AA17" s="56"/>
      <c r="AB17" s="56"/>
      <c r="AC17" s="56"/>
      <c r="AD17" s="56"/>
      <c r="AE17" s="56"/>
    </row>
    <row r="18" spans="1:36" ht="26.1" customHeight="1">
      <c r="A18" s="140"/>
      <c r="B18" s="213" t="s">
        <v>133</v>
      </c>
      <c r="C18" s="149" t="b">
        <f>FALSE()</f>
        <v>0</v>
      </c>
      <c r="D18" s="163" t="s">
        <v>231</v>
      </c>
      <c r="E18" s="164"/>
      <c r="F18" s="164"/>
      <c r="G18" s="164"/>
      <c r="H18" s="165"/>
      <c r="I18" s="140"/>
      <c r="K18" s="214" t="str">
        <f t="shared" si="1"/>
        <v>Organization</v>
      </c>
      <c r="L18" s="468" t="str">
        <f t="shared" si="2"/>
        <v/>
      </c>
      <c r="M18" s="315"/>
      <c r="N18" s="171"/>
      <c r="O18" s="171"/>
      <c r="P18" s="171"/>
      <c r="T18" s="97"/>
      <c r="U18" s="56"/>
      <c r="V18" s="56"/>
      <c r="W18" s="56"/>
      <c r="X18" s="56"/>
      <c r="Y18" s="56"/>
      <c r="Z18" s="56"/>
      <c r="AA18" s="56"/>
      <c r="AB18" s="56"/>
      <c r="AC18" s="56"/>
      <c r="AD18" s="56"/>
      <c r="AE18" s="56"/>
    </row>
    <row r="19" spans="1:36" ht="18.899999999999999" customHeight="1">
      <c r="A19" s="140"/>
      <c r="B19" s="213" t="s">
        <v>134</v>
      </c>
      <c r="C19" s="149" t="b">
        <f>FALSE()</f>
        <v>0</v>
      </c>
      <c r="D19" s="163" t="s">
        <v>232</v>
      </c>
      <c r="E19" s="164"/>
      <c r="F19" s="164"/>
      <c r="G19" s="164"/>
      <c r="H19" s="165"/>
      <c r="I19" s="140"/>
      <c r="K19" s="214" t="str">
        <f t="shared" si="1"/>
        <v>Agency</v>
      </c>
      <c r="L19" s="468" t="str">
        <f t="shared" si="2"/>
        <v/>
      </c>
      <c r="M19" s="315"/>
      <c r="N19" s="171"/>
      <c r="O19" s="171"/>
      <c r="P19" s="171"/>
      <c r="T19" s="97"/>
      <c r="U19" s="56"/>
      <c r="V19" s="56"/>
      <c r="W19" s="56"/>
      <c r="X19" s="56"/>
      <c r="Y19" s="56"/>
      <c r="Z19" s="56"/>
      <c r="AA19" s="56"/>
      <c r="AB19" s="56"/>
      <c r="AC19" s="56"/>
      <c r="AD19" s="56"/>
      <c r="AE19" s="56"/>
    </row>
    <row r="20" spans="1:36" ht="18.899999999999999" customHeight="1">
      <c r="A20" s="140"/>
      <c r="B20" s="213" t="s">
        <v>135</v>
      </c>
      <c r="C20" s="149" t="b">
        <f>FALSE()</f>
        <v>0</v>
      </c>
      <c r="D20" s="163" t="s">
        <v>233</v>
      </c>
      <c r="E20" s="164"/>
      <c r="F20" s="164"/>
      <c r="G20" s="164"/>
      <c r="H20" s="165"/>
      <c r="I20" s="140"/>
      <c r="K20" s="214" t="str">
        <f t="shared" si="1"/>
        <v>Counter</v>
      </c>
      <c r="L20" s="468" t="str">
        <f t="shared" si="2"/>
        <v/>
      </c>
      <c r="M20" s="315"/>
      <c r="N20" s="171"/>
      <c r="O20" s="171"/>
      <c r="P20" s="171"/>
      <c r="T20" s="97"/>
      <c r="U20" s="56"/>
      <c r="V20" s="56"/>
      <c r="W20" s="56"/>
      <c r="X20" s="56"/>
      <c r="Y20" s="56"/>
      <c r="Z20" s="56"/>
      <c r="AA20" s="56"/>
      <c r="AB20" s="56"/>
      <c r="AC20" s="56"/>
      <c r="AD20" s="56"/>
      <c r="AE20" s="56"/>
    </row>
    <row r="21" spans="1:36" ht="18.899999999999999" customHeight="1">
      <c r="A21" s="140"/>
      <c r="B21" s="139"/>
      <c r="C21" s="145"/>
      <c r="D21" s="144"/>
      <c r="E21" s="144"/>
      <c r="F21" s="144"/>
      <c r="G21" s="144"/>
      <c r="H21" s="140"/>
      <c r="I21" s="140"/>
      <c r="K21" s="214" t="str">
        <f t="shared" si="1"/>
        <v>Timer</v>
      </c>
      <c r="L21" s="468" t="str">
        <f t="shared" si="2"/>
        <v/>
      </c>
      <c r="M21" s="315"/>
      <c r="N21" s="171"/>
      <c r="O21" s="171"/>
      <c r="P21" s="171"/>
      <c r="T21" s="97"/>
      <c r="U21" s="56"/>
      <c r="V21" s="56"/>
      <c r="W21" s="56"/>
      <c r="X21" s="56"/>
      <c r="Y21" s="56"/>
      <c r="Z21" s="56"/>
      <c r="AA21" s="56"/>
      <c r="AB21" s="56"/>
      <c r="AC21" s="56"/>
      <c r="AD21" s="56"/>
      <c r="AE21" s="56"/>
    </row>
    <row r="22" spans="1:36" ht="17.100000000000001" customHeight="1">
      <c r="A22" s="152"/>
      <c r="B22" s="153"/>
      <c r="C22" s="154"/>
      <c r="D22" s="155"/>
      <c r="E22" s="155"/>
      <c r="F22" s="155"/>
      <c r="G22" s="155"/>
      <c r="H22" s="152"/>
      <c r="I22" s="152"/>
      <c r="K22" s="214" t="str">
        <f t="shared" si="1"/>
        <v>Charter</v>
      </c>
      <c r="L22" s="468" t="str">
        <f t="shared" si="2"/>
        <v/>
      </c>
      <c r="M22" s="315"/>
      <c r="N22" s="171"/>
      <c r="O22" s="171"/>
      <c r="P22" s="171"/>
      <c r="T22" s="97"/>
      <c r="U22" s="56"/>
      <c r="V22" s="56"/>
      <c r="W22" s="56"/>
      <c r="X22" s="56"/>
      <c r="Y22" s="56"/>
      <c r="Z22" s="56"/>
      <c r="AA22" s="56"/>
      <c r="AB22" s="358"/>
      <c r="AC22" s="56"/>
      <c r="AD22" s="56"/>
      <c r="AE22" s="56"/>
    </row>
    <row r="23" spans="1:36" s="156" customFormat="1" ht="14.1" customHeight="1">
      <c r="A23" s="152"/>
      <c r="B23" s="153"/>
      <c r="C23" s="154"/>
      <c r="D23" s="155"/>
      <c r="E23" s="155"/>
      <c r="F23" s="155"/>
      <c r="G23" s="155"/>
      <c r="H23" s="152"/>
      <c r="I23" s="152"/>
      <c r="T23" s="97"/>
      <c r="U23" s="56"/>
      <c r="V23" s="56"/>
      <c r="W23" s="56"/>
      <c r="X23" s="56"/>
      <c r="Y23" s="56"/>
      <c r="Z23" s="56"/>
      <c r="AA23" s="56"/>
      <c r="AB23" s="358"/>
      <c r="AC23" s="56"/>
      <c r="AD23" s="56"/>
      <c r="AE23" s="56"/>
      <c r="AF23" s="56"/>
      <c r="AG23" s="56"/>
      <c r="AH23" s="56"/>
      <c r="AI23" s="16"/>
      <c r="AJ23" s="16"/>
    </row>
    <row r="24" spans="1:36" s="156" customFormat="1" ht="14.1" customHeight="1">
      <c r="A24" s="152"/>
      <c r="B24" s="153"/>
      <c r="C24" s="154"/>
      <c r="D24" s="155"/>
      <c r="E24" s="155"/>
      <c r="F24" s="155"/>
      <c r="G24" s="155"/>
      <c r="H24" s="152"/>
      <c r="I24" s="152"/>
      <c r="T24" s="97"/>
      <c r="U24" s="56"/>
      <c r="V24" s="56"/>
      <c r="W24" s="56"/>
      <c r="X24" s="56"/>
      <c r="Y24" s="56"/>
      <c r="Z24" s="56"/>
      <c r="AA24" s="56"/>
      <c r="AB24" s="358"/>
      <c r="AC24" s="56"/>
      <c r="AD24" s="56"/>
      <c r="AE24" s="56"/>
      <c r="AF24" s="56"/>
      <c r="AG24" s="56"/>
      <c r="AH24" s="56"/>
      <c r="AI24" s="16"/>
      <c r="AJ24" s="16"/>
    </row>
    <row r="25" spans="1:36" s="156" customFormat="1">
      <c r="A25" s="128"/>
      <c r="B25" s="86"/>
      <c r="C25" s="146"/>
      <c r="D25" s="147"/>
      <c r="E25" s="147"/>
      <c r="F25" s="147"/>
      <c r="G25" s="147"/>
      <c r="H25" s="88"/>
      <c r="I25" s="128"/>
      <c r="T25" s="77"/>
      <c r="U25" s="358"/>
      <c r="V25" s="358"/>
      <c r="W25" s="358"/>
      <c r="X25" s="358"/>
      <c r="Y25" s="358"/>
      <c r="Z25" s="358"/>
      <c r="AA25" s="358"/>
      <c r="AB25" s="56"/>
      <c r="AC25" s="358"/>
      <c r="AD25" s="358"/>
      <c r="AE25" s="358"/>
      <c r="AF25" s="358"/>
      <c r="AG25" s="358"/>
      <c r="AH25" s="358"/>
      <c r="AI25" s="16"/>
      <c r="AJ25" s="16"/>
    </row>
    <row r="26" spans="1:36">
      <c r="B26" s="85"/>
      <c r="C26" s="146"/>
      <c r="D26" s="147"/>
      <c r="E26" s="147"/>
      <c r="F26" s="147"/>
      <c r="G26" s="147"/>
      <c r="T26" s="77"/>
      <c r="U26" s="358"/>
      <c r="V26" s="358"/>
      <c r="W26" s="358"/>
      <c r="X26" s="358"/>
      <c r="Y26" s="358"/>
      <c r="Z26" s="358"/>
      <c r="AA26" s="358"/>
      <c r="AB26" s="56"/>
      <c r="AC26" s="358"/>
      <c r="AD26" s="358"/>
      <c r="AE26" s="358"/>
      <c r="AF26" s="358"/>
      <c r="AG26" s="358"/>
      <c r="AH26" s="358"/>
    </row>
    <row r="27" spans="1:36">
      <c r="B27" s="85"/>
      <c r="C27" s="146"/>
      <c r="D27" s="147"/>
      <c r="E27" s="147"/>
      <c r="F27" s="147"/>
      <c r="G27" s="147"/>
      <c r="T27" s="77"/>
      <c r="U27" s="358"/>
      <c r="V27" s="358"/>
      <c r="W27" s="358"/>
      <c r="X27" s="358"/>
      <c r="Y27" s="358"/>
      <c r="Z27" s="358"/>
      <c r="AA27" s="358"/>
      <c r="AB27" s="56"/>
      <c r="AC27" s="358"/>
      <c r="AD27" s="358"/>
      <c r="AE27" s="358"/>
      <c r="AF27" s="358"/>
      <c r="AG27" s="358"/>
      <c r="AH27" s="358"/>
    </row>
    <row r="28" spans="1:36">
      <c r="B28" s="85"/>
      <c r="C28" s="146"/>
      <c r="D28" s="147"/>
      <c r="E28" s="147"/>
      <c r="F28" s="147"/>
      <c r="G28" s="147"/>
      <c r="T28" s="97"/>
      <c r="U28" s="56"/>
      <c r="V28" s="56"/>
      <c r="W28" s="56"/>
      <c r="X28" s="56"/>
      <c r="Y28" s="56"/>
      <c r="Z28" s="56"/>
      <c r="AA28" s="56"/>
      <c r="AB28" s="56"/>
      <c r="AC28" s="56"/>
      <c r="AD28" s="56"/>
      <c r="AE28" s="56"/>
    </row>
    <row r="29" spans="1:36">
      <c r="B29" s="85"/>
      <c r="C29" s="146"/>
      <c r="D29" s="147"/>
      <c r="E29" s="147"/>
      <c r="F29" s="147"/>
      <c r="G29" s="147"/>
      <c r="T29" s="97"/>
      <c r="U29" s="56"/>
      <c r="V29" s="56"/>
      <c r="W29" s="56"/>
      <c r="X29" s="56"/>
      <c r="Y29" s="56"/>
      <c r="Z29" s="56"/>
      <c r="AA29" s="56"/>
      <c r="AB29" s="56"/>
      <c r="AC29" s="56"/>
      <c r="AD29" s="56"/>
      <c r="AE29" s="56"/>
    </row>
    <row r="30" spans="1:36">
      <c r="B30" s="85"/>
      <c r="C30" s="146"/>
      <c r="D30" s="147"/>
      <c r="E30" s="147"/>
      <c r="F30" s="147"/>
      <c r="G30" s="147"/>
      <c r="T30" s="97"/>
      <c r="U30" s="56"/>
      <c r="V30" s="56"/>
      <c r="W30" s="56"/>
      <c r="X30" s="56"/>
      <c r="Y30" s="56"/>
      <c r="Z30" s="56"/>
      <c r="AA30" s="56"/>
      <c r="AB30" s="56"/>
      <c r="AC30" s="56"/>
      <c r="AD30" s="56"/>
      <c r="AE30" s="56"/>
    </row>
    <row r="31" spans="1:36">
      <c r="B31" s="85"/>
      <c r="C31" s="146"/>
      <c r="D31" s="147"/>
      <c r="E31" s="147"/>
      <c r="F31" s="147"/>
      <c r="G31" s="147"/>
      <c r="T31" s="97"/>
      <c r="U31" s="56"/>
      <c r="V31" s="56"/>
      <c r="W31" s="56"/>
      <c r="X31" s="56"/>
      <c r="Y31" s="56"/>
      <c r="Z31" s="56"/>
      <c r="AA31" s="56"/>
      <c r="AB31" s="56"/>
      <c r="AC31" s="56"/>
      <c r="AD31" s="56"/>
      <c r="AE31" s="56"/>
    </row>
    <row r="32" spans="1:36">
      <c r="B32" s="85"/>
      <c r="C32" s="146"/>
      <c r="D32" s="147"/>
      <c r="E32" s="147"/>
      <c r="F32" s="147"/>
      <c r="G32" s="147"/>
      <c r="T32" s="97"/>
      <c r="U32" s="56"/>
      <c r="V32" s="56"/>
      <c r="W32" s="56"/>
      <c r="X32" s="56"/>
      <c r="Y32" s="56"/>
      <c r="Z32" s="56"/>
      <c r="AA32" s="56"/>
      <c r="AB32" s="56"/>
      <c r="AC32" s="56"/>
      <c r="AD32" s="56"/>
      <c r="AE32" s="56"/>
    </row>
    <row r="33" spans="2:31">
      <c r="B33" s="85"/>
      <c r="C33" s="146"/>
      <c r="D33" s="147"/>
      <c r="E33" s="147"/>
      <c r="F33" s="147"/>
      <c r="G33" s="147"/>
      <c r="T33" s="97"/>
      <c r="U33" s="56"/>
      <c r="V33" s="56"/>
      <c r="W33" s="56"/>
      <c r="X33" s="56"/>
      <c r="Y33" s="56"/>
      <c r="Z33" s="56"/>
      <c r="AA33" s="56"/>
      <c r="AB33" s="56"/>
      <c r="AC33" s="56"/>
      <c r="AD33" s="56"/>
      <c r="AE33" s="56"/>
    </row>
    <row r="34" spans="2:31">
      <c r="B34" s="85"/>
      <c r="C34" s="146"/>
      <c r="D34" s="147"/>
      <c r="E34" s="147"/>
      <c r="F34" s="147"/>
      <c r="G34" s="147"/>
      <c r="T34" s="97"/>
      <c r="U34" s="56"/>
      <c r="V34" s="56"/>
      <c r="W34" s="56"/>
      <c r="X34" s="56"/>
      <c r="Y34" s="56"/>
      <c r="Z34" s="56"/>
      <c r="AA34" s="56"/>
      <c r="AB34" s="56"/>
      <c r="AC34" s="56"/>
      <c r="AD34" s="56"/>
      <c r="AE34" s="56"/>
    </row>
    <row r="35" spans="2:31">
      <c r="B35" s="85"/>
      <c r="C35" s="146"/>
      <c r="D35" s="147"/>
      <c r="E35" s="147"/>
      <c r="F35" s="147"/>
      <c r="G35" s="147"/>
      <c r="T35" s="97"/>
      <c r="U35" s="56"/>
      <c r="V35" s="56"/>
      <c r="W35" s="56"/>
      <c r="X35" s="56"/>
      <c r="Y35" s="56"/>
      <c r="Z35" s="56"/>
      <c r="AA35" s="56"/>
      <c r="AB35" s="56"/>
      <c r="AC35" s="56"/>
      <c r="AD35" s="56"/>
      <c r="AE35" s="56"/>
    </row>
    <row r="36" spans="2:31">
      <c r="B36" s="85"/>
      <c r="C36" s="146"/>
      <c r="D36" s="147"/>
      <c r="E36" s="147"/>
      <c r="F36" s="147"/>
      <c r="G36" s="147"/>
      <c r="T36" s="97"/>
      <c r="U36" s="56"/>
      <c r="V36" s="56"/>
      <c r="W36" s="56"/>
      <c r="X36" s="56"/>
      <c r="Y36" s="56"/>
      <c r="Z36" s="56"/>
      <c r="AA36" s="56"/>
      <c r="AB36" s="56"/>
      <c r="AC36" s="56"/>
      <c r="AD36" s="56"/>
      <c r="AE36" s="56"/>
    </row>
    <row r="37" spans="2:31">
      <c r="B37" s="85"/>
      <c r="C37" s="146"/>
      <c r="D37" s="147"/>
      <c r="E37" s="147"/>
      <c r="F37" s="147"/>
      <c r="G37" s="147"/>
      <c r="T37" s="97"/>
      <c r="U37" s="56"/>
      <c r="V37" s="56"/>
      <c r="W37" s="56"/>
      <c r="X37" s="56"/>
      <c r="Y37" s="56"/>
      <c r="Z37" s="56"/>
      <c r="AA37" s="56"/>
      <c r="AB37" s="56"/>
      <c r="AC37" s="56"/>
      <c r="AD37" s="56"/>
      <c r="AE37" s="56"/>
    </row>
    <row r="38" spans="2:31">
      <c r="B38" s="85"/>
      <c r="C38" s="146"/>
      <c r="D38" s="147"/>
      <c r="E38" s="147"/>
      <c r="F38" s="147"/>
      <c r="G38" s="147"/>
      <c r="T38" s="97"/>
      <c r="U38" s="56"/>
      <c r="V38" s="56"/>
      <c r="W38" s="56"/>
      <c r="X38" s="56"/>
      <c r="Y38" s="56"/>
      <c r="Z38" s="56"/>
      <c r="AA38" s="56"/>
      <c r="AB38" s="56"/>
      <c r="AC38" s="56"/>
      <c r="AD38" s="56"/>
      <c r="AE38" s="56"/>
    </row>
    <row r="39" spans="2:31">
      <c r="B39" s="85"/>
      <c r="C39" s="146"/>
      <c r="D39" s="147"/>
      <c r="E39" s="147"/>
      <c r="F39" s="147"/>
      <c r="G39" s="147"/>
      <c r="T39" s="97"/>
      <c r="U39" s="56"/>
      <c r="V39" s="56"/>
      <c r="W39" s="56"/>
      <c r="X39" s="56"/>
      <c r="Y39" s="56"/>
      <c r="Z39" s="56"/>
      <c r="AA39" s="56"/>
      <c r="AB39" s="56"/>
      <c r="AC39" s="56"/>
      <c r="AD39" s="56"/>
      <c r="AE39" s="56"/>
    </row>
    <row r="40" spans="2:31">
      <c r="B40" s="85"/>
      <c r="C40" s="146"/>
      <c r="D40" s="147"/>
      <c r="E40" s="147"/>
      <c r="F40" s="147"/>
      <c r="G40" s="147"/>
      <c r="T40" s="97"/>
      <c r="U40" s="56"/>
      <c r="V40" s="56"/>
      <c r="W40" s="56"/>
      <c r="X40" s="56"/>
      <c r="Y40" s="56"/>
      <c r="Z40" s="56"/>
      <c r="AA40" s="56"/>
      <c r="AB40" s="56"/>
      <c r="AC40" s="56"/>
      <c r="AD40" s="56"/>
      <c r="AE40" s="56"/>
    </row>
    <row r="41" spans="2:31">
      <c r="B41" s="85"/>
      <c r="C41" s="146"/>
      <c r="D41" s="147"/>
      <c r="E41" s="147"/>
      <c r="F41" s="147"/>
      <c r="G41" s="147"/>
      <c r="T41" s="97"/>
      <c r="U41" s="56"/>
      <c r="V41" s="56"/>
      <c r="W41" s="56"/>
      <c r="X41" s="56"/>
      <c r="Y41" s="56"/>
      <c r="Z41" s="56"/>
      <c r="AA41" s="56"/>
      <c r="AB41" s="56"/>
      <c r="AC41" s="56"/>
      <c r="AD41" s="56"/>
      <c r="AE41" s="56"/>
    </row>
    <row r="42" spans="2:31">
      <c r="B42" s="85"/>
      <c r="C42" s="146"/>
      <c r="D42" s="147"/>
      <c r="E42" s="147"/>
      <c r="F42" s="147"/>
      <c r="G42" s="147"/>
      <c r="T42" s="97"/>
      <c r="U42" s="56"/>
      <c r="V42" s="56"/>
      <c r="W42" s="56"/>
      <c r="X42" s="56"/>
      <c r="Y42" s="56"/>
      <c r="Z42" s="56"/>
      <c r="AA42" s="56"/>
      <c r="AB42" s="56"/>
      <c r="AC42" s="56"/>
      <c r="AD42" s="56"/>
      <c r="AE42" s="56"/>
    </row>
    <row r="43" spans="2:31">
      <c r="B43" s="85"/>
      <c r="C43" s="146"/>
      <c r="D43" s="147"/>
      <c r="E43" s="147"/>
      <c r="F43" s="147"/>
      <c r="G43" s="147"/>
      <c r="T43" s="97"/>
      <c r="U43" s="56"/>
      <c r="V43" s="56"/>
      <c r="W43" s="56"/>
      <c r="X43" s="56"/>
      <c r="Y43" s="56"/>
      <c r="Z43" s="56"/>
      <c r="AA43" s="56"/>
      <c r="AB43" s="56"/>
      <c r="AC43" s="56"/>
      <c r="AD43" s="56"/>
      <c r="AE43" s="56"/>
    </row>
    <row r="44" spans="2:31">
      <c r="B44" s="85"/>
      <c r="C44" s="146"/>
      <c r="D44" s="147"/>
      <c r="E44" s="147"/>
      <c r="F44" s="147"/>
      <c r="G44" s="147"/>
      <c r="T44" s="97"/>
      <c r="U44" s="56"/>
      <c r="V44" s="56"/>
      <c r="W44" s="56"/>
      <c r="X44" s="56"/>
      <c r="Y44" s="56"/>
      <c r="Z44" s="56"/>
      <c r="AA44" s="56"/>
      <c r="AB44" s="56"/>
      <c r="AC44" s="56"/>
      <c r="AD44" s="56"/>
      <c r="AE44" s="56"/>
    </row>
    <row r="45" spans="2:31">
      <c r="B45" s="85"/>
      <c r="C45" s="146"/>
      <c r="D45" s="147"/>
      <c r="E45" s="147"/>
      <c r="F45" s="147"/>
      <c r="G45" s="147"/>
      <c r="T45" s="97"/>
      <c r="U45" s="56"/>
      <c r="V45" s="56"/>
      <c r="W45" s="56"/>
      <c r="X45" s="56"/>
      <c r="Y45" s="56"/>
      <c r="Z45" s="56"/>
      <c r="AA45" s="56"/>
      <c r="AB45" s="56"/>
      <c r="AC45" s="56"/>
      <c r="AD45" s="56"/>
      <c r="AE45" s="56"/>
    </row>
    <row r="46" spans="2:31">
      <c r="B46" s="85"/>
      <c r="C46" s="146"/>
      <c r="D46" s="147"/>
      <c r="E46" s="147"/>
      <c r="F46" s="147"/>
      <c r="G46" s="147"/>
      <c r="T46" s="97"/>
      <c r="U46" s="56"/>
      <c r="V46" s="56"/>
      <c r="W46" s="56"/>
      <c r="X46" s="56"/>
      <c r="Y46" s="56"/>
      <c r="Z46" s="56"/>
      <c r="AA46" s="56"/>
      <c r="AB46" s="56"/>
      <c r="AC46" s="56"/>
      <c r="AD46" s="56"/>
      <c r="AE46" s="56"/>
    </row>
    <row r="47" spans="2:31">
      <c r="B47" s="85"/>
      <c r="C47" s="146"/>
      <c r="D47" s="147"/>
      <c r="E47" s="147"/>
      <c r="F47" s="147"/>
      <c r="G47" s="147"/>
      <c r="T47" s="97"/>
      <c r="U47" s="56"/>
      <c r="V47" s="56"/>
      <c r="W47" s="56"/>
      <c r="X47" s="56"/>
      <c r="Y47" s="56"/>
      <c r="Z47" s="56"/>
      <c r="AA47" s="56"/>
      <c r="AB47" s="56"/>
      <c r="AC47" s="56"/>
      <c r="AD47" s="56"/>
      <c r="AE47" s="56"/>
    </row>
    <row r="48" spans="2:31">
      <c r="B48" s="85"/>
      <c r="C48" s="146"/>
      <c r="D48" s="147"/>
      <c r="E48" s="147"/>
      <c r="F48" s="147"/>
      <c r="G48" s="147"/>
      <c r="T48" s="97"/>
      <c r="U48" s="56"/>
      <c r="V48" s="56"/>
      <c r="W48" s="56"/>
      <c r="X48" s="56"/>
      <c r="Y48" s="56"/>
      <c r="Z48" s="56"/>
      <c r="AA48" s="56"/>
      <c r="AB48" s="56"/>
      <c r="AC48" s="56"/>
      <c r="AD48" s="56"/>
      <c r="AE48" s="56"/>
    </row>
    <row r="49" spans="2:31">
      <c r="B49" s="85"/>
      <c r="C49" s="146"/>
      <c r="D49" s="147"/>
      <c r="E49" s="147"/>
      <c r="F49" s="147"/>
      <c r="G49" s="147"/>
      <c r="T49" s="97"/>
      <c r="U49" s="56"/>
      <c r="V49" s="56"/>
      <c r="W49" s="56"/>
      <c r="X49" s="56"/>
      <c r="Y49" s="56"/>
      <c r="Z49" s="56"/>
      <c r="AA49" s="56"/>
      <c r="AB49" s="56"/>
      <c r="AC49" s="56"/>
      <c r="AD49" s="56"/>
      <c r="AE49" s="56"/>
    </row>
    <row r="50" spans="2:31">
      <c r="B50" s="85"/>
      <c r="C50" s="146"/>
      <c r="D50" s="147"/>
      <c r="E50" s="147"/>
      <c r="F50" s="147"/>
      <c r="G50" s="147"/>
      <c r="T50" s="97"/>
      <c r="U50" s="56"/>
      <c r="V50" s="56"/>
      <c r="W50" s="56"/>
      <c r="X50" s="56"/>
      <c r="Y50" s="56"/>
      <c r="Z50" s="56"/>
      <c r="AA50" s="56"/>
      <c r="AB50" s="56"/>
      <c r="AC50" s="56"/>
      <c r="AD50" s="56"/>
      <c r="AE50" s="56"/>
    </row>
    <row r="51" spans="2:31">
      <c r="B51" s="85"/>
      <c r="C51" s="146"/>
      <c r="D51" s="147"/>
      <c r="E51" s="147"/>
      <c r="F51" s="147"/>
      <c r="G51" s="147"/>
      <c r="T51" s="97"/>
      <c r="U51" s="56"/>
      <c r="V51" s="56"/>
      <c r="W51" s="56"/>
      <c r="X51" s="56"/>
      <c r="Y51" s="56"/>
      <c r="Z51" s="56"/>
      <c r="AA51" s="56"/>
      <c r="AB51" s="56"/>
      <c r="AC51" s="56"/>
      <c r="AD51" s="56"/>
      <c r="AE51" s="56"/>
    </row>
    <row r="52" spans="2:31">
      <c r="B52" s="85"/>
      <c r="C52" s="146"/>
      <c r="D52" s="147"/>
      <c r="E52" s="147"/>
      <c r="F52" s="147"/>
      <c r="G52" s="147"/>
      <c r="T52" s="97"/>
      <c r="U52" s="56"/>
      <c r="V52" s="56"/>
      <c r="W52" s="56"/>
      <c r="X52" s="56"/>
      <c r="Y52" s="56"/>
      <c r="Z52" s="56"/>
      <c r="AA52" s="56"/>
      <c r="AB52" s="56"/>
      <c r="AC52" s="56"/>
      <c r="AD52" s="56"/>
      <c r="AE52" s="56"/>
    </row>
    <row r="53" spans="2:31">
      <c r="B53" s="85"/>
      <c r="C53" s="146"/>
      <c r="D53" s="147"/>
      <c r="E53" s="147"/>
      <c r="F53" s="147"/>
      <c r="G53" s="147"/>
      <c r="T53" s="97"/>
      <c r="U53" s="56"/>
      <c r="V53" s="56"/>
      <c r="W53" s="56"/>
      <c r="X53" s="56"/>
      <c r="Y53" s="56"/>
      <c r="Z53" s="56"/>
      <c r="AA53" s="56"/>
      <c r="AB53" s="56"/>
      <c r="AC53" s="56"/>
      <c r="AD53" s="56"/>
      <c r="AE53" s="56"/>
    </row>
    <row r="54" spans="2:31">
      <c r="B54" s="85"/>
      <c r="C54" s="146"/>
      <c r="D54" s="147"/>
      <c r="E54" s="147"/>
      <c r="F54" s="147"/>
      <c r="G54" s="147"/>
      <c r="T54" s="97"/>
      <c r="U54" s="56"/>
      <c r="V54" s="56"/>
      <c r="W54" s="56"/>
      <c r="X54" s="56"/>
      <c r="Y54" s="56"/>
      <c r="Z54" s="56"/>
      <c r="AA54" s="56"/>
      <c r="AB54" s="56"/>
      <c r="AC54" s="56"/>
      <c r="AD54" s="56"/>
      <c r="AE54" s="56"/>
    </row>
    <row r="55" spans="2:31">
      <c r="B55" s="85"/>
      <c r="C55" s="146"/>
      <c r="D55" s="147"/>
      <c r="E55" s="147"/>
      <c r="F55" s="147"/>
      <c r="G55" s="147"/>
      <c r="T55" s="97"/>
      <c r="U55" s="56"/>
      <c r="V55" s="56"/>
      <c r="W55" s="56"/>
      <c r="X55" s="56"/>
      <c r="Y55" s="56"/>
      <c r="Z55" s="56"/>
      <c r="AA55" s="56"/>
      <c r="AB55" s="56"/>
      <c r="AC55" s="56"/>
      <c r="AD55" s="56"/>
      <c r="AE55" s="56"/>
    </row>
    <row r="56" spans="2:31">
      <c r="B56" s="85"/>
      <c r="C56" s="146"/>
      <c r="D56" s="147"/>
      <c r="E56" s="147"/>
      <c r="F56" s="147"/>
      <c r="G56" s="147"/>
      <c r="T56" s="97"/>
      <c r="U56" s="56"/>
      <c r="V56" s="56"/>
      <c r="W56" s="56"/>
      <c r="X56" s="56"/>
      <c r="Y56" s="56"/>
      <c r="Z56" s="56"/>
      <c r="AA56" s="56"/>
      <c r="AB56" s="56"/>
      <c r="AC56" s="56"/>
      <c r="AD56" s="56"/>
      <c r="AE56" s="56"/>
    </row>
    <row r="57" spans="2:31">
      <c r="B57" s="85"/>
      <c r="C57" s="146"/>
      <c r="D57" s="147"/>
      <c r="E57" s="147"/>
      <c r="F57" s="147"/>
      <c r="G57" s="147"/>
      <c r="T57" s="97"/>
      <c r="U57" s="56"/>
      <c r="V57" s="56"/>
      <c r="W57" s="56"/>
      <c r="X57" s="56"/>
      <c r="Y57" s="56"/>
      <c r="Z57" s="56"/>
      <c r="AA57" s="56"/>
      <c r="AB57" s="56"/>
      <c r="AC57" s="56"/>
      <c r="AD57" s="56"/>
      <c r="AE57" s="56"/>
    </row>
    <row r="58" spans="2:31">
      <c r="B58" s="85"/>
      <c r="C58" s="146"/>
      <c r="D58" s="147"/>
      <c r="E58" s="147"/>
      <c r="F58" s="147"/>
      <c r="G58" s="147"/>
      <c r="T58" s="97"/>
      <c r="U58" s="56"/>
      <c r="V58" s="56"/>
      <c r="W58" s="56"/>
      <c r="X58" s="56"/>
      <c r="Y58" s="56"/>
      <c r="Z58" s="56"/>
      <c r="AA58" s="56"/>
      <c r="AB58" s="56"/>
      <c r="AC58" s="56"/>
      <c r="AD58" s="56"/>
      <c r="AE58" s="56"/>
    </row>
    <row r="59" spans="2:31">
      <c r="B59" s="85"/>
      <c r="C59" s="146"/>
      <c r="D59" s="147"/>
      <c r="E59" s="147"/>
      <c r="F59" s="147"/>
      <c r="G59" s="147"/>
      <c r="T59" s="97"/>
      <c r="U59" s="56"/>
      <c r="V59" s="56"/>
      <c r="W59" s="56"/>
      <c r="X59" s="56"/>
      <c r="Y59" s="56"/>
      <c r="Z59" s="56"/>
      <c r="AA59" s="56"/>
      <c r="AB59" s="56"/>
      <c r="AC59" s="56"/>
      <c r="AD59" s="56"/>
      <c r="AE59" s="56"/>
    </row>
    <row r="60" spans="2:31">
      <c r="B60" s="85"/>
      <c r="C60" s="146"/>
      <c r="D60" s="147"/>
      <c r="E60" s="147"/>
      <c r="F60" s="147"/>
      <c r="G60" s="147"/>
      <c r="T60" s="97"/>
      <c r="U60" s="56"/>
      <c r="V60" s="56"/>
      <c r="W60" s="56"/>
      <c r="X60" s="56"/>
      <c r="Y60" s="56"/>
      <c r="Z60" s="56"/>
      <c r="AA60" s="56"/>
      <c r="AB60" s="56"/>
      <c r="AC60" s="56"/>
      <c r="AD60" s="56"/>
      <c r="AE60" s="56"/>
    </row>
    <row r="61" spans="2:31">
      <c r="B61" s="85"/>
      <c r="C61" s="146"/>
      <c r="D61" s="147"/>
      <c r="E61" s="147"/>
      <c r="F61" s="147"/>
      <c r="G61" s="147"/>
      <c r="T61" s="97"/>
      <c r="U61" s="56"/>
      <c r="V61" s="56"/>
      <c r="W61" s="56"/>
      <c r="X61" s="56"/>
      <c r="Y61" s="56"/>
      <c r="Z61" s="56"/>
      <c r="AA61" s="56"/>
      <c r="AB61" s="56"/>
      <c r="AC61" s="56"/>
      <c r="AD61" s="56"/>
      <c r="AE61" s="56"/>
    </row>
    <row r="62" spans="2:31">
      <c r="B62" s="85"/>
      <c r="C62" s="146"/>
      <c r="D62" s="147"/>
      <c r="E62" s="147"/>
      <c r="F62" s="147"/>
      <c r="G62" s="147"/>
      <c r="T62" s="97"/>
      <c r="U62" s="56"/>
      <c r="V62" s="56"/>
      <c r="W62" s="56"/>
      <c r="X62" s="56"/>
      <c r="Y62" s="56"/>
      <c r="Z62" s="56"/>
      <c r="AA62" s="56"/>
      <c r="AC62" s="56"/>
      <c r="AD62" s="56"/>
      <c r="AE62" s="56"/>
    </row>
    <row r="63" spans="2:31">
      <c r="B63" s="85"/>
      <c r="C63" s="146"/>
      <c r="D63" s="147"/>
      <c r="E63" s="147"/>
      <c r="F63" s="147"/>
      <c r="G63" s="147"/>
      <c r="T63" s="97"/>
      <c r="U63" s="56"/>
      <c r="V63" s="56"/>
      <c r="W63" s="56"/>
      <c r="X63" s="56"/>
      <c r="Y63" s="56"/>
      <c r="Z63" s="56"/>
      <c r="AA63" s="56"/>
      <c r="AC63" s="56"/>
      <c r="AD63" s="56"/>
      <c r="AE63" s="56"/>
    </row>
    <row r="64" spans="2:31">
      <c r="B64" s="85"/>
      <c r="C64" s="146"/>
      <c r="D64" s="147"/>
      <c r="E64" s="147"/>
      <c r="F64" s="147"/>
      <c r="G64" s="147"/>
      <c r="T64" s="97"/>
      <c r="U64" s="56"/>
      <c r="V64" s="56"/>
      <c r="W64" s="56"/>
      <c r="X64" s="56"/>
      <c r="Y64" s="56"/>
      <c r="Z64" s="56"/>
      <c r="AA64" s="56"/>
      <c r="AC64" s="56"/>
      <c r="AD64" s="56"/>
      <c r="AE64" s="56"/>
    </row>
    <row r="65" spans="2:7">
      <c r="B65" s="85"/>
      <c r="C65" s="146"/>
      <c r="D65" s="147"/>
      <c r="E65" s="147"/>
      <c r="F65" s="147"/>
      <c r="G65" s="147"/>
    </row>
    <row r="66" spans="2:7">
      <c r="B66" s="85"/>
      <c r="C66" s="146"/>
      <c r="D66" s="147"/>
      <c r="E66" s="147"/>
      <c r="F66" s="147"/>
      <c r="G66" s="147"/>
    </row>
    <row r="67" spans="2:7">
      <c r="B67" s="85"/>
      <c r="C67" s="146"/>
      <c r="D67" s="147"/>
      <c r="E67" s="147"/>
      <c r="F67" s="147"/>
      <c r="G67" s="147"/>
    </row>
    <row r="68" spans="2:7">
      <c r="B68" s="85"/>
      <c r="C68" s="146"/>
      <c r="D68" s="147"/>
      <c r="E68" s="147"/>
      <c r="F68" s="147"/>
      <c r="G68" s="147"/>
    </row>
    <row r="69" spans="2:7">
      <c r="B69" s="85"/>
      <c r="C69" s="146"/>
      <c r="D69" s="147"/>
      <c r="E69" s="147"/>
      <c r="F69" s="147"/>
      <c r="G69" s="147"/>
    </row>
    <row r="70" spans="2:7">
      <c r="B70" s="85"/>
      <c r="C70" s="146"/>
      <c r="D70" s="147"/>
      <c r="E70" s="147"/>
      <c r="F70" s="147"/>
      <c r="G70" s="147"/>
    </row>
    <row r="71" spans="2:7">
      <c r="B71" s="85"/>
      <c r="C71" s="146"/>
      <c r="D71" s="147"/>
      <c r="E71" s="147"/>
      <c r="F71" s="147"/>
      <c r="G71" s="147"/>
    </row>
    <row r="72" spans="2:7">
      <c r="B72" s="85"/>
      <c r="C72" s="146"/>
      <c r="D72" s="147"/>
      <c r="E72" s="147"/>
      <c r="F72" s="147"/>
      <c r="G72" s="147"/>
    </row>
    <row r="73" spans="2:7">
      <c r="B73" s="85"/>
      <c r="C73" s="146"/>
      <c r="D73" s="147"/>
      <c r="E73" s="147"/>
      <c r="F73" s="147"/>
      <c r="G73" s="147"/>
    </row>
    <row r="74" spans="2:7">
      <c r="B74" s="85"/>
      <c r="C74" s="146"/>
      <c r="D74" s="147"/>
      <c r="E74" s="147"/>
      <c r="F74" s="147"/>
      <c r="G74" s="147"/>
    </row>
    <row r="75" spans="2:7">
      <c r="B75" s="85"/>
      <c r="C75" s="146"/>
      <c r="D75" s="147"/>
      <c r="E75" s="147"/>
      <c r="F75" s="147"/>
      <c r="G75" s="147"/>
    </row>
    <row r="76" spans="2:7">
      <c r="B76" s="85"/>
      <c r="C76" s="146"/>
      <c r="D76" s="147"/>
      <c r="E76" s="147"/>
      <c r="F76" s="147"/>
      <c r="G76" s="147"/>
    </row>
    <row r="77" spans="2:7">
      <c r="B77" s="85"/>
      <c r="C77" s="146"/>
      <c r="D77" s="147"/>
      <c r="E77" s="147"/>
      <c r="F77" s="147"/>
      <c r="G77" s="147"/>
    </row>
    <row r="78" spans="2:7">
      <c r="B78" s="85"/>
      <c r="C78" s="146"/>
      <c r="D78" s="147"/>
      <c r="E78" s="147"/>
      <c r="F78" s="147"/>
      <c r="G78" s="147"/>
    </row>
    <row r="79" spans="2:7">
      <c r="B79" s="85"/>
      <c r="C79" s="146"/>
      <c r="D79" s="147"/>
      <c r="E79" s="147"/>
      <c r="F79" s="147"/>
      <c r="G79" s="147"/>
    </row>
    <row r="80" spans="2:7">
      <c r="B80" s="85"/>
      <c r="C80" s="146"/>
      <c r="D80" s="147"/>
      <c r="E80" s="147"/>
      <c r="F80" s="147"/>
      <c r="G80" s="147"/>
    </row>
    <row r="81" spans="2:7">
      <c r="B81" s="85"/>
      <c r="C81" s="146"/>
      <c r="D81" s="147"/>
      <c r="E81" s="147"/>
      <c r="F81" s="147"/>
      <c r="G81" s="147"/>
    </row>
    <row r="82" spans="2:7">
      <c r="B82" s="85"/>
      <c r="C82" s="146"/>
      <c r="D82" s="147"/>
      <c r="E82" s="147"/>
      <c r="F82" s="147"/>
      <c r="G82" s="147"/>
    </row>
  </sheetData>
  <mergeCells count="8">
    <mergeCell ref="K9:M9"/>
    <mergeCell ref="D17:H17"/>
    <mergeCell ref="D2:H2"/>
    <mergeCell ref="D4:H4"/>
    <mergeCell ref="D5:H5"/>
    <mergeCell ref="D15:H15"/>
    <mergeCell ref="D16:H16"/>
    <mergeCell ref="K4:L4"/>
  </mergeCells>
  <phoneticPr fontId="0" type="noConversion"/>
  <pageMargins left="0.75" right="0.75" top="1" bottom="1" header="0.5" footer="0.5"/>
  <pageSetup orientation="portrait" r:id="rId1"/>
  <headerFooter alignWithMargins="0"/>
  <ignoredErrors>
    <ignoredError sqref="C18:C2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hangeChartFormats">
                <anchor moveWithCells="1" sizeWithCells="1">
                  <from>
                    <xdr:col>28</xdr:col>
                    <xdr:colOff>152400</xdr:colOff>
                    <xdr:row>3</xdr:row>
                    <xdr:rowOff>137160</xdr:rowOff>
                  </from>
                  <to>
                    <xdr:col>30</xdr:col>
                    <xdr:colOff>205740</xdr:colOff>
                    <xdr:row>3</xdr:row>
                    <xdr:rowOff>525780</xdr:rowOff>
                  </to>
                </anchor>
              </controlPr>
            </control>
          </mc:Choice>
        </mc:AlternateContent>
        <mc:AlternateContent xmlns:mc="http://schemas.openxmlformats.org/markup-compatibility/2006">
          <mc:Choice Requires="x14">
            <control shapeId="1027" r:id="rId5" name="Button 3">
              <controlPr defaultSize="0" print="0" autoFill="0" autoPict="0" macro="[0]!ProgressRecord">
                <anchor moveWithCells="1" sizeWithCells="1">
                  <from>
                    <xdr:col>26</xdr:col>
                    <xdr:colOff>152400</xdr:colOff>
                    <xdr:row>3</xdr:row>
                    <xdr:rowOff>129540</xdr:rowOff>
                  </from>
                  <to>
                    <xdr:col>28</xdr:col>
                    <xdr:colOff>60960</xdr:colOff>
                    <xdr:row>3</xdr:row>
                    <xdr:rowOff>525780</xdr:rowOff>
                  </to>
                </anchor>
              </controlPr>
            </control>
          </mc:Choice>
        </mc:AlternateContent>
        <mc:AlternateContent xmlns:mc="http://schemas.openxmlformats.org/markup-compatibility/2006">
          <mc:Choice Requires="x14">
            <control shapeId="1028" r:id="rId6" name="Button 4">
              <controlPr defaultSize="0" print="0" autoFill="0" autoPict="0" macro="[0]!BluelineChart">
                <anchor moveWithCells="1" sizeWithCells="1">
                  <from>
                    <xdr:col>30</xdr:col>
                    <xdr:colOff>304800</xdr:colOff>
                    <xdr:row>3</xdr:row>
                    <xdr:rowOff>144780</xdr:rowOff>
                  </from>
                  <to>
                    <xdr:col>30</xdr:col>
                    <xdr:colOff>1295400</xdr:colOff>
                    <xdr:row>3</xdr:row>
                    <xdr:rowOff>518160</xdr:rowOff>
                  </to>
                </anchor>
              </controlPr>
            </control>
          </mc:Choice>
        </mc:AlternateContent>
        <mc:AlternateContent xmlns:mc="http://schemas.openxmlformats.org/markup-compatibility/2006">
          <mc:Choice Requires="x14">
            <control shapeId="1029" r:id="rId7" name="Button 5">
              <controlPr defaultSize="0" print="0" autoFill="0" autoPict="0" macro="[0]!SetUpFields">
                <anchor moveWithCells="1" sizeWithCells="1">
                  <from>
                    <xdr:col>19</xdr:col>
                    <xdr:colOff>121920</xdr:colOff>
                    <xdr:row>3</xdr:row>
                    <xdr:rowOff>121920</xdr:rowOff>
                  </from>
                  <to>
                    <xdr:col>21</xdr:col>
                    <xdr:colOff>220980</xdr:colOff>
                    <xdr:row>3</xdr:row>
                    <xdr:rowOff>487680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Project">
    <tabColor rgb="FF0070C0"/>
    <pageSetUpPr fitToPage="1"/>
  </sheetPr>
  <dimension ref="A1:BY8074"/>
  <sheetViews>
    <sheetView workbookViewId="0">
      <pane ySplit="5" topLeftCell="A6" activePane="bottomLeft" state="frozenSplit"/>
      <selection pane="bottomLeft" activeCell="E6" sqref="E6:E1048576"/>
    </sheetView>
  </sheetViews>
  <sheetFormatPr defaultColWidth="12" defaultRowHeight="10.199999999999999"/>
  <cols>
    <col min="1" max="1" width="8" style="131" customWidth="1"/>
    <col min="2" max="2" width="10.28515625" style="321" customWidth="1"/>
    <col min="3" max="3" width="10.42578125" style="135" bestFit="1" customWidth="1"/>
    <col min="4" max="4" width="13.140625" style="99" customWidth="1"/>
    <col min="5" max="5" width="10.85546875" style="505" bestFit="1" customWidth="1"/>
    <col min="6" max="6" width="10.28515625" style="307" customWidth="1"/>
    <col min="7" max="7" width="8.7109375" style="308" customWidth="1"/>
    <col min="8" max="8" width="11.7109375" style="309" customWidth="1"/>
    <col min="9" max="9" width="10.140625" style="304" customWidth="1"/>
    <col min="10" max="10" width="9.28515625" style="300" customWidth="1"/>
    <col min="11" max="11" width="11.7109375" style="301" customWidth="1"/>
    <col min="12" max="12" width="10.85546875" style="302" customWidth="1"/>
    <col min="13" max="13" width="32.42578125" style="36" customWidth="1"/>
    <col min="14" max="14" width="6.85546875" style="130" hidden="1" customWidth="1"/>
    <col min="15" max="15" width="8.140625" style="130" hidden="1" customWidth="1"/>
    <col min="16" max="16" width="6.85546875" style="130" hidden="1" customWidth="1"/>
    <col min="17" max="17" width="11" style="327" hidden="1" customWidth="1"/>
    <col min="18" max="18" width="8.5703125" style="38" hidden="1" customWidth="1"/>
    <col min="19" max="19" width="11.140625" style="83" hidden="1" customWidth="1"/>
    <col min="20" max="20" width="11.140625" style="31" hidden="1" customWidth="1"/>
    <col min="21" max="21" width="12.7109375" style="39" hidden="1" customWidth="1"/>
    <col min="22" max="22" width="8" style="26" hidden="1" customWidth="1"/>
    <col min="23" max="24" width="10.7109375" style="40" customWidth="1"/>
    <col min="25" max="25" width="14.5703125" style="40" customWidth="1"/>
    <col min="26" max="26" width="9.140625" style="182" customWidth="1"/>
    <col min="27" max="27" width="8.140625" style="184" customWidth="1"/>
    <col min="28" max="28" width="9.42578125" style="23" bestFit="1" customWidth="1"/>
    <col min="29" max="29" width="12.85546875" style="22" customWidth="1"/>
    <col min="30" max="30" width="10.85546875" style="26" customWidth="1"/>
    <col min="31" max="31" width="11.5703125" style="22" customWidth="1"/>
    <col min="32" max="32" width="9.28515625" style="22" customWidth="1"/>
    <col min="33" max="34" width="9.28515625" style="27" customWidth="1"/>
    <col min="35" max="35" width="4.140625" style="436" customWidth="1"/>
    <col min="36" max="36" width="4.28515625" style="22" customWidth="1"/>
    <col min="37" max="37" width="13" style="22" customWidth="1"/>
    <col min="38" max="38" width="16.140625" style="22" customWidth="1"/>
    <col min="39" max="39" width="14.7109375" style="22" customWidth="1"/>
    <col min="40" max="40" width="14.140625" style="22" customWidth="1"/>
    <col min="41" max="41" width="17.140625" style="22" customWidth="1"/>
    <col min="42" max="42" width="21.7109375" style="22" customWidth="1"/>
    <col min="43" max="43" width="17.28515625" style="22" bestFit="1" customWidth="1"/>
    <col min="44" max="44" width="29.28515625" style="22" customWidth="1"/>
    <col min="45" max="45" width="12.140625" style="22" customWidth="1"/>
    <col min="46" max="46" width="4.140625" style="22" customWidth="1"/>
    <col min="47" max="47" width="4.28515625" style="22" customWidth="1"/>
    <col min="48" max="48" width="3.28515625" style="50" customWidth="1"/>
    <col min="49" max="49" width="3.140625" style="50" customWidth="1"/>
    <col min="50" max="50" width="9" style="114" customWidth="1"/>
    <col min="51" max="52" width="7.42578125" style="50" customWidth="1"/>
    <col min="53" max="53" width="11.7109375" style="50" customWidth="1"/>
    <col min="54" max="54" width="7.42578125" style="50" customWidth="1"/>
    <col min="55" max="55" width="8" style="55" customWidth="1"/>
    <col min="56" max="56" width="10.28515625" style="55" customWidth="1"/>
    <col min="57" max="57" width="12" style="16" customWidth="1"/>
    <col min="58" max="58" width="15" style="16" customWidth="1"/>
    <col min="59" max="59" width="15.28515625" style="16" customWidth="1"/>
    <col min="60" max="61" width="12" style="16" customWidth="1"/>
    <col min="62" max="62" width="12" style="50" customWidth="1"/>
    <col min="63" max="63" width="20.140625" style="50" customWidth="1"/>
    <col min="64" max="65" width="13.7109375" style="50" customWidth="1"/>
    <col min="66" max="73" width="7.140625" style="50" customWidth="1"/>
    <col min="74" max="74" width="6.140625" style="50" customWidth="1"/>
    <col min="75" max="77" width="12" style="80"/>
    <col min="78" max="16384" width="12" style="21"/>
  </cols>
  <sheetData>
    <row r="1" spans="1:77" s="385" customFormat="1" ht="17.399999999999999" customHeight="1" thickBot="1">
      <c r="B1" s="393" t="s">
        <v>258</v>
      </c>
      <c r="C1" s="387"/>
      <c r="D1" s="387"/>
      <c r="E1" s="390"/>
      <c r="F1" s="426" t="s">
        <v>50</v>
      </c>
      <c r="G1" s="427" t="s">
        <v>51</v>
      </c>
      <c r="H1" s="428" t="s">
        <v>257</v>
      </c>
      <c r="I1" s="388"/>
      <c r="AA1" s="385">
        <v>0</v>
      </c>
      <c r="AB1" s="446">
        <v>1</v>
      </c>
      <c r="AC1" s="385">
        <v>2</v>
      </c>
      <c r="AD1" s="385">
        <v>3</v>
      </c>
      <c r="AE1" s="385">
        <v>4</v>
      </c>
      <c r="AF1" s="385">
        <v>5</v>
      </c>
      <c r="AG1" s="385">
        <v>6</v>
      </c>
      <c r="AH1" s="385">
        <v>7</v>
      </c>
      <c r="AI1" s="435"/>
    </row>
    <row r="2" spans="1:77" s="385" customFormat="1" ht="13.8" customHeight="1">
      <c r="B2" s="387" t="s">
        <v>259</v>
      </c>
      <c r="C2" s="387"/>
      <c r="D2" s="387"/>
      <c r="E2" s="389" t="s">
        <v>264</v>
      </c>
      <c r="F2" s="443">
        <v>0</v>
      </c>
      <c r="G2" s="444">
        <v>97</v>
      </c>
      <c r="H2" s="445">
        <v>100</v>
      </c>
      <c r="I2" s="387"/>
      <c r="N2" s="262" t="b">
        <v>1</v>
      </c>
      <c r="AB2" s="446"/>
      <c r="AI2" s="435"/>
    </row>
    <row r="3" spans="1:77" s="385" customFormat="1" ht="13.8" customHeight="1" thickBot="1">
      <c r="A3" s="386"/>
      <c r="B3" s="388" t="s">
        <v>263</v>
      </c>
      <c r="C3" s="388"/>
      <c r="D3" s="388"/>
      <c r="E3" s="391" t="s">
        <v>265</v>
      </c>
      <c r="F3" s="443">
        <v>0</v>
      </c>
      <c r="G3" s="444">
        <v>97</v>
      </c>
      <c r="H3" s="445">
        <v>100</v>
      </c>
      <c r="I3" s="388"/>
      <c r="J3" s="386"/>
      <c r="K3" s="386"/>
      <c r="L3" s="386"/>
      <c r="M3" s="386"/>
      <c r="N3" s="470" t="str">
        <f>IF(ZeroFlag,"Include Zero-Counts in Regression","Remove Zero-Counts from Regression")</f>
        <v>Include Zero-Counts in Regression</v>
      </c>
      <c r="R3" s="471" t="s">
        <v>290</v>
      </c>
      <c r="AA3" s="449">
        <f>COUNT(AA6:AA146)</f>
        <v>99</v>
      </c>
      <c r="AB3" s="449">
        <f>COUNT(AB6:AB146)</f>
        <v>98</v>
      </c>
      <c r="AI3" s="435"/>
    </row>
    <row r="4" spans="1:77" ht="18.600000000000001" thickBot="1">
      <c r="A4" s="247"/>
      <c r="B4" s="392" t="s">
        <v>260</v>
      </c>
      <c r="C4" s="392"/>
      <c r="D4" s="392"/>
      <c r="E4" s="425" t="s">
        <v>266</v>
      </c>
      <c r="F4" s="443">
        <v>0</v>
      </c>
      <c r="G4" s="444">
        <v>97</v>
      </c>
      <c r="H4" s="445">
        <v>100</v>
      </c>
      <c r="I4" s="497"/>
      <c r="J4" s="497"/>
      <c r="K4" s="497"/>
      <c r="L4" s="497"/>
      <c r="M4" s="474"/>
      <c r="N4" s="322"/>
      <c r="O4" s="239"/>
      <c r="P4" s="385"/>
      <c r="Q4" s="322"/>
      <c r="R4" s="385"/>
      <c r="S4" s="385"/>
      <c r="T4" s="385"/>
      <c r="U4" s="263"/>
      <c r="V4" s="243"/>
      <c r="W4" s="490" t="str">
        <f>IF(NOT(ZeroFlag),"WITHOUT ZERO-COUNTS","WITH ZERO-COUNTS")</f>
        <v>WITH ZERO-COUNTS</v>
      </c>
      <c r="X4" s="490"/>
      <c r="Y4" s="490"/>
      <c r="Z4" s="498" t="s">
        <v>37</v>
      </c>
      <c r="AA4" s="498"/>
      <c r="AB4" s="498"/>
      <c r="AC4" s="498"/>
      <c r="AD4" s="498"/>
      <c r="AE4" s="498"/>
      <c r="AF4" s="498"/>
      <c r="AG4" s="498"/>
      <c r="AH4" s="498"/>
      <c r="AJ4" s="250"/>
      <c r="AK4" s="496" t="s">
        <v>9</v>
      </c>
      <c r="AL4" s="496"/>
      <c r="AM4" s="496"/>
      <c r="AN4" s="496"/>
      <c r="AO4" s="496"/>
      <c r="AP4" s="496"/>
      <c r="AQ4" s="496"/>
      <c r="AR4" s="496"/>
      <c r="AS4" s="496"/>
      <c r="AT4" s="251"/>
      <c r="AU4" s="244"/>
      <c r="AX4" s="57"/>
      <c r="BD4" s="107"/>
    </row>
    <row r="5" spans="1:77" s="37" customFormat="1" ht="38.4" customHeight="1" thickBot="1">
      <c r="A5" s="260"/>
      <c r="B5" s="334" t="s">
        <v>244</v>
      </c>
      <c r="C5" s="334" t="s">
        <v>49</v>
      </c>
      <c r="D5" s="335" t="s">
        <v>210</v>
      </c>
      <c r="E5" s="336" t="s">
        <v>246</v>
      </c>
      <c r="F5" s="333" t="str">
        <f>IF(ISBLANK(PinPoint1),"",PinPoint1)</f>
        <v>Infections</v>
      </c>
      <c r="G5" s="333" t="str">
        <f>IF(ISBLANK(PinPoint2),"",PinPoint2)</f>
        <v>Deaths</v>
      </c>
      <c r="H5" s="333" t="str">
        <f>IF(ISBLANK(PinPoint3),"",PinPoint3)</f>
        <v>Recoveries</v>
      </c>
      <c r="I5" s="337" t="s">
        <v>73</v>
      </c>
      <c r="J5" s="338" t="s">
        <v>15</v>
      </c>
      <c r="K5" s="338" t="s">
        <v>72</v>
      </c>
      <c r="L5" s="339" t="s">
        <v>235</v>
      </c>
      <c r="M5" s="310" t="s">
        <v>181</v>
      </c>
      <c r="N5" s="333" t="s">
        <v>184</v>
      </c>
      <c r="O5" s="333" t="s">
        <v>185</v>
      </c>
      <c r="P5" s="333" t="s">
        <v>186</v>
      </c>
      <c r="Q5" s="323" t="s">
        <v>66</v>
      </c>
      <c r="R5" s="280" t="s">
        <v>67</v>
      </c>
      <c r="S5" s="281" t="s">
        <v>139</v>
      </c>
      <c r="T5" s="280" t="s">
        <v>2</v>
      </c>
      <c r="U5" s="282" t="s">
        <v>64</v>
      </c>
      <c r="V5" s="283" t="s">
        <v>79</v>
      </c>
      <c r="W5" s="469" t="s">
        <v>141</v>
      </c>
      <c r="X5" s="284" t="s">
        <v>142</v>
      </c>
      <c r="Y5" s="284" t="s">
        <v>262</v>
      </c>
      <c r="Z5" s="328" t="s">
        <v>245</v>
      </c>
      <c r="AA5" s="329" t="s">
        <v>71</v>
      </c>
      <c r="AB5" s="447" t="s">
        <v>140</v>
      </c>
      <c r="AC5" s="331" t="s">
        <v>65</v>
      </c>
      <c r="AD5" s="332" t="s">
        <v>26</v>
      </c>
      <c r="AE5" s="332" t="s">
        <v>44</v>
      </c>
      <c r="AF5" s="332" t="s">
        <v>20</v>
      </c>
      <c r="AG5" s="330" t="s">
        <v>69</v>
      </c>
      <c r="AH5" s="330" t="s">
        <v>70</v>
      </c>
      <c r="AI5" s="436"/>
      <c r="AJ5" s="248"/>
      <c r="AK5" s="499" t="s">
        <v>237</v>
      </c>
      <c r="AL5" s="499"/>
      <c r="AM5" s="499"/>
      <c r="AN5" s="231" t="s">
        <v>99</v>
      </c>
      <c r="AO5" s="232" t="s">
        <v>144</v>
      </c>
      <c r="AP5" s="232" t="s">
        <v>10</v>
      </c>
      <c r="AQ5" s="233"/>
      <c r="AR5" s="233"/>
      <c r="AS5" s="234"/>
      <c r="AT5" s="234"/>
      <c r="AU5" s="245"/>
      <c r="AV5" s="108"/>
      <c r="AW5" s="108"/>
      <c r="AX5" s="439" t="s">
        <v>17</v>
      </c>
      <c r="AY5" s="108"/>
      <c r="AZ5" s="108"/>
      <c r="BA5" s="108"/>
      <c r="BB5" s="108"/>
      <c r="BC5" s="55"/>
      <c r="BD5" s="107"/>
      <c r="BE5" s="16"/>
      <c r="BF5" s="16"/>
      <c r="BG5" s="16"/>
      <c r="BH5" s="16"/>
      <c r="BI5" s="16"/>
      <c r="BJ5" s="55"/>
      <c r="BK5" s="55"/>
      <c r="BL5" s="55"/>
      <c r="BM5" s="55"/>
      <c r="BN5" s="55"/>
      <c r="BO5" s="55"/>
      <c r="BP5" s="55"/>
      <c r="BQ5" s="55"/>
      <c r="BR5" s="55"/>
      <c r="BS5" s="55"/>
      <c r="BT5" s="55"/>
      <c r="BU5" s="55"/>
      <c r="BV5" s="55"/>
      <c r="BW5" s="106"/>
      <c r="BX5" s="106"/>
      <c r="BY5" s="106"/>
    </row>
    <row r="6" spans="1:77" ht="14.1" customHeight="1" thickBot="1">
      <c r="A6" s="247"/>
      <c r="B6" s="264" t="str">
        <f>CHOOSE(WEEKDAY(C6),"SUN","MON","TUE","WED","THU","FRI","SAT")</f>
        <v>SUN</v>
      </c>
      <c r="C6" s="264">
        <f>SyncDate</f>
        <v>43961</v>
      </c>
      <c r="D6" s="429">
        <v>0</v>
      </c>
      <c r="E6" s="473"/>
      <c r="F6" s="483"/>
      <c r="G6" s="472"/>
      <c r="H6" s="472"/>
      <c r="I6" s="292" t="str">
        <f t="shared" ref="I6:I37" si="0">IF(E6="","",IF(Y_AxisLabel="Count Per Minute",1/(HOUR(E6)*60+MINUTE(E6)+SECOND(E6)/60),1/E6))</f>
        <v/>
      </c>
      <c r="J6" s="293" t="str">
        <f t="shared" ref="J6:J69" si="1">IF(OR(F6=Blank,$E6=Blank),Blank,IF(F6&gt;0,F6*$I6,ZeroCount*$I6))</f>
        <v/>
      </c>
      <c r="K6" s="293" t="str">
        <f t="shared" ref="K6:K37" si="2">IF(OR(G6=Blank,$E6=Blank),Blank,IF(G6&gt;0,G6*$I6,ZeroCount*$I6))</f>
        <v/>
      </c>
      <c r="L6" s="293" t="str">
        <f t="shared" ref="L6:L37" si="3">IF(OR(H6=Blank,$E6=Blank),Blank,IF(H6&gt;0,H6*$I6,ZeroCount*$I6))</f>
        <v/>
      </c>
      <c r="M6" s="265"/>
      <c r="N6" s="291" t="str">
        <f t="shared" ref="N6:N37" si="4">IF(F6="","",IF(F6=0,IF(NOT(ZeroFlag),"",ZeroCount*$I6),J6))</f>
        <v/>
      </c>
      <c r="O6" s="291" t="str">
        <f t="shared" ref="O6:O37" si="5">IF(G6="","",IF(G6=0,IF(NOT(ZeroFlag),"",ZeroCount*$I6),K6))</f>
        <v/>
      </c>
      <c r="P6" s="291" t="str">
        <f t="shared" ref="P6:P37" si="6">IF(H6="","",IF(H6=0,IF(NOT(ZeroFlag),"",ZeroCount*$I6),L6))</f>
        <v/>
      </c>
      <c r="Q6" s="324">
        <f>C6</f>
        <v>43961</v>
      </c>
      <c r="R6" s="277">
        <v>0</v>
      </c>
      <c r="S6" s="291">
        <f t="shared" ref="S6:S37" si="7">IF((R6/Scalar)-INT(R6/Scalar)=0,Ymax,NA())</f>
        <v>100000</v>
      </c>
      <c r="T6" s="291"/>
      <c r="U6" s="291" t="str">
        <f t="shared" ref="U6:U37" si="8">IF(ISNA(S6),NA(),TEXT(C6,DateFormat))</f>
        <v>05/10/20</v>
      </c>
      <c r="V6" s="291" t="str">
        <f>IF(E6&lt;&gt;"",I6,"")</f>
        <v/>
      </c>
      <c r="W6" s="291" t="str">
        <f>IF(N6="","",N6)</f>
        <v/>
      </c>
      <c r="X6" s="291" t="str">
        <f t="shared" ref="X6:Y21" si="9">IF(O6="","",O6)</f>
        <v/>
      </c>
      <c r="Y6" s="291" t="str">
        <f t="shared" si="9"/>
        <v/>
      </c>
      <c r="Z6" s="276">
        <v>0</v>
      </c>
      <c r="AA6" s="432">
        <v>0</v>
      </c>
      <c r="AB6" s="291">
        <v>40</v>
      </c>
      <c r="AC6" s="279">
        <f>IF(AB6="","",LOG(AB6))</f>
        <v>1.6020599913279623</v>
      </c>
      <c r="AD6" s="279">
        <f t="shared" ref="AD6:AD69" ca="1" si="10">IF(AND(AA6="",AC6=""),"",m*AA6+b)</f>
        <v>1.5241988122915651</v>
      </c>
      <c r="AE6" s="278">
        <f ca="1">IF(AB6="","",10^(AD6))</f>
        <v>33.434806359613241</v>
      </c>
      <c r="AF6" s="279">
        <f ca="1">IF((AB6=""),"",AE6/AB6)</f>
        <v>0.83587015899033101</v>
      </c>
      <c r="AG6" s="278">
        <f t="shared" ref="AG6:AG69" ca="1" si="11">IF(AE6="","",AE6*AltBounce)</f>
        <v>38.66395797983165</v>
      </c>
      <c r="AH6" s="278">
        <f t="shared" ref="AH6:AH69" ca="1" si="12">IF(AA6="","",AE6*(1/AltBounce))</f>
        <v>28.912877385392335</v>
      </c>
      <c r="AJ6" s="238"/>
      <c r="AK6" s="479" t="s">
        <v>236</v>
      </c>
      <c r="AL6" s="479">
        <f t="array" aca="1" ref="AL6:AM10" ca="1">LINEST(OFFSET(LStart,0,2,K,1),OFFSET(LStart,0,0,K,1),,TRUE())</f>
        <v>4.3121145133661548E-3</v>
      </c>
      <c r="AM6" s="479">
        <f ca="1"/>
        <v>1.5241988122915651</v>
      </c>
      <c r="AN6" s="467">
        <f ca="1">FDIST(AL9,1,AM9)</f>
        <v>2.0455948852881267E-22</v>
      </c>
      <c r="AO6" s="255">
        <v>1</v>
      </c>
      <c r="AP6" s="255" t="s">
        <v>122</v>
      </c>
      <c r="AQ6" s="235"/>
      <c r="AR6" s="235"/>
      <c r="AS6" s="236"/>
      <c r="AT6" s="236"/>
      <c r="AU6" s="238"/>
      <c r="AX6" s="442">
        <v>0.65955399872018949</v>
      </c>
      <c r="AY6" s="55"/>
      <c r="AZ6" s="109" t="s">
        <v>214</v>
      </c>
      <c r="BA6" s="110"/>
      <c r="BB6" s="109" t="s">
        <v>168</v>
      </c>
      <c r="BC6" s="110"/>
      <c r="BD6" s="107"/>
      <c r="BE6" s="493" t="s">
        <v>147</v>
      </c>
      <c r="BF6" s="494"/>
      <c r="BG6" s="494"/>
      <c r="BH6" s="494"/>
      <c r="BI6" s="494"/>
      <c r="BJ6" s="494"/>
      <c r="BK6" s="495"/>
      <c r="BL6" s="55"/>
      <c r="BM6" s="55"/>
      <c r="BQ6" s="55"/>
      <c r="BR6" s="55"/>
      <c r="BS6" s="55"/>
      <c r="BT6" s="55"/>
      <c r="BU6" s="55"/>
      <c r="BV6" s="55"/>
    </row>
    <row r="7" spans="1:77" ht="12.75" customHeight="1">
      <c r="A7" s="247"/>
      <c r="B7" s="264" t="str">
        <f t="shared" ref="B7:B70" si="13">CHOOSE(WEEKDAY(C7),"SUN","MON","TUE","WED","THU","FRI","SAT")</f>
        <v>MON</v>
      </c>
      <c r="C7" s="264">
        <f t="shared" ref="C7:C38" si="14">IF($C$6&gt;0,IF(MDY="Y",DATE(YEAR(C6)+1,MONTH(1),DAY(1)),IF(MDY="M",DATE(YEAR(C6),MONTH(C6)+1,DAY(1)),IF(MDY="W",DATE(YEAR(C6),MONTH(C6),DAY(C6)+7),DATE(YEAR(C6),MONTH(C6),DAY(C6)+1)))),"")</f>
        <v>43962</v>
      </c>
      <c r="D7" s="429">
        <f>D6+1</f>
        <v>1</v>
      </c>
      <c r="E7" s="473"/>
      <c r="F7" s="483"/>
      <c r="G7" s="472"/>
      <c r="H7" s="472"/>
      <c r="I7" s="292" t="str">
        <f t="shared" si="0"/>
        <v/>
      </c>
      <c r="J7" s="293" t="str">
        <f t="shared" si="1"/>
        <v/>
      </c>
      <c r="K7" s="293" t="str">
        <f t="shared" si="2"/>
        <v/>
      </c>
      <c r="L7" s="293" t="str">
        <f t="shared" si="3"/>
        <v/>
      </c>
      <c r="M7" s="265"/>
      <c r="N7" s="291" t="str">
        <f t="shared" si="4"/>
        <v/>
      </c>
      <c r="O7" s="291" t="str">
        <f t="shared" si="5"/>
        <v/>
      </c>
      <c r="P7" s="291" t="str">
        <f t="shared" si="6"/>
        <v/>
      </c>
      <c r="Q7" s="324">
        <f>C7</f>
        <v>43962</v>
      </c>
      <c r="R7" s="277">
        <v>1</v>
      </c>
      <c r="S7" s="291" t="e">
        <f t="shared" si="7"/>
        <v>#N/A</v>
      </c>
      <c r="T7" s="291"/>
      <c r="U7" s="291" t="e">
        <f t="shared" si="8"/>
        <v>#N/A</v>
      </c>
      <c r="V7" s="291" t="str">
        <f t="shared" ref="V7:V70" si="15">IF(E7&lt;&gt;"",I7,"")</f>
        <v/>
      </c>
      <c r="W7" s="291" t="str">
        <f t="shared" ref="W7:W70" si="16">IF(N7="","",N7)</f>
        <v/>
      </c>
      <c r="X7" s="291" t="str">
        <f t="shared" si="9"/>
        <v/>
      </c>
      <c r="Y7" s="291" t="str">
        <f t="shared" si="9"/>
        <v/>
      </c>
      <c r="Z7" s="276">
        <v>1</v>
      </c>
      <c r="AA7" s="432">
        <v>1</v>
      </c>
      <c r="AB7" s="291">
        <v>29.180521460508583</v>
      </c>
      <c r="AC7" s="279">
        <f t="shared" ref="AC7:AC70" si="17">IF(AB7="","",LOG(AB7))</f>
        <v>1.465093048537484</v>
      </c>
      <c r="AD7" s="279">
        <f t="shared" ca="1" si="10"/>
        <v>1.5285109268049313</v>
      </c>
      <c r="AE7" s="278">
        <f ca="1">IF(AB7="","",10^(AD7))</f>
        <v>33.768434463887054</v>
      </c>
      <c r="AF7" s="279">
        <f t="shared" ref="AF7:AF70" ca="1" si="18">IF((AB7=""),"",AE7/AB7)</f>
        <v>1.1572251890559089</v>
      </c>
      <c r="AG7" s="278">
        <f t="shared" ca="1" si="11"/>
        <v>39.0497649997914</v>
      </c>
      <c r="AH7" s="278">
        <f t="shared" ca="1" si="12"/>
        <v>29.201383571653416</v>
      </c>
      <c r="AJ7" s="238"/>
      <c r="AK7" s="479" t="s">
        <v>128</v>
      </c>
      <c r="AL7" s="479">
        <f ca="1"/>
        <v>3.3765534112340499E-4</v>
      </c>
      <c r="AM7" s="479">
        <f ca="1"/>
        <v>1.8958377710113709E-2</v>
      </c>
      <c r="AN7" s="237"/>
      <c r="AO7" s="237"/>
      <c r="AP7" s="237"/>
      <c r="AQ7" s="237"/>
      <c r="AR7" s="236"/>
      <c r="AS7" s="236"/>
      <c r="AT7" s="236"/>
      <c r="AU7" s="238"/>
      <c r="AX7" s="442">
        <v>0.69166419518077649</v>
      </c>
      <c r="AY7" s="114"/>
      <c r="AZ7" s="110">
        <v>0</v>
      </c>
      <c r="BA7" s="111">
        <f>Ymin*5</f>
        <v>0.5</v>
      </c>
      <c r="BB7" s="110">
        <f t="shared" ref="BB7:BB12" si="19">Xmax</f>
        <v>140</v>
      </c>
      <c r="BC7" s="112">
        <f t="shared" ref="BC7:BC12" si="20">IF(Ymin=0.1,BD7,NA())</f>
        <v>1</v>
      </c>
      <c r="BD7" s="107">
        <v>1</v>
      </c>
      <c r="BE7" s="94"/>
      <c r="BF7" s="89" t="s">
        <v>136</v>
      </c>
      <c r="BG7" s="95" t="s">
        <v>145</v>
      </c>
      <c r="BH7" s="89" t="s">
        <v>105</v>
      </c>
      <c r="BI7" s="89" t="s">
        <v>106</v>
      </c>
      <c r="BJ7" s="89" t="s">
        <v>107</v>
      </c>
      <c r="BK7" s="90" t="s">
        <v>110</v>
      </c>
      <c r="BL7" s="55"/>
      <c r="BM7" s="55"/>
      <c r="BN7" s="55"/>
      <c r="BO7" s="55"/>
      <c r="BP7" s="55"/>
      <c r="BQ7" s="55"/>
      <c r="BR7" s="55"/>
      <c r="BS7" s="55"/>
      <c r="BT7" s="55"/>
      <c r="BU7" s="55"/>
      <c r="BV7" s="55"/>
    </row>
    <row r="8" spans="1:77" ht="12.75" customHeight="1" thickBot="1">
      <c r="A8" s="247"/>
      <c r="B8" s="264" t="str">
        <f t="shared" si="13"/>
        <v>TUE</v>
      </c>
      <c r="C8" s="267">
        <f t="shared" si="14"/>
        <v>43963</v>
      </c>
      <c r="D8" s="430">
        <f t="shared" ref="D8:D71" si="21">D7+1</f>
        <v>2</v>
      </c>
      <c r="E8" s="473"/>
      <c r="F8" s="483"/>
      <c r="G8" s="472"/>
      <c r="H8" s="472"/>
      <c r="I8" s="292" t="str">
        <f t="shared" si="0"/>
        <v/>
      </c>
      <c r="J8" s="293" t="str">
        <f t="shared" si="1"/>
        <v/>
      </c>
      <c r="K8" s="293" t="str">
        <f t="shared" si="2"/>
        <v/>
      </c>
      <c r="L8" s="293" t="str">
        <f t="shared" si="3"/>
        <v/>
      </c>
      <c r="M8" s="266"/>
      <c r="N8" s="291" t="str">
        <f t="shared" si="4"/>
        <v/>
      </c>
      <c r="O8" s="291" t="str">
        <f t="shared" si="5"/>
        <v/>
      </c>
      <c r="P8" s="291" t="str">
        <f t="shared" si="6"/>
        <v/>
      </c>
      <c r="Q8" s="324">
        <f t="shared" ref="Q8:Q16" si="22">C8</f>
        <v>43963</v>
      </c>
      <c r="R8" s="277">
        <v>2</v>
      </c>
      <c r="S8" s="291" t="e">
        <f t="shared" si="7"/>
        <v>#N/A</v>
      </c>
      <c r="T8" s="291"/>
      <c r="U8" s="291" t="e">
        <f t="shared" si="8"/>
        <v>#N/A</v>
      </c>
      <c r="V8" s="291" t="str">
        <f t="shared" si="15"/>
        <v/>
      </c>
      <c r="W8" s="291" t="str">
        <f t="shared" si="16"/>
        <v/>
      </c>
      <c r="X8" s="291" t="str">
        <f t="shared" si="9"/>
        <v/>
      </c>
      <c r="Y8" s="291" t="str">
        <f t="shared" si="9"/>
        <v/>
      </c>
      <c r="Z8" s="276">
        <v>2</v>
      </c>
      <c r="AA8" s="433">
        <v>2</v>
      </c>
      <c r="AB8" s="291">
        <v>38.365116420730189</v>
      </c>
      <c r="AC8" s="279">
        <f t="shared" si="17"/>
        <v>1.583936520425556</v>
      </c>
      <c r="AD8" s="279">
        <f t="shared" ca="1" si="10"/>
        <v>1.5328230413182973</v>
      </c>
      <c r="AE8" s="278">
        <f ca="1">IF(AB8="","",10^(AD8))</f>
        <v>34.105391665113409</v>
      </c>
      <c r="AF8" s="279">
        <f t="shared" ca="1" si="18"/>
        <v>0.88896880413700285</v>
      </c>
      <c r="AG8" s="278">
        <f t="shared" ca="1" si="11"/>
        <v>39.439421782280029</v>
      </c>
      <c r="AH8" s="278">
        <f t="shared" ca="1" si="12"/>
        <v>29.492768607307475</v>
      </c>
      <c r="AJ8" s="238"/>
      <c r="AK8" s="479" t="s">
        <v>238</v>
      </c>
      <c r="AL8" s="479">
        <f ca="1"/>
        <v>0.62947560132582092</v>
      </c>
      <c r="AM8" s="479">
        <f ca="1"/>
        <v>9.4558266781812436E-2</v>
      </c>
      <c r="AN8" s="237"/>
      <c r="AO8" s="228" t="s">
        <v>165</v>
      </c>
      <c r="AP8" s="217" t="s">
        <v>166</v>
      </c>
      <c r="AQ8" s="217" t="s">
        <v>239</v>
      </c>
      <c r="AR8" s="217" t="s">
        <v>167</v>
      </c>
      <c r="AS8" s="236"/>
      <c r="AT8" s="236"/>
      <c r="AU8" s="238"/>
      <c r="AX8" s="442">
        <v>0.71203581466584076</v>
      </c>
      <c r="AY8" s="115"/>
      <c r="AZ8" s="110">
        <v>0</v>
      </c>
      <c r="BA8" s="111">
        <f>MinELSc*10</f>
        <v>5</v>
      </c>
      <c r="BB8" s="110">
        <f t="shared" si="19"/>
        <v>140</v>
      </c>
      <c r="BC8" s="112">
        <f t="shared" si="20"/>
        <v>0.8</v>
      </c>
      <c r="BD8" s="107">
        <v>0.8</v>
      </c>
      <c r="BE8" s="96"/>
      <c r="BF8" s="91">
        <f ca="1">MAX(OFFSET(LStart,0,1,K,1))/MIN(OFFSET(LStart,0,1,K,1))</f>
        <v>4.2047945475224715</v>
      </c>
      <c r="BG8" s="91">
        <f ca="1">_xlfn.SINGLE(Bounce)</f>
        <v>1.2989817453595196</v>
      </c>
      <c r="BH8" s="91">
        <f ca="1">IF(BF8&lt;BG8,BF8/BG8,BG8/BF8)</f>
        <v>0.30892870761661811</v>
      </c>
      <c r="BI8" s="91">
        <f ca="1">IF(Method=2,r_2,1-BH8)</f>
        <v>0.62947560132582092</v>
      </c>
      <c r="BJ8" s="91">
        <f ca="1">IF(Method=2,AL9,SQRT(BI8)*SQRT(K-2)/SQRT(BH8))</f>
        <v>163.09224964269541</v>
      </c>
      <c r="BK8" s="319">
        <f ca="1">IF(Method=2,AN6,TDIST(BJ8,AM17,2))</f>
        <v>2.0455948852881267E-22</v>
      </c>
      <c r="BL8" s="55"/>
      <c r="BM8" s="55"/>
      <c r="BN8" s="55"/>
      <c r="BO8" s="55"/>
      <c r="BP8" s="55"/>
      <c r="BQ8" s="55"/>
      <c r="BR8" s="55"/>
      <c r="BS8" s="55"/>
      <c r="BT8" s="55"/>
      <c r="BU8" s="55"/>
      <c r="BV8" s="55"/>
    </row>
    <row r="9" spans="1:77" ht="12.75" customHeight="1" thickBot="1">
      <c r="A9" s="247"/>
      <c r="B9" s="264" t="str">
        <f t="shared" si="13"/>
        <v>WED</v>
      </c>
      <c r="C9" s="267">
        <f t="shared" si="14"/>
        <v>43964</v>
      </c>
      <c r="D9" s="429">
        <f>D8+1</f>
        <v>3</v>
      </c>
      <c r="E9" s="473"/>
      <c r="F9" s="483"/>
      <c r="G9" s="472"/>
      <c r="H9" s="472"/>
      <c r="I9" s="292" t="str">
        <f t="shared" si="0"/>
        <v/>
      </c>
      <c r="J9" s="293" t="str">
        <f t="shared" si="1"/>
        <v/>
      </c>
      <c r="K9" s="293" t="str">
        <f t="shared" si="2"/>
        <v/>
      </c>
      <c r="L9" s="293" t="str">
        <f t="shared" si="3"/>
        <v/>
      </c>
      <c r="M9" s="266"/>
      <c r="N9" s="291" t="str">
        <f t="shared" si="4"/>
        <v/>
      </c>
      <c r="O9" s="291" t="str">
        <f t="shared" si="5"/>
        <v/>
      </c>
      <c r="P9" s="291" t="str">
        <f t="shared" si="6"/>
        <v/>
      </c>
      <c r="Q9" s="324">
        <f t="shared" si="22"/>
        <v>43964</v>
      </c>
      <c r="R9" s="277">
        <v>3</v>
      </c>
      <c r="S9" s="291" t="e">
        <f t="shared" si="7"/>
        <v>#N/A</v>
      </c>
      <c r="T9" s="291"/>
      <c r="U9" s="291" t="e">
        <f t="shared" si="8"/>
        <v>#N/A</v>
      </c>
      <c r="V9" s="291" t="str">
        <f t="shared" si="15"/>
        <v/>
      </c>
      <c r="W9" s="291" t="str">
        <f t="shared" si="16"/>
        <v/>
      </c>
      <c r="X9" s="291" t="str">
        <f t="shared" si="9"/>
        <v/>
      </c>
      <c r="Y9" s="291" t="str">
        <f t="shared" si="9"/>
        <v/>
      </c>
      <c r="Z9" s="276">
        <v>3</v>
      </c>
      <c r="AA9" s="432">
        <v>3</v>
      </c>
      <c r="AB9" s="291">
        <v>33.553876799929505</v>
      </c>
      <c r="AC9" s="279">
        <f t="shared" si="17"/>
        <v>1.5257427055943604</v>
      </c>
      <c r="AD9" s="279">
        <f t="shared" ca="1" si="10"/>
        <v>1.5371351558316635</v>
      </c>
      <c r="AE9" s="278">
        <f ca="1">IF(AB9="","",10^(AD9))</f>
        <v>34.445711182575671</v>
      </c>
      <c r="AF9" s="279">
        <f t="shared" ca="1" si="18"/>
        <v>1.0265791755737756</v>
      </c>
      <c r="AG9" s="278">
        <f t="shared" ca="1" si="11"/>
        <v>39.832966742025079</v>
      </c>
      <c r="AH9" s="278">
        <f t="shared" ca="1" si="12"/>
        <v>29.78706121885757</v>
      </c>
      <c r="AJ9" s="238"/>
      <c r="AK9" s="479" t="s">
        <v>123</v>
      </c>
      <c r="AL9" s="479">
        <f ca="1"/>
        <v>163.09224964269541</v>
      </c>
      <c r="AM9" s="479">
        <f ca="1"/>
        <v>96</v>
      </c>
      <c r="AN9" s="237"/>
      <c r="AO9" s="229" t="s">
        <v>183</v>
      </c>
      <c r="AP9" s="217" t="str">
        <f ca="1">AM12</f>
        <v>X1.07</v>
      </c>
      <c r="AQ9" s="230">
        <v>1</v>
      </c>
      <c r="AR9" s="217" t="str">
        <f ca="1">IF(AQ9=1,AP9,"")</f>
        <v>X1.07</v>
      </c>
      <c r="AS9" s="236"/>
      <c r="AT9" s="236"/>
      <c r="AU9" s="238"/>
      <c r="AX9" s="440">
        <v>0.71408219233606429</v>
      </c>
      <c r="AY9" s="116"/>
      <c r="AZ9" s="110">
        <v>0</v>
      </c>
      <c r="BA9" s="111">
        <f>BA8*10</f>
        <v>50</v>
      </c>
      <c r="BB9" s="110">
        <f t="shared" si="19"/>
        <v>140</v>
      </c>
      <c r="BC9" s="112">
        <f t="shared" si="20"/>
        <v>0.6</v>
      </c>
      <c r="BD9" s="107">
        <v>0.6</v>
      </c>
      <c r="BE9" s="50"/>
      <c r="BF9" s="50"/>
      <c r="BG9" s="50"/>
      <c r="BH9" s="50"/>
      <c r="BI9" s="50"/>
      <c r="BL9" s="55"/>
      <c r="BM9" s="55"/>
      <c r="BN9" s="55"/>
      <c r="BO9" s="55"/>
      <c r="BP9" s="55"/>
      <c r="BQ9" s="55"/>
      <c r="BR9" s="55"/>
      <c r="BS9" s="55"/>
      <c r="BT9" s="55"/>
      <c r="BU9" s="55"/>
      <c r="BV9" s="55"/>
    </row>
    <row r="10" spans="1:77" ht="12.75" customHeight="1" thickBot="1">
      <c r="A10" s="247"/>
      <c r="B10" s="264" t="str">
        <f t="shared" si="13"/>
        <v>THU</v>
      </c>
      <c r="C10" s="267">
        <f t="shared" si="14"/>
        <v>43965</v>
      </c>
      <c r="D10" s="430">
        <f t="shared" si="21"/>
        <v>4</v>
      </c>
      <c r="E10" s="473"/>
      <c r="F10" s="483"/>
      <c r="G10" s="472"/>
      <c r="H10" s="472"/>
      <c r="I10" s="292" t="str">
        <f t="shared" si="0"/>
        <v/>
      </c>
      <c r="J10" s="293" t="str">
        <f t="shared" si="1"/>
        <v/>
      </c>
      <c r="K10" s="293" t="str">
        <f t="shared" si="2"/>
        <v/>
      </c>
      <c r="L10" s="293" t="str">
        <f t="shared" si="3"/>
        <v/>
      </c>
      <c r="M10" s="266"/>
      <c r="N10" s="291" t="str">
        <f t="shared" si="4"/>
        <v/>
      </c>
      <c r="O10" s="291" t="str">
        <f t="shared" si="5"/>
        <v/>
      </c>
      <c r="P10" s="291" t="str">
        <f t="shared" si="6"/>
        <v/>
      </c>
      <c r="Q10" s="324">
        <f t="shared" si="22"/>
        <v>43965</v>
      </c>
      <c r="R10" s="277">
        <v>4</v>
      </c>
      <c r="S10" s="291" t="e">
        <f t="shared" si="7"/>
        <v>#N/A</v>
      </c>
      <c r="T10" s="291"/>
      <c r="U10" s="291" t="e">
        <f t="shared" si="8"/>
        <v>#N/A</v>
      </c>
      <c r="V10" s="291" t="str">
        <f t="shared" si="15"/>
        <v/>
      </c>
      <c r="W10" s="291" t="str">
        <f t="shared" si="16"/>
        <v/>
      </c>
      <c r="X10" s="291" t="str">
        <f t="shared" si="9"/>
        <v/>
      </c>
      <c r="Y10" s="291" t="str">
        <f t="shared" si="9"/>
        <v/>
      </c>
      <c r="Z10" s="276">
        <v>4</v>
      </c>
      <c r="AA10" s="433">
        <v>4</v>
      </c>
      <c r="AB10" s="291">
        <v>52.746896591546225</v>
      </c>
      <c r="AC10" s="279">
        <f t="shared" si="17"/>
        <v>1.7221969126367431</v>
      </c>
      <c r="AD10" s="279">
        <f t="shared" ca="1" si="10"/>
        <v>1.5414472703450297</v>
      </c>
      <c r="AE10" s="278">
        <f ca="1">IF(AB10="","",10^(AD10))</f>
        <v>34.789426567034646</v>
      </c>
      <c r="AF10" s="279">
        <f t="shared" ca="1" si="18"/>
        <v>0.65955399872018949</v>
      </c>
      <c r="AG10" s="278">
        <f t="shared" ca="1" si="11"/>
        <v>40.230438677074062</v>
      </c>
      <c r="AH10" s="278">
        <f t="shared" ca="1" si="12"/>
        <v>30.084290419453136</v>
      </c>
      <c r="AJ10" s="238"/>
      <c r="AK10" s="479" t="s">
        <v>82</v>
      </c>
      <c r="AL10" s="479">
        <f ca="1"/>
        <v>1.4582511567120502</v>
      </c>
      <c r="AM10" s="479">
        <f ca="1"/>
        <v>0.85836151841091979</v>
      </c>
      <c r="AN10" s="237"/>
      <c r="AO10" s="229" t="s">
        <v>148</v>
      </c>
      <c r="AP10" s="217" t="str">
        <f ca="1">", X"&amp;TEXT(AltBounce,"0.00")</f>
        <v>, X1.16</v>
      </c>
      <c r="AQ10" s="230">
        <v>1</v>
      </c>
      <c r="AR10" s="217" t="str">
        <f ca="1">IF(AQ10=1,AP10,"")</f>
        <v>, X1.16</v>
      </c>
      <c r="AS10" s="237"/>
      <c r="AT10" s="237"/>
      <c r="AU10" s="238"/>
      <c r="AX10" s="442">
        <v>0.71704882971323691</v>
      </c>
      <c r="AY10" s="117"/>
      <c r="AZ10" s="110">
        <v>0</v>
      </c>
      <c r="BA10" s="111">
        <f>BA9*10</f>
        <v>500</v>
      </c>
      <c r="BB10" s="110">
        <f t="shared" si="19"/>
        <v>140</v>
      </c>
      <c r="BC10" s="112">
        <f t="shared" si="20"/>
        <v>0.4</v>
      </c>
      <c r="BD10" s="107">
        <v>0.4</v>
      </c>
      <c r="BE10" s="50"/>
      <c r="BF10" s="50"/>
      <c r="BG10" s="50"/>
      <c r="BH10" s="50"/>
      <c r="BI10" s="50"/>
      <c r="BJ10" s="92"/>
      <c r="BK10" s="93" t="str">
        <f ca="1">IF(Method=2,"P[F("&amp;TEXT(BJ8,"0.000")&amp;", "&amp;AM9&amp;",1)] = "&amp;TEXT(BK8,"0.000"),"P[t("&amp;TEXT(BJ8,"0.000")&amp;", df: "&amp;TEXT(K-2,"0")&amp;")] = "&amp;TEXT(BK8,"0.000"))</f>
        <v>P[F(163.092, 96,1)] = 0.000</v>
      </c>
      <c r="BL10" s="55"/>
      <c r="BM10" s="55"/>
      <c r="BN10" s="55"/>
      <c r="BO10" s="55"/>
      <c r="BP10" s="55"/>
      <c r="BQ10" s="55"/>
      <c r="BR10" s="55"/>
      <c r="BS10" s="55"/>
      <c r="BT10" s="55"/>
      <c r="BU10" s="55"/>
      <c r="BV10" s="55"/>
    </row>
    <row r="11" spans="1:77" ht="12.75" customHeight="1">
      <c r="A11" s="261"/>
      <c r="B11" s="264" t="str">
        <f t="shared" si="13"/>
        <v>FRI</v>
      </c>
      <c r="C11" s="267">
        <f t="shared" si="14"/>
        <v>43966</v>
      </c>
      <c r="D11" s="430">
        <f t="shared" si="21"/>
        <v>5</v>
      </c>
      <c r="E11" s="473"/>
      <c r="F11" s="483"/>
      <c r="G11" s="472"/>
      <c r="H11" s="472"/>
      <c r="I11" s="292" t="str">
        <f t="shared" si="0"/>
        <v/>
      </c>
      <c r="J11" s="293" t="str">
        <f t="shared" si="1"/>
        <v/>
      </c>
      <c r="K11" s="293" t="str">
        <f t="shared" si="2"/>
        <v/>
      </c>
      <c r="L11" s="293" t="str">
        <f t="shared" si="3"/>
        <v/>
      </c>
      <c r="M11" s="266"/>
      <c r="N11" s="291" t="str">
        <f t="shared" si="4"/>
        <v/>
      </c>
      <c r="O11" s="291" t="str">
        <f t="shared" si="5"/>
        <v/>
      </c>
      <c r="P11" s="291" t="str">
        <f t="shared" si="6"/>
        <v/>
      </c>
      <c r="Q11" s="324">
        <f t="shared" si="22"/>
        <v>43966</v>
      </c>
      <c r="R11" s="277">
        <v>5</v>
      </c>
      <c r="S11" s="291" t="e">
        <f t="shared" si="7"/>
        <v>#N/A</v>
      </c>
      <c r="T11" s="291"/>
      <c r="U11" s="291" t="e">
        <f t="shared" si="8"/>
        <v>#N/A</v>
      </c>
      <c r="V11" s="291" t="str">
        <f t="shared" si="15"/>
        <v/>
      </c>
      <c r="W11" s="291" t="str">
        <f t="shared" si="16"/>
        <v/>
      </c>
      <c r="X11" s="291" t="str">
        <f t="shared" si="9"/>
        <v/>
      </c>
      <c r="Y11" s="291" t="str">
        <f t="shared" si="9"/>
        <v/>
      </c>
      <c r="Z11" s="276">
        <v>5</v>
      </c>
      <c r="AA11" s="432">
        <v>5</v>
      </c>
      <c r="AB11" s="291">
        <v>48.944271909999159</v>
      </c>
      <c r="AC11" s="279">
        <f t="shared" si="17"/>
        <v>1.6897018723711565</v>
      </c>
      <c r="AD11" s="279">
        <f t="shared" ca="1" si="10"/>
        <v>1.5457593848583959</v>
      </c>
      <c r="AE11" s="278">
        <f ca="1">IF(AA11="","",10^(AD11))</f>
        <v>35.136571704036335</v>
      </c>
      <c r="AF11" s="279">
        <f t="shared" ca="1" si="18"/>
        <v>0.71788935319432234</v>
      </c>
      <c r="AG11" s="278">
        <f t="shared" ca="1" si="11"/>
        <v>40.631876772619577</v>
      </c>
      <c r="AH11" s="278">
        <f t="shared" ca="1" si="12"/>
        <v>30.384485511750395</v>
      </c>
      <c r="AJ11" s="238"/>
      <c r="AK11" s="479" t="s">
        <v>90</v>
      </c>
      <c r="AL11" s="479" t="str">
        <f ca="1">IF(m&lt;0,"/","X")</f>
        <v>X</v>
      </c>
      <c r="AM11" s="479" t="s">
        <v>60</v>
      </c>
      <c r="AN11" s="237"/>
      <c r="AO11" s="227" t="s">
        <v>162</v>
      </c>
      <c r="AP11" s="217" t="str">
        <f ca="1">", "&amp;ConfInt</f>
        <v>, c.90</v>
      </c>
      <c r="AQ11" s="230">
        <v>0</v>
      </c>
      <c r="AR11" s="217" t="str">
        <f>IF(AQ11=1,AP11,"")</f>
        <v/>
      </c>
      <c r="AS11" s="237"/>
      <c r="AT11" s="237"/>
      <c r="AU11" s="238"/>
      <c r="AX11" s="442">
        <v>0.71788935319432234</v>
      </c>
      <c r="AY11" s="117"/>
      <c r="AZ11" s="110">
        <v>0</v>
      </c>
      <c r="BA11" s="111">
        <f>BA10*10</f>
        <v>5000</v>
      </c>
      <c r="BB11" s="110">
        <f t="shared" si="19"/>
        <v>140</v>
      </c>
      <c r="BC11" s="112">
        <f t="shared" si="20"/>
        <v>0.2</v>
      </c>
      <c r="BD11" s="107">
        <v>0.2</v>
      </c>
      <c r="BJ11" s="55"/>
      <c r="BK11" s="55"/>
      <c r="BL11" s="55"/>
      <c r="BM11" s="55"/>
      <c r="BN11" s="55"/>
      <c r="BO11" s="55"/>
      <c r="BP11" s="55"/>
      <c r="BQ11" s="55"/>
      <c r="BR11" s="55"/>
      <c r="BS11" s="55"/>
      <c r="BT11" s="55"/>
      <c r="BU11" s="55"/>
      <c r="BV11" s="55"/>
    </row>
    <row r="12" spans="1:77" ht="12.75" customHeight="1" thickBot="1">
      <c r="A12" s="247"/>
      <c r="B12" s="264" t="str">
        <f t="shared" si="13"/>
        <v>SAT</v>
      </c>
      <c r="C12" s="267">
        <f t="shared" si="14"/>
        <v>43967</v>
      </c>
      <c r="D12" s="430">
        <f t="shared" si="21"/>
        <v>6</v>
      </c>
      <c r="E12" s="473"/>
      <c r="F12" s="483"/>
      <c r="G12" s="472"/>
      <c r="H12" s="472"/>
      <c r="I12" s="292" t="str">
        <f t="shared" si="0"/>
        <v/>
      </c>
      <c r="J12" s="293" t="str">
        <f t="shared" si="1"/>
        <v/>
      </c>
      <c r="K12" s="293" t="str">
        <f t="shared" si="2"/>
        <v/>
      </c>
      <c r="L12" s="293" t="str">
        <f t="shared" si="3"/>
        <v/>
      </c>
      <c r="M12" s="266"/>
      <c r="N12" s="291" t="str">
        <f t="shared" si="4"/>
        <v/>
      </c>
      <c r="O12" s="291" t="str">
        <f t="shared" si="5"/>
        <v/>
      </c>
      <c r="P12" s="291" t="str">
        <f t="shared" si="6"/>
        <v/>
      </c>
      <c r="Q12" s="324">
        <f t="shared" si="22"/>
        <v>43967</v>
      </c>
      <c r="R12" s="277">
        <v>6</v>
      </c>
      <c r="S12" s="291" t="e">
        <f t="shared" si="7"/>
        <v>#N/A</v>
      </c>
      <c r="T12" s="291"/>
      <c r="U12" s="291" t="e">
        <f t="shared" si="8"/>
        <v>#N/A</v>
      </c>
      <c r="V12" s="291" t="str">
        <f t="shared" si="15"/>
        <v/>
      </c>
      <c r="W12" s="291" t="str">
        <f t="shared" si="16"/>
        <v/>
      </c>
      <c r="X12" s="291" t="str">
        <f t="shared" si="9"/>
        <v/>
      </c>
      <c r="Y12" s="291" t="str">
        <f t="shared" si="9"/>
        <v/>
      </c>
      <c r="Z12" s="276">
        <v>6</v>
      </c>
      <c r="AA12" s="433">
        <v>6</v>
      </c>
      <c r="AB12" s="291">
        <v>43.146101038546526</v>
      </c>
      <c r="AC12" s="279">
        <f t="shared" si="17"/>
        <v>1.6349415561589744</v>
      </c>
      <c r="AD12" s="279">
        <f t="shared" ca="1" si="10"/>
        <v>1.5500714993717619</v>
      </c>
      <c r="AE12" s="278">
        <f t="shared" ref="AE12:AE75" ca="1" si="23">IF(AA12="","",10^(AD12))</f>
        <v>35.487180817252487</v>
      </c>
      <c r="AF12" s="279">
        <f t="shared" ca="1" si="18"/>
        <v>0.82248870611850666</v>
      </c>
      <c r="AG12" s="278">
        <f t="shared" ca="1" si="11"/>
        <v>41.037320604862309</v>
      </c>
      <c r="AH12" s="278">
        <f t="shared" ca="1" si="12"/>
        <v>30.687676090801109</v>
      </c>
      <c r="AJ12" s="238"/>
      <c r="AK12" s="479" t="s">
        <v>4</v>
      </c>
      <c r="AL12" s="479">
        <f ca="1">10^(Scalar*ABS(m))</f>
        <v>1.0719753566495398</v>
      </c>
      <c r="AM12" s="479" t="str" cm="1">
        <f t="array" aca="1" ref="AM12" ca="1">Sign&amp;TEXT(Celeration,"0.00")</f>
        <v>X1.07</v>
      </c>
      <c r="AN12" s="237"/>
      <c r="AO12" s="227" t="s">
        <v>164</v>
      </c>
      <c r="AP12" s="217" t="str">
        <f>", "&amp;IF(Method=1,"MS","LR")</f>
        <v>, LR</v>
      </c>
      <c r="AQ12" s="230">
        <v>0</v>
      </c>
      <c r="AR12" s="217" t="str">
        <f>IF(AQ12=1,AP12,"")</f>
        <v/>
      </c>
      <c r="AS12" s="237"/>
      <c r="AT12" s="237"/>
      <c r="AU12" s="238"/>
      <c r="AX12" s="441">
        <v>0.73035421874161277</v>
      </c>
      <c r="AY12" s="117"/>
      <c r="AZ12" s="110">
        <v>0</v>
      </c>
      <c r="BA12" s="111">
        <f>BA11*10</f>
        <v>50000</v>
      </c>
      <c r="BB12" s="110">
        <f t="shared" si="19"/>
        <v>140</v>
      </c>
      <c r="BC12" s="112">
        <f t="shared" si="20"/>
        <v>0.1</v>
      </c>
      <c r="BD12" s="107">
        <v>0.1</v>
      </c>
      <c r="BH12" s="363" t="s">
        <v>85</v>
      </c>
      <c r="BI12" s="364"/>
      <c r="BJ12" s="365" t="s">
        <v>249</v>
      </c>
      <c r="BK12" s="365" t="s">
        <v>250</v>
      </c>
      <c r="BL12" s="365" t="s">
        <v>251</v>
      </c>
      <c r="BM12" s="55"/>
      <c r="BN12" s="55"/>
      <c r="BO12" s="55"/>
      <c r="BP12" s="55"/>
      <c r="BQ12" s="55"/>
      <c r="BR12" s="55"/>
      <c r="BS12" s="55"/>
      <c r="BT12" s="55"/>
      <c r="BU12" s="55"/>
      <c r="BV12" s="55"/>
    </row>
    <row r="13" spans="1:77" ht="12.75" customHeight="1">
      <c r="A13" s="247"/>
      <c r="B13" s="264" t="str">
        <f t="shared" si="13"/>
        <v>SUN</v>
      </c>
      <c r="C13" s="267">
        <f t="shared" si="14"/>
        <v>43968</v>
      </c>
      <c r="D13" s="430">
        <f t="shared" si="21"/>
        <v>7</v>
      </c>
      <c r="E13" s="473"/>
      <c r="F13" s="483"/>
      <c r="G13" s="472"/>
      <c r="H13" s="472"/>
      <c r="I13" s="292" t="str">
        <f t="shared" si="0"/>
        <v/>
      </c>
      <c r="J13" s="293" t="str">
        <f t="shared" si="1"/>
        <v/>
      </c>
      <c r="K13" s="293" t="str">
        <f t="shared" si="2"/>
        <v/>
      </c>
      <c r="L13" s="293" t="str">
        <f t="shared" si="3"/>
        <v/>
      </c>
      <c r="M13" s="266"/>
      <c r="N13" s="291" t="str">
        <f t="shared" si="4"/>
        <v/>
      </c>
      <c r="O13" s="291" t="str">
        <f t="shared" si="5"/>
        <v/>
      </c>
      <c r="P13" s="291" t="str">
        <f t="shared" si="6"/>
        <v/>
      </c>
      <c r="Q13" s="324">
        <f t="shared" si="22"/>
        <v>43968</v>
      </c>
      <c r="R13" s="277">
        <v>7</v>
      </c>
      <c r="S13" s="291">
        <f t="shared" si="7"/>
        <v>100000</v>
      </c>
      <c r="T13" s="291"/>
      <c r="U13" s="291" t="str">
        <f t="shared" si="8"/>
        <v>05/17/20</v>
      </c>
      <c r="V13" s="291" t="str">
        <f t="shared" si="15"/>
        <v/>
      </c>
      <c r="W13" s="291" t="str">
        <f t="shared" si="16"/>
        <v/>
      </c>
      <c r="X13" s="291" t="str">
        <f t="shared" si="9"/>
        <v/>
      </c>
      <c r="Y13" s="291" t="str">
        <f t="shared" si="9"/>
        <v/>
      </c>
      <c r="Z13" s="276">
        <v>7</v>
      </c>
      <c r="AA13" s="433">
        <v>7</v>
      </c>
      <c r="AB13" s="291">
        <v>43.352484478226216</v>
      </c>
      <c r="AC13" s="279">
        <f t="shared" si="17"/>
        <v>1.6370139914146631</v>
      </c>
      <c r="AD13" s="279">
        <f t="shared" ca="1" si="10"/>
        <v>1.5543836138851281</v>
      </c>
      <c r="AE13" s="278">
        <f t="shared" ca="1" si="23"/>
        <v>35.84128847185471</v>
      </c>
      <c r="AF13" s="279">
        <f t="shared" ca="1" si="18"/>
        <v>0.82674127914989504</v>
      </c>
      <c r="AG13" s="278">
        <f t="shared" ca="1" si="11"/>
        <v>41.44681014491286</v>
      </c>
      <c r="AH13" s="278">
        <f t="shared" ca="1" si="12"/>
        <v>30.99389204697037</v>
      </c>
      <c r="AJ13" s="238"/>
      <c r="AK13" s="492" t="s">
        <v>240</v>
      </c>
      <c r="AL13" s="492"/>
      <c r="AM13" s="478" t="s">
        <v>61</v>
      </c>
      <c r="AN13" s="237"/>
      <c r="AO13" s="227" t="s">
        <v>163</v>
      </c>
      <c r="AP13" s="217" t="str">
        <f>IF((ZeroFlag),", RmZ",", IncZ")</f>
        <v>, RmZ</v>
      </c>
      <c r="AQ13" s="230">
        <v>0</v>
      </c>
      <c r="AR13" s="217" t="str">
        <f>IF(AQ13=1,AP13,"")</f>
        <v/>
      </c>
      <c r="AS13" s="237"/>
      <c r="AT13" s="237"/>
      <c r="AU13" s="238"/>
      <c r="AX13" s="440">
        <v>0.74239360220785644</v>
      </c>
      <c r="BH13" s="361">
        <f ca="1">COUNT(OFFSET(LStart,0,0,140,1))-1</f>
        <v>98</v>
      </c>
      <c r="BI13" s="362" t="s">
        <v>247</v>
      </c>
      <c r="BJ13" s="55">
        <f ca="1">_xlfn.QUARTILE.INC(OFFSET(LStart,0,0,$BH13,1),0)</f>
        <v>0</v>
      </c>
      <c r="BK13" s="34">
        <f ca="1">_xlfn.QUARTILE.INC(OFFSET(LStart,0,2,$BH13,1),0)</f>
        <v>1.4221403159937449</v>
      </c>
      <c r="BL13" s="34">
        <f ca="1">10^BK13</f>
        <v>26.432626298183159</v>
      </c>
      <c r="BM13" s="55"/>
      <c r="BN13" s="55"/>
      <c r="BO13" s="55"/>
      <c r="BP13" s="55"/>
      <c r="BQ13" s="55"/>
      <c r="BR13" s="55"/>
      <c r="BS13" s="55"/>
      <c r="BT13" s="55"/>
      <c r="BU13" s="55"/>
      <c r="BV13" s="55"/>
    </row>
    <row r="14" spans="1:77" ht="12.75" customHeight="1">
      <c r="A14" s="247"/>
      <c r="B14" s="264" t="str">
        <f t="shared" si="13"/>
        <v>MON</v>
      </c>
      <c r="C14" s="267">
        <f t="shared" si="14"/>
        <v>43969</v>
      </c>
      <c r="D14" s="430">
        <f t="shared" si="21"/>
        <v>8</v>
      </c>
      <c r="E14" s="473"/>
      <c r="F14" s="483"/>
      <c r="G14" s="472"/>
      <c r="H14" s="472"/>
      <c r="I14" s="292" t="str">
        <f t="shared" si="0"/>
        <v/>
      </c>
      <c r="J14" s="293" t="str">
        <f t="shared" si="1"/>
        <v/>
      </c>
      <c r="K14" s="293" t="str">
        <f t="shared" si="2"/>
        <v/>
      </c>
      <c r="L14" s="293" t="str">
        <f t="shared" si="3"/>
        <v/>
      </c>
      <c r="M14" s="266"/>
      <c r="N14" s="291" t="str">
        <f t="shared" si="4"/>
        <v/>
      </c>
      <c r="O14" s="291" t="str">
        <f t="shared" si="5"/>
        <v/>
      </c>
      <c r="P14" s="291" t="str">
        <f t="shared" si="6"/>
        <v/>
      </c>
      <c r="Q14" s="324">
        <f t="shared" si="22"/>
        <v>43969</v>
      </c>
      <c r="R14" s="277">
        <v>8</v>
      </c>
      <c r="S14" s="291" t="e">
        <f t="shared" si="7"/>
        <v>#N/A</v>
      </c>
      <c r="T14" s="291"/>
      <c r="U14" s="291" t="e">
        <f t="shared" si="8"/>
        <v>#N/A</v>
      </c>
      <c r="V14" s="291" t="str">
        <f t="shared" si="15"/>
        <v/>
      </c>
      <c r="W14" s="291" t="str">
        <f t="shared" si="16"/>
        <v/>
      </c>
      <c r="X14" s="291" t="str">
        <f t="shared" si="9"/>
        <v/>
      </c>
      <c r="Y14" s="291" t="str">
        <f t="shared" si="9"/>
        <v/>
      </c>
      <c r="Z14" s="276">
        <v>8</v>
      </c>
      <c r="AA14" s="432">
        <v>8</v>
      </c>
      <c r="AB14" s="291">
        <v>49.563524997900373</v>
      </c>
      <c r="AC14" s="279">
        <f t="shared" si="17"/>
        <v>1.6951621861765158</v>
      </c>
      <c r="AD14" s="279">
        <f t="shared" ca="1" si="10"/>
        <v>1.5586957283984944</v>
      </c>
      <c r="AE14" s="278">
        <f t="shared" ca="1" si="23"/>
        <v>36.198929577921923</v>
      </c>
      <c r="AF14" s="279">
        <f t="shared" ca="1" si="18"/>
        <v>0.73035421874161277</v>
      </c>
      <c r="AG14" s="278">
        <f t="shared" ca="1" si="11"/>
        <v>41.860385762732086</v>
      </c>
      <c r="AH14" s="278">
        <f t="shared" ca="1" si="12"/>
        <v>31.303163568883171</v>
      </c>
      <c r="AJ14" s="238"/>
      <c r="AK14" s="217" t="s">
        <v>69</v>
      </c>
      <c r="AL14" s="255">
        <f ca="1">OFFSET(BounceStats,SpreadIndex-1,2,1,1)</f>
        <v>0.92359840720139574</v>
      </c>
      <c r="AM14" s="225">
        <v>4</v>
      </c>
      <c r="AN14" s="236"/>
      <c r="AO14" s="224"/>
      <c r="AP14" s="224"/>
      <c r="AQ14" s="224" t="s">
        <v>256</v>
      </c>
      <c r="AR14" s="224" t="str">
        <f ca="1">AR9&amp;AR10&amp;AR11</f>
        <v>X1.07, X1.16</v>
      </c>
      <c r="AS14" s="237"/>
      <c r="AT14" s="237"/>
      <c r="AU14" s="238"/>
      <c r="AX14" s="440">
        <v>0.75238602289991563</v>
      </c>
      <c r="AZ14" s="16"/>
      <c r="BA14" s="16"/>
      <c r="BB14" s="97" t="s">
        <v>215</v>
      </c>
      <c r="BC14" s="97" t="s">
        <v>216</v>
      </c>
      <c r="BD14" s="97" t="s">
        <v>217</v>
      </c>
      <c r="BE14" s="185" t="s">
        <v>218</v>
      </c>
      <c r="BH14" s="16">
        <f ca="1">(BH13+1)/2</f>
        <v>49.5</v>
      </c>
      <c r="BI14" s="362">
        <v>2.5000000000000001E-2</v>
      </c>
      <c r="BJ14" s="50">
        <f t="shared" ref="BJ14:BJ20" ca="1" si="24">_xlfn.PERCENTILE.INC(OFFSET(LStart,0,0,$BH$13,1),$BI14)</f>
        <v>2.4250000000000003</v>
      </c>
      <c r="BK14" s="54">
        <f t="shared" ref="BK14:BK20" ca="1" si="25">_xlfn.PERCENTILE.INC(OFFSET(LStart,0,2,$BH$13,1),$BI14)</f>
        <v>1.4688592945972936</v>
      </c>
      <c r="BL14" s="34">
        <f t="shared" ref="BL14:BL21" ca="1" si="26">10^BK14</f>
        <v>29.434678364489489</v>
      </c>
      <c r="BM14" s="55"/>
      <c r="BN14" s="55"/>
      <c r="BO14" s="55"/>
      <c r="BP14" s="55"/>
      <c r="BQ14" s="55"/>
      <c r="BR14" s="80"/>
      <c r="BS14" s="80"/>
      <c r="BT14" s="80"/>
      <c r="BU14" s="21"/>
      <c r="BV14" s="21"/>
      <c r="BW14" s="21"/>
      <c r="BX14" s="21"/>
      <c r="BY14" s="21"/>
    </row>
    <row r="15" spans="1:77" ht="12.75" customHeight="1">
      <c r="A15" s="247"/>
      <c r="B15" s="264" t="str">
        <f t="shared" si="13"/>
        <v>TUE</v>
      </c>
      <c r="C15" s="267">
        <f t="shared" si="14"/>
        <v>43970</v>
      </c>
      <c r="D15" s="430">
        <f t="shared" si="21"/>
        <v>9</v>
      </c>
      <c r="E15" s="473"/>
      <c r="F15" s="483"/>
      <c r="G15" s="472"/>
      <c r="H15" s="472"/>
      <c r="I15" s="292" t="str">
        <f t="shared" si="0"/>
        <v/>
      </c>
      <c r="J15" s="293" t="str">
        <f t="shared" si="1"/>
        <v/>
      </c>
      <c r="K15" s="293" t="str">
        <f t="shared" si="2"/>
        <v/>
      </c>
      <c r="L15" s="293" t="str">
        <f t="shared" si="3"/>
        <v/>
      </c>
      <c r="M15" s="266"/>
      <c r="N15" s="291" t="str">
        <f t="shared" si="4"/>
        <v/>
      </c>
      <c r="O15" s="291" t="str">
        <f t="shared" si="5"/>
        <v/>
      </c>
      <c r="P15" s="291" t="str">
        <f t="shared" si="6"/>
        <v/>
      </c>
      <c r="Q15" s="324">
        <f t="shared" si="22"/>
        <v>43970</v>
      </c>
      <c r="R15" s="277">
        <v>9</v>
      </c>
      <c r="S15" s="291" t="e">
        <f t="shared" si="7"/>
        <v>#N/A</v>
      </c>
      <c r="T15" s="291"/>
      <c r="U15" s="291" t="e">
        <f t="shared" si="8"/>
        <v>#N/A</v>
      </c>
      <c r="V15" s="291" t="str">
        <f t="shared" si="15"/>
        <v/>
      </c>
      <c r="W15" s="291" t="str">
        <f t="shared" si="16"/>
        <v/>
      </c>
      <c r="X15" s="291" t="str">
        <f t="shared" si="9"/>
        <v/>
      </c>
      <c r="Y15" s="291" t="str">
        <f t="shared" si="9"/>
        <v/>
      </c>
      <c r="Z15" s="276">
        <v>9</v>
      </c>
      <c r="AA15" s="433">
        <v>9</v>
      </c>
      <c r="AB15" s="291">
        <v>45.779327685429287</v>
      </c>
      <c r="AC15" s="279">
        <f t="shared" si="17"/>
        <v>1.6606694103426267</v>
      </c>
      <c r="AD15" s="279">
        <f t="shared" ca="1" si="10"/>
        <v>1.5630078429118606</v>
      </c>
      <c r="AE15" s="278">
        <f t="shared" ca="1" si="23"/>
        <v>36.56013939388221</v>
      </c>
      <c r="AF15" s="279">
        <f t="shared" ca="1" si="18"/>
        <v>0.79861678277810588</v>
      </c>
      <c r="AG15" s="278">
        <f t="shared" ca="1" si="11"/>
        <v>42.27808823111129</v>
      </c>
      <c r="AH15" s="278">
        <f t="shared" ca="1" si="12"/>
        <v>31.615521146400802</v>
      </c>
      <c r="AJ15" s="238"/>
      <c r="AK15" s="217" t="s">
        <v>70</v>
      </c>
      <c r="AL15" s="255">
        <f ca="1">OFFSET(BounceStats,SpreadIndex-1,3,1,1)</f>
        <v>1.4064356707755445</v>
      </c>
      <c r="AM15" s="225">
        <v>2</v>
      </c>
      <c r="AN15" s="227">
        <v>1</v>
      </c>
      <c r="AO15" s="223" t="s">
        <v>179</v>
      </c>
      <c r="AP15" s="237"/>
      <c r="AQ15" s="237"/>
      <c r="AR15" s="237"/>
      <c r="AS15" s="237"/>
      <c r="AT15" s="237"/>
      <c r="AU15" s="238"/>
      <c r="AX15" s="440">
        <v>0.75944637294820572</v>
      </c>
      <c r="BA15" s="136"/>
      <c r="BB15" s="97">
        <v>6</v>
      </c>
      <c r="BC15" s="186">
        <f t="shared" ref="BC15:BC36" si="27">Xmax</f>
        <v>140</v>
      </c>
      <c r="BD15" s="187" t="str">
        <f>IF(Ymin=0.001,60/BB15,"")</f>
        <v/>
      </c>
      <c r="BE15" s="56" t="str">
        <f>TEXT(BB15,"0")&amp;"-S"</f>
        <v>6-S</v>
      </c>
      <c r="BF15" s="55"/>
      <c r="BG15" s="55"/>
      <c r="BH15" s="55"/>
      <c r="BI15" s="362">
        <v>0.125</v>
      </c>
      <c r="BJ15" s="50">
        <f t="shared" ca="1" si="24"/>
        <v>12.125</v>
      </c>
      <c r="BK15" s="54">
        <f t="shared" ca="1" si="25"/>
        <v>1.5254863638895844</v>
      </c>
      <c r="BL15" s="34">
        <f t="shared" ca="1" si="26"/>
        <v>33.534077515346773</v>
      </c>
      <c r="BM15" s="55"/>
      <c r="BN15" s="55"/>
      <c r="BO15" s="55"/>
      <c r="BP15" s="55"/>
      <c r="BQ15" s="55"/>
      <c r="BR15" s="80"/>
      <c r="BS15" s="80"/>
      <c r="BT15" s="80"/>
      <c r="BU15" s="21"/>
      <c r="BV15" s="21"/>
      <c r="BW15" s="21"/>
      <c r="BX15" s="21"/>
      <c r="BY15" s="21"/>
    </row>
    <row r="16" spans="1:77" ht="12.75" customHeight="1">
      <c r="A16" s="247"/>
      <c r="B16" s="264" t="str">
        <f t="shared" si="13"/>
        <v>WED</v>
      </c>
      <c r="C16" s="267">
        <f t="shared" si="14"/>
        <v>43971</v>
      </c>
      <c r="D16" s="430">
        <f t="shared" si="21"/>
        <v>10</v>
      </c>
      <c r="E16" s="473"/>
      <c r="F16" s="483"/>
      <c r="G16" s="472"/>
      <c r="H16" s="472"/>
      <c r="I16" s="292" t="str">
        <f t="shared" si="0"/>
        <v/>
      </c>
      <c r="J16" s="293" t="str">
        <f t="shared" si="1"/>
        <v/>
      </c>
      <c r="K16" s="293" t="str">
        <f t="shared" si="2"/>
        <v/>
      </c>
      <c r="L16" s="293" t="str">
        <f t="shared" si="3"/>
        <v/>
      </c>
      <c r="M16" s="266"/>
      <c r="N16" s="291" t="str">
        <f t="shared" si="4"/>
        <v/>
      </c>
      <c r="O16" s="291" t="str">
        <f t="shared" si="5"/>
        <v/>
      </c>
      <c r="P16" s="291" t="str">
        <f t="shared" si="6"/>
        <v/>
      </c>
      <c r="Q16" s="324">
        <f t="shared" si="22"/>
        <v>43971</v>
      </c>
      <c r="R16" s="277">
        <v>10</v>
      </c>
      <c r="S16" s="291" t="e">
        <f t="shared" si="7"/>
        <v>#N/A</v>
      </c>
      <c r="T16" s="291"/>
      <c r="U16" s="291" t="e">
        <f t="shared" si="8"/>
        <v>#N/A</v>
      </c>
      <c r="V16" s="291" t="str">
        <f t="shared" si="15"/>
        <v/>
      </c>
      <c r="W16" s="291" t="str">
        <f t="shared" si="16"/>
        <v/>
      </c>
      <c r="X16" s="291" t="str">
        <f t="shared" si="9"/>
        <v/>
      </c>
      <c r="Y16" s="291" t="str">
        <f t="shared" si="9"/>
        <v/>
      </c>
      <c r="Z16" s="276">
        <v>10</v>
      </c>
      <c r="AA16" s="433">
        <v>10</v>
      </c>
      <c r="AB16" s="291">
        <v>48</v>
      </c>
      <c r="AC16" s="279">
        <f t="shared" si="17"/>
        <v>1.6812412373755872</v>
      </c>
      <c r="AD16" s="279">
        <f t="shared" ca="1" si="10"/>
        <v>1.5673199574252266</v>
      </c>
      <c r="AE16" s="278">
        <f t="shared" ca="1" si="23"/>
        <v>36.924953529988585</v>
      </c>
      <c r="AF16" s="279">
        <f t="shared" ca="1" si="18"/>
        <v>0.76926986520809548</v>
      </c>
      <c r="AG16" s="278">
        <f t="shared" ca="1" si="11"/>
        <v>42.699958729691581</v>
      </c>
      <c r="AH16" s="278">
        <f t="shared" ca="1" si="12"/>
        <v>31.930995573626511</v>
      </c>
      <c r="AJ16" s="238"/>
      <c r="AK16" s="217" t="s">
        <v>28</v>
      </c>
      <c r="AL16" s="255">
        <f ca="1">DownBounce*UpBounce</f>
        <v>1.2989817453595196</v>
      </c>
      <c r="AM16" s="226" t="str">
        <f ca="1">OFFSET(BounceStats,SpreadIndex-1,0,1,1)</f>
        <v>c.90</v>
      </c>
      <c r="AN16" s="227">
        <v>2</v>
      </c>
      <c r="AO16" s="224" t="s">
        <v>180</v>
      </c>
      <c r="AP16" s="237"/>
      <c r="AQ16" s="237"/>
      <c r="AR16" s="237"/>
      <c r="AS16" s="237"/>
      <c r="AT16" s="237"/>
      <c r="AU16" s="238"/>
      <c r="AX16" s="442">
        <v>0.76063252328309694</v>
      </c>
      <c r="BA16" s="136"/>
      <c r="BB16" s="97">
        <v>10</v>
      </c>
      <c r="BC16" s="186">
        <f t="shared" si="27"/>
        <v>140</v>
      </c>
      <c r="BD16" s="187" t="str">
        <f>IF(Ymin=0.001,60/BB16,"")</f>
        <v/>
      </c>
      <c r="BE16" s="56" t="str">
        <f>TEXT(BB16,"0")&amp;"-S"</f>
        <v>10-S</v>
      </c>
      <c r="BF16" s="55"/>
      <c r="BG16" s="55"/>
      <c r="BH16" s="55"/>
      <c r="BI16" s="362">
        <v>0.25</v>
      </c>
      <c r="BJ16" s="50">
        <f t="shared" ca="1" si="24"/>
        <v>24.25</v>
      </c>
      <c r="BK16" s="54">
        <f t="shared" ca="1" si="25"/>
        <v>1.617638577001957</v>
      </c>
      <c r="BL16" s="34">
        <f t="shared" ca="1" si="26"/>
        <v>41.460885854154398</v>
      </c>
      <c r="BM16" s="55"/>
      <c r="BN16" s="55"/>
      <c r="BO16" s="55"/>
      <c r="BP16" s="55"/>
      <c r="BQ16" s="55"/>
      <c r="BR16" s="80"/>
      <c r="BS16" s="80"/>
      <c r="BT16" s="80"/>
      <c r="BU16" s="21"/>
      <c r="BV16" s="21"/>
      <c r="BW16" s="21"/>
      <c r="BX16" s="21"/>
      <c r="BY16" s="21"/>
    </row>
    <row r="17" spans="1:77" ht="12.75" customHeight="1">
      <c r="A17" s="247"/>
      <c r="B17" s="264" t="str">
        <f t="shared" si="13"/>
        <v>THU</v>
      </c>
      <c r="C17" s="267">
        <f t="shared" si="14"/>
        <v>43972</v>
      </c>
      <c r="D17" s="430">
        <f t="shared" si="21"/>
        <v>11</v>
      </c>
      <c r="E17" s="473"/>
      <c r="F17" s="483"/>
      <c r="G17" s="472"/>
      <c r="H17" s="472"/>
      <c r="I17" s="292" t="str">
        <f t="shared" si="0"/>
        <v/>
      </c>
      <c r="J17" s="293" t="str">
        <f t="shared" si="1"/>
        <v/>
      </c>
      <c r="K17" s="293" t="str">
        <f t="shared" si="2"/>
        <v/>
      </c>
      <c r="L17" s="293" t="str">
        <f t="shared" si="3"/>
        <v/>
      </c>
      <c r="M17" s="266"/>
      <c r="N17" s="291" t="str">
        <f t="shared" si="4"/>
        <v/>
      </c>
      <c r="O17" s="291" t="str">
        <f t="shared" si="5"/>
        <v/>
      </c>
      <c r="P17" s="291" t="str">
        <f t="shared" si="6"/>
        <v/>
      </c>
      <c r="Q17" s="324">
        <f>C17</f>
        <v>43972</v>
      </c>
      <c r="R17" s="277">
        <v>11</v>
      </c>
      <c r="S17" s="291" t="e">
        <f t="shared" si="7"/>
        <v>#N/A</v>
      </c>
      <c r="T17" s="291"/>
      <c r="U17" s="291" t="e">
        <f t="shared" si="8"/>
        <v>#N/A</v>
      </c>
      <c r="V17" s="291" t="str">
        <f t="shared" si="15"/>
        <v/>
      </c>
      <c r="W17" s="291" t="str">
        <f t="shared" si="16"/>
        <v/>
      </c>
      <c r="X17" s="291" t="str">
        <f t="shared" si="9"/>
        <v/>
      </c>
      <c r="Y17" s="291" t="str">
        <f t="shared" si="9"/>
        <v/>
      </c>
      <c r="Z17" s="276">
        <v>11</v>
      </c>
      <c r="AA17" s="432">
        <v>11</v>
      </c>
      <c r="AB17" s="291">
        <v>52.22565182563573</v>
      </c>
      <c r="AC17" s="279">
        <f t="shared" si="17"/>
        <v>1.717883869092943</v>
      </c>
      <c r="AD17" s="279">
        <f t="shared" ca="1" si="10"/>
        <v>1.5716320719385928</v>
      </c>
      <c r="AE17" s="278">
        <f t="shared" ca="1" si="23"/>
        <v>37.293407951829941</v>
      </c>
      <c r="AF17" s="279">
        <f t="shared" ca="1" si="18"/>
        <v>0.71408219233606429</v>
      </c>
      <c r="AG17" s="278">
        <f t="shared" ca="1" si="11"/>
        <v>43.126038849023907</v>
      </c>
      <c r="AH17" s="278">
        <f t="shared" ca="1" si="12"/>
        <v>32.249617951941609</v>
      </c>
      <c r="AI17" s="437"/>
      <c r="AJ17" s="238"/>
      <c r="AK17" s="217" t="s">
        <v>47</v>
      </c>
      <c r="AL17" s="369">
        <f>COUNT(AB6:AB146)</f>
        <v>98</v>
      </c>
      <c r="AM17" s="217">
        <f>K-2</f>
        <v>96</v>
      </c>
      <c r="AN17" s="236"/>
      <c r="AO17" s="237"/>
      <c r="AP17" s="237"/>
      <c r="AQ17" s="237"/>
      <c r="AR17" s="237"/>
      <c r="AS17" s="236"/>
      <c r="AT17" s="236"/>
      <c r="AU17" s="238"/>
      <c r="AX17" s="442">
        <v>0.76439914756530813</v>
      </c>
      <c r="BA17" s="136"/>
      <c r="BB17" s="97">
        <v>15</v>
      </c>
      <c r="BC17" s="186">
        <f t="shared" si="27"/>
        <v>140</v>
      </c>
      <c r="BD17" s="187" t="str">
        <f>IF(Ymin=0.001,60/BB17,"")</f>
        <v/>
      </c>
      <c r="BE17" s="56" t="str">
        <f>TEXT(BB17,"0")&amp;"-S"</f>
        <v>15-S</v>
      </c>
      <c r="BF17" s="55"/>
      <c r="BG17" s="55"/>
      <c r="BH17" s="55"/>
      <c r="BI17" s="362">
        <v>0.5</v>
      </c>
      <c r="BJ17" s="50">
        <f t="shared" ca="1" si="24"/>
        <v>48.5</v>
      </c>
      <c r="BK17" s="54">
        <f t="shared" ca="1" si="25"/>
        <v>1.7393703290519524</v>
      </c>
      <c r="BL17" s="34">
        <f t="shared" ca="1" si="26"/>
        <v>54.874468783807892</v>
      </c>
      <c r="BM17" s="55"/>
      <c r="BN17" s="55"/>
      <c r="BO17" s="55"/>
      <c r="BP17" s="55"/>
      <c r="BQ17" s="55"/>
      <c r="BR17" s="80"/>
      <c r="BS17" s="80"/>
      <c r="BT17" s="80"/>
      <c r="BU17" s="21"/>
      <c r="BV17" s="21"/>
      <c r="BW17" s="21"/>
      <c r="BX17" s="21"/>
      <c r="BY17" s="21"/>
    </row>
    <row r="18" spans="1:77" ht="12.75" customHeight="1">
      <c r="A18" s="247"/>
      <c r="B18" s="264" t="str">
        <f t="shared" si="13"/>
        <v>FRI</v>
      </c>
      <c r="C18" s="267">
        <f t="shared" si="14"/>
        <v>43973</v>
      </c>
      <c r="D18" s="430">
        <f t="shared" si="21"/>
        <v>12</v>
      </c>
      <c r="E18" s="473"/>
      <c r="F18" s="483"/>
      <c r="G18" s="472"/>
      <c r="H18" s="472"/>
      <c r="I18" s="292" t="str">
        <f t="shared" si="0"/>
        <v/>
      </c>
      <c r="J18" s="293" t="str">
        <f t="shared" si="1"/>
        <v/>
      </c>
      <c r="K18" s="293" t="str">
        <f t="shared" si="2"/>
        <v/>
      </c>
      <c r="L18" s="293" t="str">
        <f t="shared" si="3"/>
        <v/>
      </c>
      <c r="M18" s="266"/>
      <c r="N18" s="291" t="str">
        <f t="shared" si="4"/>
        <v/>
      </c>
      <c r="O18" s="291" t="str">
        <f t="shared" si="5"/>
        <v/>
      </c>
      <c r="P18" s="291" t="str">
        <f t="shared" si="6"/>
        <v/>
      </c>
      <c r="Q18" s="324">
        <f t="shared" ref="Q18:Q26" si="28">C18</f>
        <v>43973</v>
      </c>
      <c r="R18" s="277">
        <v>12</v>
      </c>
      <c r="S18" s="291" t="e">
        <f t="shared" si="7"/>
        <v>#N/A</v>
      </c>
      <c r="T18" s="291"/>
      <c r="U18" s="291" t="e">
        <f t="shared" si="8"/>
        <v>#N/A</v>
      </c>
      <c r="V18" s="291" t="str">
        <f t="shared" si="15"/>
        <v/>
      </c>
      <c r="W18" s="291" t="str">
        <f t="shared" si="16"/>
        <v/>
      </c>
      <c r="X18" s="291" t="str">
        <f t="shared" si="9"/>
        <v/>
      </c>
      <c r="Y18" s="291" t="str">
        <f t="shared" si="9"/>
        <v/>
      </c>
      <c r="Z18" s="276">
        <v>12</v>
      </c>
      <c r="AA18" s="433">
        <v>12</v>
      </c>
      <c r="AB18" s="291">
        <v>54.456395525912733</v>
      </c>
      <c r="AC18" s="279">
        <f t="shared" si="17"/>
        <v>1.7360488919614887</v>
      </c>
      <c r="AD18" s="279">
        <f t="shared" ca="1" si="10"/>
        <v>1.575944186451959</v>
      </c>
      <c r="AE18" s="278">
        <f t="shared" ca="1" si="23"/>
        <v>37.665538983876466</v>
      </c>
      <c r="AF18" s="279">
        <f t="shared" ca="1" si="18"/>
        <v>0.69166419518077649</v>
      </c>
      <c r="AG18" s="278">
        <f t="shared" ca="1" si="11"/>
        <v>43.556370594669012</v>
      </c>
      <c r="AH18" s="278">
        <f t="shared" ca="1" si="12"/>
        <v>32.571419693071391</v>
      </c>
      <c r="AJ18" s="238"/>
      <c r="AK18" s="236"/>
      <c r="AL18" s="236"/>
      <c r="AM18" s="236"/>
      <c r="AN18" s="236"/>
      <c r="AO18" s="237"/>
      <c r="AP18" s="237"/>
      <c r="AQ18" s="237"/>
      <c r="AR18" s="237"/>
      <c r="AS18" s="236"/>
      <c r="AT18" s="236"/>
      <c r="AU18" s="238"/>
      <c r="AX18" s="442">
        <v>0.76612709312733951</v>
      </c>
      <c r="BA18" s="136"/>
      <c r="BB18" s="97">
        <v>30</v>
      </c>
      <c r="BC18" s="186">
        <f t="shared" si="27"/>
        <v>140</v>
      </c>
      <c r="BD18" s="187" t="str">
        <f>IF(Ymin=0.001,60/BB18,"")</f>
        <v/>
      </c>
      <c r="BE18" s="56" t="str">
        <f>TEXT(BB18,"0")&amp;"-S"</f>
        <v>30-S</v>
      </c>
      <c r="BF18" s="55"/>
      <c r="BG18" s="55"/>
      <c r="BH18" s="55"/>
      <c r="BI18" s="361">
        <v>0.75</v>
      </c>
      <c r="BJ18" s="50">
        <f t="shared" ca="1" si="24"/>
        <v>72.75</v>
      </c>
      <c r="BK18" s="54">
        <f t="shared" ca="1" si="25"/>
        <v>1.8461839319215778</v>
      </c>
      <c r="BL18" s="34">
        <f t="shared" ca="1" si="26"/>
        <v>70.175244091517413</v>
      </c>
      <c r="BM18" s="55"/>
      <c r="BN18" s="55"/>
      <c r="BO18" s="55"/>
      <c r="BP18" s="55"/>
      <c r="BQ18" s="55"/>
      <c r="BR18" s="80"/>
      <c r="BS18" s="80"/>
      <c r="BT18" s="80"/>
      <c r="BU18" s="21"/>
      <c r="BV18" s="21"/>
      <c r="BW18" s="21"/>
      <c r="BX18" s="21"/>
      <c r="BY18" s="21"/>
    </row>
    <row r="19" spans="1:77" ht="12.75" customHeight="1">
      <c r="A19" s="247"/>
      <c r="B19" s="264" t="str">
        <f t="shared" si="13"/>
        <v>SAT</v>
      </c>
      <c r="C19" s="267">
        <f t="shared" si="14"/>
        <v>43974</v>
      </c>
      <c r="D19" s="430">
        <f t="shared" si="21"/>
        <v>13</v>
      </c>
      <c r="E19" s="473"/>
      <c r="F19" s="483"/>
      <c r="G19" s="472"/>
      <c r="H19" s="472"/>
      <c r="I19" s="292" t="str">
        <f t="shared" si="0"/>
        <v/>
      </c>
      <c r="J19" s="293" t="str">
        <f t="shared" si="1"/>
        <v/>
      </c>
      <c r="K19" s="293" t="str">
        <f t="shared" si="2"/>
        <v/>
      </c>
      <c r="L19" s="293" t="str">
        <f t="shared" si="3"/>
        <v/>
      </c>
      <c r="M19" s="266"/>
      <c r="N19" s="291" t="str">
        <f t="shared" si="4"/>
        <v/>
      </c>
      <c r="O19" s="291" t="str">
        <f t="shared" si="5"/>
        <v/>
      </c>
      <c r="P19" s="291" t="str">
        <f t="shared" si="6"/>
        <v/>
      </c>
      <c r="Q19" s="324">
        <f t="shared" si="28"/>
        <v>43974</v>
      </c>
      <c r="R19" s="277">
        <v>13</v>
      </c>
      <c r="S19" s="291" t="e">
        <f t="shared" si="7"/>
        <v>#N/A</v>
      </c>
      <c r="T19" s="291"/>
      <c r="U19" s="291" t="e">
        <f t="shared" si="8"/>
        <v>#N/A</v>
      </c>
      <c r="V19" s="291" t="str">
        <f t="shared" si="15"/>
        <v/>
      </c>
      <c r="W19" s="291" t="str">
        <f t="shared" si="16"/>
        <v/>
      </c>
      <c r="X19" s="291" t="str">
        <f t="shared" si="9"/>
        <v/>
      </c>
      <c r="Y19" s="291" t="str">
        <f t="shared" si="9"/>
        <v/>
      </c>
      <c r="Z19" s="276">
        <v>13</v>
      </c>
      <c r="AA19" s="432">
        <v>13</v>
      </c>
      <c r="AB19" s="291">
        <v>30.692345999911879</v>
      </c>
      <c r="AC19" s="279">
        <f t="shared" si="17"/>
        <v>1.4870300854300857</v>
      </c>
      <c r="AD19" s="279">
        <f t="shared" ca="1" si="10"/>
        <v>1.580256300965325</v>
      </c>
      <c r="AE19" s="278">
        <f t="shared" ca="1" si="23"/>
        <v>38.04138331306094</v>
      </c>
      <c r="AF19" s="279">
        <f t="shared" ca="1" si="18"/>
        <v>1.2394420196217701</v>
      </c>
      <c r="AG19" s="278">
        <f t="shared" ca="1" si="11"/>
        <v>43.990996391338783</v>
      </c>
      <c r="AH19" s="278">
        <f t="shared" ca="1" si="12"/>
        <v>32.896432522182074</v>
      </c>
      <c r="AJ19" s="252"/>
      <c r="AK19" s="489" t="s">
        <v>241</v>
      </c>
      <c r="AL19" s="489"/>
      <c r="AM19" s="489"/>
      <c r="AN19" s="489"/>
      <c r="AO19" s="489"/>
      <c r="AP19" s="489"/>
      <c r="AQ19" s="489"/>
      <c r="AR19" s="489"/>
      <c r="AS19" s="237"/>
      <c r="AT19" s="237"/>
      <c r="AU19" s="246"/>
      <c r="AX19" s="442">
        <v>0.76926986520809548</v>
      </c>
      <c r="BA19" s="136"/>
      <c r="BB19" s="97">
        <v>45</v>
      </c>
      <c r="BC19" s="186">
        <f t="shared" si="27"/>
        <v>140</v>
      </c>
      <c r="BD19" s="187" t="str">
        <f>IF(Ymin=0.001,60/BB19,"")</f>
        <v/>
      </c>
      <c r="BE19" s="56" t="str">
        <f>TEXT(BB19,"0")&amp;"-S"</f>
        <v>45-S</v>
      </c>
      <c r="BF19" s="55"/>
      <c r="BG19" s="55"/>
      <c r="BH19" s="55"/>
      <c r="BI19" s="361">
        <v>0.875</v>
      </c>
      <c r="BJ19" s="50">
        <f t="shared" ca="1" si="24"/>
        <v>84.875</v>
      </c>
      <c r="BK19" s="54">
        <f t="shared" ca="1" si="25"/>
        <v>1.9228563721178971</v>
      </c>
      <c r="BL19" s="34">
        <f t="shared" ca="1" si="26"/>
        <v>83.725234407472342</v>
      </c>
      <c r="BM19" s="55"/>
      <c r="BN19" s="55"/>
      <c r="BO19" s="55"/>
      <c r="BP19" s="55"/>
      <c r="BQ19" s="55"/>
      <c r="BR19" s="80"/>
      <c r="BS19" s="80"/>
      <c r="BT19" s="80"/>
      <c r="BU19" s="21"/>
      <c r="BV19" s="21"/>
      <c r="BW19" s="21"/>
      <c r="BX19" s="21"/>
      <c r="BY19" s="21"/>
    </row>
    <row r="20" spans="1:77" ht="12.75" customHeight="1">
      <c r="A20" s="247"/>
      <c r="B20" s="264" t="str">
        <f t="shared" si="13"/>
        <v>SUN</v>
      </c>
      <c r="C20" s="267">
        <f t="shared" si="14"/>
        <v>43975</v>
      </c>
      <c r="D20" s="430">
        <f t="shared" si="21"/>
        <v>14</v>
      </c>
      <c r="E20" s="473"/>
      <c r="F20" s="483"/>
      <c r="G20" s="472"/>
      <c r="H20" s="472"/>
      <c r="I20" s="292" t="str">
        <f t="shared" si="0"/>
        <v/>
      </c>
      <c r="J20" s="293" t="str">
        <f t="shared" si="1"/>
        <v/>
      </c>
      <c r="K20" s="293" t="str">
        <f t="shared" si="2"/>
        <v/>
      </c>
      <c r="L20" s="293" t="str">
        <f t="shared" si="3"/>
        <v/>
      </c>
      <c r="M20" s="266"/>
      <c r="N20" s="291" t="str">
        <f t="shared" si="4"/>
        <v/>
      </c>
      <c r="O20" s="291" t="str">
        <f t="shared" si="5"/>
        <v/>
      </c>
      <c r="P20" s="291" t="str">
        <f t="shared" si="6"/>
        <v/>
      </c>
      <c r="Q20" s="324">
        <f t="shared" si="28"/>
        <v>43975</v>
      </c>
      <c r="R20" s="277">
        <v>14</v>
      </c>
      <c r="S20" s="291">
        <f t="shared" si="7"/>
        <v>100000</v>
      </c>
      <c r="T20" s="291"/>
      <c r="U20" s="291" t="str">
        <f t="shared" si="8"/>
        <v>05/24/20</v>
      </c>
      <c r="V20" s="291" t="str">
        <f t="shared" si="15"/>
        <v/>
      </c>
      <c r="W20" s="291" t="str">
        <f t="shared" si="16"/>
        <v/>
      </c>
      <c r="X20" s="291" t="str">
        <f t="shared" si="9"/>
        <v/>
      </c>
      <c r="Y20" s="291" t="str">
        <f t="shared" si="9"/>
        <v/>
      </c>
      <c r="Z20" s="276">
        <v>14</v>
      </c>
      <c r="AA20" s="432">
        <v>14</v>
      </c>
      <c r="AB20" s="291">
        <v>40.933620739432783</v>
      </c>
      <c r="AC20" s="279">
        <f t="shared" si="17"/>
        <v>1.6120801613960287</v>
      </c>
      <c r="AD20" s="279">
        <f t="shared" ca="1" si="10"/>
        <v>1.5845684154786912</v>
      </c>
      <c r="AE20" s="278">
        <f t="shared" ca="1" si="23"/>
        <v>38.420977992395471</v>
      </c>
      <c r="AF20" s="279">
        <f t="shared" ca="1" si="18"/>
        <v>0.93861665052715959</v>
      </c>
      <c r="AG20" s="278">
        <f t="shared" ca="1" si="11"/>
        <v>44.4299590870787</v>
      </c>
      <c r="AH20" s="278">
        <f t="shared" ca="1" si="12"/>
        <v>33.224688481008378</v>
      </c>
      <c r="AJ20" s="253"/>
      <c r="AK20" s="375" t="s">
        <v>71</v>
      </c>
      <c r="AL20" s="375" t="s">
        <v>45</v>
      </c>
      <c r="AM20" s="384" t="s">
        <v>71</v>
      </c>
      <c r="AN20" s="384" t="s">
        <v>255</v>
      </c>
      <c r="AO20" s="384" t="s">
        <v>149</v>
      </c>
      <c r="AP20" s="375" t="s">
        <v>150</v>
      </c>
      <c r="AQ20" s="375" t="s">
        <v>151</v>
      </c>
      <c r="AR20" s="375" t="s">
        <v>152</v>
      </c>
      <c r="AS20" s="375" t="s">
        <v>153</v>
      </c>
      <c r="AT20" s="384"/>
      <c r="AU20" s="247"/>
      <c r="AX20" s="440">
        <v>0.77549590123734735</v>
      </c>
      <c r="BA20" s="137"/>
      <c r="BB20" s="97">
        <v>1</v>
      </c>
      <c r="BC20" s="186">
        <f t="shared" si="27"/>
        <v>140</v>
      </c>
      <c r="BD20" s="187" t="str">
        <f>IF(Ymin=0.001,BB20,"")</f>
        <v/>
      </c>
      <c r="BE20" s="56" t="str">
        <f>TEXT(BB20,"0")&amp;"-M"</f>
        <v>1-M</v>
      </c>
      <c r="BF20" s="55"/>
      <c r="BG20" s="55"/>
      <c r="BH20" s="55"/>
      <c r="BI20" s="361">
        <v>0.97499999999999998</v>
      </c>
      <c r="BJ20" s="50">
        <f t="shared" ca="1" si="24"/>
        <v>94.575000000000003</v>
      </c>
      <c r="BK20" s="54">
        <f t="shared" ca="1" si="25"/>
        <v>1.9940369517146463</v>
      </c>
      <c r="BL20" s="34">
        <f t="shared" ca="1" si="26"/>
        <v>98.636340626598013</v>
      </c>
      <c r="BM20" s="55"/>
      <c r="BN20" s="55"/>
      <c r="BO20" s="55"/>
      <c r="BP20" s="55"/>
      <c r="BQ20" s="55"/>
      <c r="BR20" s="80"/>
      <c r="BS20" s="80"/>
      <c r="BT20" s="80"/>
      <c r="BU20" s="21"/>
      <c r="BV20" s="21"/>
      <c r="BW20" s="21"/>
      <c r="BX20" s="21"/>
      <c r="BY20" s="21"/>
    </row>
    <row r="21" spans="1:77" ht="12.75" customHeight="1">
      <c r="A21" s="247"/>
      <c r="B21" s="264" t="str">
        <f t="shared" si="13"/>
        <v>MON</v>
      </c>
      <c r="C21" s="267">
        <f t="shared" si="14"/>
        <v>43976</v>
      </c>
      <c r="D21" s="430">
        <f t="shared" si="21"/>
        <v>15</v>
      </c>
      <c r="E21" s="473"/>
      <c r="F21" s="483"/>
      <c r="G21" s="472"/>
      <c r="H21" s="472"/>
      <c r="I21" s="292" t="str">
        <f t="shared" si="0"/>
        <v/>
      </c>
      <c r="J21" s="293" t="str">
        <f t="shared" si="1"/>
        <v/>
      </c>
      <c r="K21" s="293" t="str">
        <f t="shared" si="2"/>
        <v/>
      </c>
      <c r="L21" s="293" t="str">
        <f t="shared" si="3"/>
        <v/>
      </c>
      <c r="M21" s="266"/>
      <c r="N21" s="291" t="str">
        <f t="shared" si="4"/>
        <v/>
      </c>
      <c r="O21" s="291" t="str">
        <f t="shared" si="5"/>
        <v/>
      </c>
      <c r="P21" s="291" t="str">
        <f t="shared" si="6"/>
        <v/>
      </c>
      <c r="Q21" s="324">
        <f t="shared" si="28"/>
        <v>43976</v>
      </c>
      <c r="R21" s="277">
        <v>15</v>
      </c>
      <c r="S21" s="291" t="e">
        <f t="shared" si="7"/>
        <v>#N/A</v>
      </c>
      <c r="T21" s="291"/>
      <c r="U21" s="291" t="e">
        <f t="shared" si="8"/>
        <v>#N/A</v>
      </c>
      <c r="V21" s="291" t="str">
        <f t="shared" si="15"/>
        <v/>
      </c>
      <c r="W21" s="291" t="str">
        <f t="shared" si="16"/>
        <v/>
      </c>
      <c r="X21" s="291" t="str">
        <f t="shared" si="9"/>
        <v/>
      </c>
      <c r="Y21" s="291" t="str">
        <f t="shared" si="9"/>
        <v/>
      </c>
      <c r="Z21" s="276">
        <v>15</v>
      </c>
      <c r="AA21" s="433">
        <v>15</v>
      </c>
      <c r="AB21" s="291">
        <v>36.180339887498945</v>
      </c>
      <c r="AC21" s="279">
        <f t="shared" si="17"/>
        <v>1.558472642417988</v>
      </c>
      <c r="AD21" s="279">
        <f t="shared" ca="1" si="10"/>
        <v>1.5888805299920574</v>
      </c>
      <c r="AE21" s="278">
        <f t="shared" ca="1" si="23"/>
        <v>38.804360444624436</v>
      </c>
      <c r="AF21" s="279">
        <f t="shared" ca="1" si="18"/>
        <v>1.07252614445538</v>
      </c>
      <c r="AG21" s="278">
        <f t="shared" ca="1" si="11"/>
        <v>44.873301957492053</v>
      </c>
      <c r="AH21" s="278">
        <f t="shared" ca="1" si="12"/>
        <v>33.556219931012421</v>
      </c>
      <c r="AJ21" s="375" t="s">
        <v>50</v>
      </c>
      <c r="AK21" s="376">
        <f ca="1">OFFSET(LStart,0,0,1,1)</f>
        <v>0</v>
      </c>
      <c r="AL21" s="377">
        <f ca="1">OFFSET(LStart,0,4,1,1)</f>
        <v>33.434806359613241</v>
      </c>
      <c r="AM21" s="376">
        <f ca="1">OFFSET(LStart,K-1,0,1,1)</f>
        <v>97</v>
      </c>
      <c r="AN21" s="377">
        <f ca="1">OFFSET(LStart,K-1,4,1,1)</f>
        <v>87.593911484435623</v>
      </c>
      <c r="AO21" s="376">
        <f ca="1">OFFSET(LStart,0,0,1,1)</f>
        <v>0</v>
      </c>
      <c r="AP21" s="377">
        <f ca="1">OFFSET(LStart,0,6,1,1)</f>
        <v>38.66395797983165</v>
      </c>
      <c r="AQ21" s="376">
        <f ca="1">OFFSET(LStart,0,0,1,1)</f>
        <v>0</v>
      </c>
      <c r="AR21" s="377">
        <f ca="1">OFFSET(LStart,0,7,1,1)</f>
        <v>28.912877385392335</v>
      </c>
      <c r="AS21" s="223" t="str">
        <f ca="1">CelLineTxt</f>
        <v>X1.07, X1.16</v>
      </c>
      <c r="AT21" s="378"/>
      <c r="AU21" s="247"/>
      <c r="AW21" s="113"/>
      <c r="AX21" s="440">
        <v>0.78032713485250604</v>
      </c>
      <c r="AY21" s="113"/>
      <c r="BA21" s="137"/>
      <c r="BB21" s="97">
        <v>2</v>
      </c>
      <c r="BC21" s="186">
        <f t="shared" si="27"/>
        <v>140</v>
      </c>
      <c r="BD21" s="187" t="str">
        <f t="shared" ref="BD21:BD30" si="29">IF(Ymin=0.001,1/BB21,"")</f>
        <v/>
      </c>
      <c r="BE21" s="56" t="str">
        <f>TEXT(BB21,"0")&amp;"-M"</f>
        <v>2-M</v>
      </c>
      <c r="BF21" s="55"/>
      <c r="BG21" s="55"/>
      <c r="BH21" s="55"/>
      <c r="BI21" s="361" t="s">
        <v>248</v>
      </c>
      <c r="BJ21" s="55">
        <f ca="1">_xlfn.QUARTILE.INC(OFFSET(LStart,0,0,$BH13,1),4)</f>
        <v>97</v>
      </c>
      <c r="BK21" s="34">
        <f ca="1">_xlfn.QUARTILE.INC(OFFSET(LStart,0,2,$BH13,1),4)</f>
        <v>2.0458850963756841</v>
      </c>
      <c r="BL21" s="34">
        <f t="shared" ca="1" si="26"/>
        <v>111.14376293529979</v>
      </c>
      <c r="BM21" s="55"/>
      <c r="BN21" s="55"/>
      <c r="BO21" s="55"/>
      <c r="BP21" s="55"/>
      <c r="BQ21" s="55"/>
      <c r="BR21" s="80"/>
      <c r="BS21" s="80"/>
      <c r="BT21" s="80"/>
      <c r="BU21" s="21"/>
      <c r="BV21" s="21"/>
      <c r="BW21" s="21"/>
      <c r="BX21" s="21"/>
      <c r="BY21" s="21"/>
    </row>
    <row r="22" spans="1:77" ht="12.75" customHeight="1">
      <c r="A22" s="247"/>
      <c r="B22" s="264" t="str">
        <f t="shared" si="13"/>
        <v>TUE</v>
      </c>
      <c r="C22" s="267">
        <f t="shared" si="14"/>
        <v>43977</v>
      </c>
      <c r="D22" s="430">
        <f t="shared" si="21"/>
        <v>16</v>
      </c>
      <c r="E22" s="473"/>
      <c r="F22" s="483"/>
      <c r="G22" s="472"/>
      <c r="H22" s="472"/>
      <c r="I22" s="292" t="str">
        <f t="shared" si="0"/>
        <v/>
      </c>
      <c r="J22" s="293" t="str">
        <f t="shared" si="1"/>
        <v/>
      </c>
      <c r="K22" s="293" t="str">
        <f t="shared" si="2"/>
        <v/>
      </c>
      <c r="L22" s="293" t="str">
        <f t="shared" si="3"/>
        <v/>
      </c>
      <c r="M22" s="266"/>
      <c r="N22" s="291" t="str">
        <f t="shared" si="4"/>
        <v/>
      </c>
      <c r="O22" s="291" t="str">
        <f t="shared" si="5"/>
        <v/>
      </c>
      <c r="P22" s="291" t="str">
        <f t="shared" si="6"/>
        <v/>
      </c>
      <c r="Q22" s="324">
        <f t="shared" si="28"/>
        <v>43977</v>
      </c>
      <c r="R22" s="277">
        <v>16</v>
      </c>
      <c r="S22" s="291" t="e">
        <f t="shared" si="7"/>
        <v>#N/A</v>
      </c>
      <c r="T22" s="291"/>
      <c r="U22" s="291" t="e">
        <f t="shared" si="8"/>
        <v>#N/A</v>
      </c>
      <c r="V22" s="291" t="str">
        <f t="shared" si="15"/>
        <v/>
      </c>
      <c r="W22" s="291" t="str">
        <f t="shared" si="16"/>
        <v/>
      </c>
      <c r="X22" s="291" t="str">
        <f t="shared" ref="X22:X85" si="30">IF(O22="","",O22)</f>
        <v/>
      </c>
      <c r="Y22" s="291" t="str">
        <f t="shared" ref="Y22:Y85" si="31">IF(P22="","",P22)</f>
        <v/>
      </c>
      <c r="Z22" s="276">
        <v>16</v>
      </c>
      <c r="AA22" s="432">
        <v>16</v>
      </c>
      <c r="AB22" s="291">
        <v>26.432626298183159</v>
      </c>
      <c r="AC22" s="279">
        <f t="shared" si="17"/>
        <v>1.4221403159937449</v>
      </c>
      <c r="AD22" s="279">
        <f t="shared" ca="1" si="10"/>
        <v>1.5931926445054236</v>
      </c>
      <c r="AE22" s="278">
        <f t="shared" ca="1" si="23"/>
        <v>39.191568465913775</v>
      </c>
      <c r="AF22" s="279">
        <f t="shared" ca="1" si="18"/>
        <v>1.4826967257736172</v>
      </c>
      <c r="AG22" s="278">
        <f t="shared" ca="1" si="11"/>
        <v>45.321068710006237</v>
      </c>
      <c r="AH22" s="278">
        <f t="shared" ca="1" si="12"/>
        <v>33.891059556574071</v>
      </c>
      <c r="AJ22" s="379" t="s">
        <v>51</v>
      </c>
      <c r="AK22" s="380">
        <f ca="1">OFFSET(LStart,K-1,0,1,1)</f>
        <v>97</v>
      </c>
      <c r="AL22" s="381">
        <f ca="1">OFFSET(LStart,K-1,4,1,1)</f>
        <v>87.593911484435623</v>
      </c>
      <c r="AM22" s="380">
        <f ca="1">OFFSET(LStart,K,0,1,1)</f>
        <v>100</v>
      </c>
      <c r="AN22" s="381">
        <f ca="1">OFFSET(LStart,K,4,1,1)</f>
        <v>90.242322443642536</v>
      </c>
      <c r="AO22" s="380">
        <f ca="1">$AM$22</f>
        <v>100</v>
      </c>
      <c r="AP22" s="381">
        <f ca="1">OFFSET(LStart,K,6,1,1)</f>
        <v>104.35608106820135</v>
      </c>
      <c r="AQ22" s="380">
        <f ca="1">$AM$22</f>
        <v>100</v>
      </c>
      <c r="AR22" s="381">
        <f ca="1">OFFSET(LStart,K,7,1,1)</f>
        <v>78.037395393375249</v>
      </c>
      <c r="AS22" s="382"/>
      <c r="AT22" s="383"/>
      <c r="AU22" s="247"/>
      <c r="AW22" s="81"/>
      <c r="AX22" s="440">
        <v>0.79187173091204854</v>
      </c>
      <c r="AY22" s="80"/>
      <c r="BA22" s="137"/>
      <c r="BB22" s="97">
        <v>5</v>
      </c>
      <c r="BC22" s="186">
        <f t="shared" si="27"/>
        <v>140</v>
      </c>
      <c r="BD22" s="187" t="str">
        <f t="shared" si="29"/>
        <v/>
      </c>
      <c r="BE22" s="56" t="str">
        <f>TEXT(BB22,"0")&amp;"-M"</f>
        <v>5-M</v>
      </c>
      <c r="BF22" s="55"/>
      <c r="BG22" s="55"/>
      <c r="BH22" s="55"/>
      <c r="BI22" s="55"/>
      <c r="BJ22" s="55"/>
      <c r="BK22" s="55"/>
      <c r="BL22" s="55"/>
      <c r="BM22" s="55"/>
      <c r="BN22" s="55"/>
      <c r="BO22" s="55"/>
      <c r="BP22" s="55"/>
      <c r="BQ22" s="55"/>
      <c r="BR22" s="80"/>
      <c r="BS22" s="80"/>
      <c r="BT22" s="80"/>
      <c r="BU22" s="21"/>
      <c r="BV22" s="21"/>
      <c r="BW22" s="21"/>
      <c r="BX22" s="21"/>
      <c r="BY22" s="21"/>
    </row>
    <row r="23" spans="1:77" ht="12.75" customHeight="1">
      <c r="A23" s="247"/>
      <c r="B23" s="264" t="str">
        <f t="shared" si="13"/>
        <v>WED</v>
      </c>
      <c r="C23" s="267">
        <f t="shared" si="14"/>
        <v>43978</v>
      </c>
      <c r="D23" s="430">
        <f t="shared" si="21"/>
        <v>17</v>
      </c>
      <c r="E23" s="473"/>
      <c r="F23" s="483"/>
      <c r="G23" s="472"/>
      <c r="H23" s="472"/>
      <c r="I23" s="292" t="str">
        <f t="shared" si="0"/>
        <v/>
      </c>
      <c r="J23" s="293" t="str">
        <f t="shared" si="1"/>
        <v/>
      </c>
      <c r="K23" s="293" t="str">
        <f t="shared" si="2"/>
        <v/>
      </c>
      <c r="L23" s="293" t="str">
        <f t="shared" si="3"/>
        <v/>
      </c>
      <c r="M23" s="266"/>
      <c r="N23" s="291" t="str">
        <f t="shared" si="4"/>
        <v/>
      </c>
      <c r="O23" s="291" t="str">
        <f t="shared" si="5"/>
        <v/>
      </c>
      <c r="P23" s="291" t="str">
        <f t="shared" si="6"/>
        <v/>
      </c>
      <c r="Q23" s="324">
        <f t="shared" si="28"/>
        <v>43978</v>
      </c>
      <c r="R23" s="277">
        <v>17</v>
      </c>
      <c r="S23" s="291" t="e">
        <f t="shared" si="7"/>
        <v>#N/A</v>
      </c>
      <c r="T23" s="291"/>
      <c r="U23" s="291" t="e">
        <f t="shared" si="8"/>
        <v>#N/A</v>
      </c>
      <c r="V23" s="291" t="str">
        <f t="shared" si="15"/>
        <v/>
      </c>
      <c r="W23" s="291" t="str">
        <f t="shared" si="16"/>
        <v/>
      </c>
      <c r="X23" s="291" t="str">
        <f t="shared" si="30"/>
        <v/>
      </c>
      <c r="Y23" s="291" t="str">
        <f t="shared" si="31"/>
        <v/>
      </c>
      <c r="Z23" s="276">
        <v>17</v>
      </c>
      <c r="AA23" s="432">
        <v>17</v>
      </c>
      <c r="AB23" s="291">
        <v>35.690605597782763</v>
      </c>
      <c r="AC23" s="279">
        <f t="shared" si="17"/>
        <v>1.5525539171219238</v>
      </c>
      <c r="AD23" s="279">
        <f t="shared" ca="1" si="10"/>
        <v>1.5975047590187896</v>
      </c>
      <c r="AE23" s="278">
        <f t="shared" ca="1" si="23"/>
        <v>39.582640229577201</v>
      </c>
      <c r="AF23" s="279">
        <f t="shared" ca="1" si="18"/>
        <v>1.1090492740766558</v>
      </c>
      <c r="AG23" s="278">
        <f t="shared" ca="1" si="11"/>
        <v>45.773303488181767</v>
      </c>
      <c r="AH23" s="278">
        <f t="shared" ca="1" si="12"/>
        <v>34.229240368213162</v>
      </c>
      <c r="AI23" s="438"/>
      <c r="AJ23" s="249"/>
      <c r="AK23" s="366"/>
      <c r="AL23" s="366"/>
      <c r="AM23" s="241"/>
      <c r="AN23" s="373"/>
      <c r="AO23" s="241"/>
      <c r="AP23" s="373"/>
      <c r="AQ23" s="241"/>
      <c r="AR23" s="237"/>
      <c r="AS23" s="374"/>
      <c r="AT23" s="254"/>
      <c r="AU23" s="247"/>
      <c r="AW23" s="80"/>
      <c r="AX23" s="440">
        <v>0.79598639856621567</v>
      </c>
      <c r="AY23" s="80"/>
      <c r="BA23" s="137"/>
      <c r="BB23" s="97">
        <v>10</v>
      </c>
      <c r="BC23" s="186">
        <f t="shared" si="27"/>
        <v>140</v>
      </c>
      <c r="BD23" s="187" t="str">
        <f t="shared" si="29"/>
        <v/>
      </c>
      <c r="BE23" s="56" t="str">
        <f>TEXT(BB23,"0")&amp;"-M"</f>
        <v>10-M</v>
      </c>
      <c r="BF23" s="55"/>
      <c r="BG23" s="55"/>
      <c r="BH23" s="55"/>
      <c r="BI23" s="55"/>
      <c r="BJ23" s="55" t="s">
        <v>252</v>
      </c>
      <c r="BK23" s="114">
        <f ca="1">((BK18-BK16)/(BJ18-BJ16))</f>
        <v>4.712275359167439E-3</v>
      </c>
      <c r="BL23" s="55"/>
      <c r="BM23" s="55"/>
      <c r="BN23" s="55"/>
      <c r="BO23" s="55"/>
      <c r="BP23" s="55"/>
      <c r="BQ23" s="55"/>
      <c r="BR23" s="80"/>
      <c r="BS23" s="80"/>
      <c r="BT23" s="80"/>
      <c r="BU23" s="21"/>
      <c r="BV23" s="21"/>
      <c r="BW23" s="21"/>
      <c r="BX23" s="21"/>
      <c r="BY23" s="21"/>
    </row>
    <row r="24" spans="1:77" ht="12.75" customHeight="1">
      <c r="A24" s="247"/>
      <c r="B24" s="264" t="str">
        <f t="shared" si="13"/>
        <v>THU</v>
      </c>
      <c r="C24" s="267">
        <f t="shared" si="14"/>
        <v>43979</v>
      </c>
      <c r="D24" s="430">
        <f t="shared" si="21"/>
        <v>18</v>
      </c>
      <c r="E24" s="473"/>
      <c r="F24" s="483"/>
      <c r="G24" s="472"/>
      <c r="H24" s="472"/>
      <c r="I24" s="292" t="str">
        <f t="shared" si="0"/>
        <v/>
      </c>
      <c r="J24" s="293" t="str">
        <f t="shared" si="1"/>
        <v/>
      </c>
      <c r="K24" s="293" t="str">
        <f t="shared" si="2"/>
        <v/>
      </c>
      <c r="L24" s="293" t="str">
        <f t="shared" si="3"/>
        <v/>
      </c>
      <c r="M24" s="266"/>
      <c r="N24" s="291" t="str">
        <f t="shared" si="4"/>
        <v/>
      </c>
      <c r="O24" s="291" t="str">
        <f t="shared" si="5"/>
        <v/>
      </c>
      <c r="P24" s="291" t="str">
        <f t="shared" si="6"/>
        <v/>
      </c>
      <c r="Q24" s="324">
        <f t="shared" si="28"/>
        <v>43979</v>
      </c>
      <c r="R24" s="277">
        <v>18</v>
      </c>
      <c r="S24" s="291" t="e">
        <f t="shared" si="7"/>
        <v>#N/A</v>
      </c>
      <c r="T24" s="291"/>
      <c r="U24" s="291" t="e">
        <f t="shared" si="8"/>
        <v>#N/A</v>
      </c>
      <c r="V24" s="291" t="str">
        <f t="shared" si="15"/>
        <v/>
      </c>
      <c r="W24" s="291" t="str">
        <f t="shared" si="16"/>
        <v/>
      </c>
      <c r="X24" s="291" t="str">
        <f t="shared" si="30"/>
        <v/>
      </c>
      <c r="Y24" s="291" t="str">
        <f t="shared" si="31"/>
        <v/>
      </c>
      <c r="Z24" s="276">
        <v>18</v>
      </c>
      <c r="AA24" s="433">
        <v>18</v>
      </c>
      <c r="AB24" s="291">
        <v>37.954406247375459</v>
      </c>
      <c r="AC24" s="279">
        <f t="shared" si="17"/>
        <v>1.5792622017819156</v>
      </c>
      <c r="AD24" s="279">
        <f t="shared" ca="1" si="10"/>
        <v>1.6018168735321558</v>
      </c>
      <c r="AE24" s="278">
        <f t="shared" ca="1" si="23"/>
        <v>39.977614289839671</v>
      </c>
      <c r="AF24" s="279">
        <f t="shared" ca="1" si="18"/>
        <v>1.053306275673964</v>
      </c>
      <c r="AG24" s="278">
        <f t="shared" ca="1" si="11"/>
        <v>46.230050876064297</v>
      </c>
      <c r="AH24" s="278">
        <f t="shared" ca="1" si="12"/>
        <v>34.570795705843999</v>
      </c>
      <c r="AJ24" s="238"/>
      <c r="AK24" s="256"/>
      <c r="AL24" s="236"/>
      <c r="AM24" s="241"/>
      <c r="AN24" s="241"/>
      <c r="AO24" s="241"/>
      <c r="AP24" s="241"/>
      <c r="AQ24" s="241"/>
      <c r="AR24" s="241"/>
      <c r="AS24" s="237"/>
      <c r="AT24" s="237"/>
      <c r="AU24" s="247"/>
      <c r="AW24" s="80"/>
      <c r="AX24" s="442">
        <v>0.79861678277810588</v>
      </c>
      <c r="AY24" s="80"/>
      <c r="BA24" s="137"/>
      <c r="BB24" s="97">
        <v>30</v>
      </c>
      <c r="BC24" s="186">
        <f t="shared" si="27"/>
        <v>140</v>
      </c>
      <c r="BD24" s="187" t="str">
        <f t="shared" si="29"/>
        <v/>
      </c>
      <c r="BE24" s="56" t="str">
        <f>TEXT(BB24,"0")&amp;"-M"</f>
        <v>30-M</v>
      </c>
      <c r="BF24" s="50"/>
      <c r="BG24" s="50"/>
      <c r="BH24" s="50"/>
      <c r="BI24" s="50"/>
      <c r="BJ24" s="50" t="s">
        <v>253</v>
      </c>
      <c r="BK24" s="54">
        <f ca="1">BK17</f>
        <v>1.7393703290519524</v>
      </c>
      <c r="BR24" s="80"/>
      <c r="BS24" s="80"/>
      <c r="BT24" s="80"/>
      <c r="BU24" s="21"/>
      <c r="BV24" s="21"/>
      <c r="BW24" s="21"/>
      <c r="BX24" s="21"/>
      <c r="BY24" s="21"/>
    </row>
    <row r="25" spans="1:77" ht="12.75" customHeight="1">
      <c r="A25" s="247"/>
      <c r="B25" s="264" t="str">
        <f t="shared" si="13"/>
        <v>FRI</v>
      </c>
      <c r="C25" s="267">
        <f t="shared" si="14"/>
        <v>43980</v>
      </c>
      <c r="D25" s="430">
        <f t="shared" si="21"/>
        <v>19</v>
      </c>
      <c r="E25" s="473"/>
      <c r="F25" s="483"/>
      <c r="G25" s="472"/>
      <c r="H25" s="472"/>
      <c r="I25" s="292" t="str">
        <f t="shared" si="0"/>
        <v/>
      </c>
      <c r="J25" s="293" t="str">
        <f t="shared" si="1"/>
        <v/>
      </c>
      <c r="K25" s="293" t="str">
        <f t="shared" si="2"/>
        <v/>
      </c>
      <c r="L25" s="293" t="str">
        <f t="shared" si="3"/>
        <v/>
      </c>
      <c r="M25" s="266"/>
      <c r="N25" s="291" t="str">
        <f t="shared" si="4"/>
        <v/>
      </c>
      <c r="O25" s="291" t="str">
        <f t="shared" si="5"/>
        <v/>
      </c>
      <c r="P25" s="291" t="str">
        <f t="shared" si="6"/>
        <v/>
      </c>
      <c r="Q25" s="324">
        <f t="shared" si="28"/>
        <v>43980</v>
      </c>
      <c r="R25" s="277">
        <v>19</v>
      </c>
      <c r="S25" s="291" t="e">
        <f t="shared" si="7"/>
        <v>#N/A</v>
      </c>
      <c r="T25" s="291"/>
      <c r="U25" s="291" t="e">
        <f t="shared" si="8"/>
        <v>#N/A</v>
      </c>
      <c r="V25" s="291" t="str">
        <f t="shared" si="15"/>
        <v/>
      </c>
      <c r="W25" s="291" t="str">
        <f t="shared" si="16"/>
        <v/>
      </c>
      <c r="X25" s="291" t="str">
        <f t="shared" si="30"/>
        <v/>
      </c>
      <c r="Y25" s="291" t="str">
        <f t="shared" si="31"/>
        <v/>
      </c>
      <c r="Z25" s="276">
        <v>19</v>
      </c>
      <c r="AA25" s="432">
        <v>19</v>
      </c>
      <c r="AB25" s="291">
        <v>35.224159606786607</v>
      </c>
      <c r="AC25" s="279">
        <f t="shared" si="17"/>
        <v>1.5468406403196744</v>
      </c>
      <c r="AD25" s="279">
        <f t="shared" ca="1" si="10"/>
        <v>1.6061289880455221</v>
      </c>
      <c r="AE25" s="278">
        <f t="shared" ca="1" si="23"/>
        <v>40.376529585638124</v>
      </c>
      <c r="AF25" s="279">
        <f t="shared" ca="1" si="18"/>
        <v>1.1462737517762898</v>
      </c>
      <c r="AG25" s="278">
        <f t="shared" ca="1" si="11"/>
        <v>46.691355902579843</v>
      </c>
      <c r="AH25" s="278">
        <f t="shared" ca="1" si="12"/>
        <v>34.915759242062052</v>
      </c>
      <c r="AJ25" s="238"/>
      <c r="AK25" s="236"/>
      <c r="AL25" s="236"/>
      <c r="AM25" s="236"/>
      <c r="AN25" s="236"/>
      <c r="AO25" s="236"/>
      <c r="AP25" s="236"/>
      <c r="AQ25" s="236"/>
      <c r="AR25" s="236"/>
      <c r="AS25" s="236"/>
      <c r="AT25" s="236"/>
      <c r="AU25" s="238"/>
      <c r="AX25" s="440">
        <v>0.81144212691270623</v>
      </c>
      <c r="BA25" s="137"/>
      <c r="BB25" s="97">
        <v>60</v>
      </c>
      <c r="BC25" s="186">
        <f t="shared" si="27"/>
        <v>140</v>
      </c>
      <c r="BD25" s="188" t="str">
        <f t="shared" si="29"/>
        <v/>
      </c>
      <c r="BE25" s="56" t="str">
        <f t="shared" ref="BE25:BE30" si="32">TEXT(BB25/60,"0")&amp;"-H"</f>
        <v>1-H</v>
      </c>
      <c r="BF25" s="50"/>
      <c r="BG25" s="50"/>
      <c r="BH25" s="50"/>
      <c r="BI25" s="50"/>
      <c r="BJ25" s="50" t="s">
        <v>254</v>
      </c>
      <c r="BK25" s="50">
        <f ca="1">BJ19</f>
        <v>84.875</v>
      </c>
      <c r="BR25" s="80"/>
      <c r="BS25" s="80"/>
      <c r="BT25" s="80"/>
      <c r="BU25" s="21"/>
      <c r="BV25" s="21"/>
      <c r="BW25" s="21"/>
      <c r="BX25" s="21"/>
      <c r="BY25" s="21"/>
    </row>
    <row r="26" spans="1:77" ht="12.75" customHeight="1">
      <c r="A26" s="247"/>
      <c r="B26" s="264" t="str">
        <f t="shared" si="13"/>
        <v>SAT</v>
      </c>
      <c r="C26" s="267">
        <f t="shared" si="14"/>
        <v>43981</v>
      </c>
      <c r="D26" s="430">
        <f t="shared" si="21"/>
        <v>20</v>
      </c>
      <c r="E26" s="473"/>
      <c r="F26" s="483"/>
      <c r="G26" s="472"/>
      <c r="H26" s="472"/>
      <c r="I26" s="292" t="str">
        <f t="shared" si="0"/>
        <v/>
      </c>
      <c r="J26" s="293" t="str">
        <f t="shared" si="1"/>
        <v/>
      </c>
      <c r="K26" s="293" t="str">
        <f t="shared" si="2"/>
        <v/>
      </c>
      <c r="L26" s="293" t="str">
        <f t="shared" si="3"/>
        <v/>
      </c>
      <c r="M26" s="266"/>
      <c r="N26" s="291" t="str">
        <f t="shared" si="4"/>
        <v/>
      </c>
      <c r="O26" s="291" t="str">
        <f t="shared" si="5"/>
        <v/>
      </c>
      <c r="P26" s="291" t="str">
        <f t="shared" si="6"/>
        <v/>
      </c>
      <c r="Q26" s="324">
        <f t="shared" si="28"/>
        <v>43981</v>
      </c>
      <c r="R26" s="277">
        <v>20</v>
      </c>
      <c r="S26" s="291" t="e">
        <f t="shared" si="7"/>
        <v>#N/A</v>
      </c>
      <c r="T26" s="291"/>
      <c r="U26" s="291" t="e">
        <f t="shared" si="8"/>
        <v>#N/A</v>
      </c>
      <c r="V26" s="291" t="str">
        <f t="shared" si="15"/>
        <v/>
      </c>
      <c r="W26" s="291" t="str">
        <f t="shared" si="16"/>
        <v/>
      </c>
      <c r="X26" s="291" t="str">
        <f t="shared" si="30"/>
        <v/>
      </c>
      <c r="Y26" s="291" t="str">
        <f t="shared" si="31"/>
        <v/>
      </c>
      <c r="Z26" s="276">
        <v>20</v>
      </c>
      <c r="AA26" s="432">
        <v>20</v>
      </c>
      <c r="AB26" s="291">
        <v>30.5</v>
      </c>
      <c r="AC26" s="279">
        <f t="shared" si="17"/>
        <v>1.4842998393467859</v>
      </c>
      <c r="AD26" s="279">
        <f t="shared" ca="1" si="10"/>
        <v>1.6104411025588881</v>
      </c>
      <c r="AE26" s="278">
        <f t="shared" ca="1" si="23"/>
        <v>40.779425444460337</v>
      </c>
      <c r="AF26" s="279">
        <f t="shared" ca="1" si="18"/>
        <v>1.3370303424413226</v>
      </c>
      <c r="AG26" s="278">
        <f t="shared" ca="1" si="11"/>
        <v>47.157264045973989</v>
      </c>
      <c r="AH26" s="278">
        <f t="shared" ca="1" si="12"/>
        <v>35.264164985463637</v>
      </c>
      <c r="AJ26" s="238"/>
      <c r="AK26" s="236"/>
      <c r="AL26" s="491" t="s">
        <v>117</v>
      </c>
      <c r="AM26" s="491"/>
      <c r="AN26" s="236" t="s">
        <v>295</v>
      </c>
      <c r="AO26" s="491" t="s">
        <v>242</v>
      </c>
      <c r="AP26" s="491"/>
      <c r="AQ26" s="491"/>
      <c r="AR26" s="491"/>
      <c r="AS26" s="236"/>
      <c r="AT26" s="236"/>
      <c r="AU26" s="238"/>
      <c r="AV26" s="43"/>
      <c r="AX26" s="442">
        <v>0.81484386630465888</v>
      </c>
      <c r="BA26" s="137"/>
      <c r="BB26" s="97">
        <v>120</v>
      </c>
      <c r="BC26" s="186">
        <f t="shared" si="27"/>
        <v>140</v>
      </c>
      <c r="BD26" s="188" t="str">
        <f t="shared" si="29"/>
        <v/>
      </c>
      <c r="BE26" s="56" t="str">
        <f t="shared" si="32"/>
        <v>2-H</v>
      </c>
      <c r="BF26" s="50"/>
      <c r="BG26" s="50"/>
      <c r="BH26" s="50"/>
      <c r="BI26" s="50"/>
      <c r="BR26" s="80"/>
      <c r="BS26" s="80"/>
      <c r="BT26" s="80"/>
      <c r="BU26" s="21"/>
      <c r="BV26" s="21"/>
      <c r="BW26" s="21"/>
      <c r="BX26" s="21"/>
      <c r="BY26" s="21"/>
    </row>
    <row r="27" spans="1:77" ht="12.75" customHeight="1">
      <c r="A27" s="247"/>
      <c r="B27" s="264" t="str">
        <f t="shared" si="13"/>
        <v>SUN</v>
      </c>
      <c r="C27" s="267">
        <f t="shared" si="14"/>
        <v>43982</v>
      </c>
      <c r="D27" s="430">
        <f t="shared" si="21"/>
        <v>21</v>
      </c>
      <c r="E27" s="473"/>
      <c r="F27" s="483"/>
      <c r="G27" s="472"/>
      <c r="H27" s="472"/>
      <c r="I27" s="292" t="str">
        <f t="shared" si="0"/>
        <v/>
      </c>
      <c r="J27" s="293" t="str">
        <f t="shared" si="1"/>
        <v/>
      </c>
      <c r="K27" s="293" t="str">
        <f t="shared" si="2"/>
        <v/>
      </c>
      <c r="L27" s="293" t="str">
        <f t="shared" si="3"/>
        <v/>
      </c>
      <c r="M27" s="266"/>
      <c r="N27" s="291" t="str">
        <f t="shared" si="4"/>
        <v/>
      </c>
      <c r="O27" s="291" t="str">
        <f t="shared" si="5"/>
        <v/>
      </c>
      <c r="P27" s="291" t="str">
        <f t="shared" si="6"/>
        <v/>
      </c>
      <c r="Q27" s="324">
        <f>C27</f>
        <v>43982</v>
      </c>
      <c r="R27" s="277">
        <v>21</v>
      </c>
      <c r="S27" s="291">
        <f t="shared" si="7"/>
        <v>100000</v>
      </c>
      <c r="T27" s="291"/>
      <c r="U27" s="291" t="str">
        <f t="shared" si="8"/>
        <v>05/31/20</v>
      </c>
      <c r="V27" s="291" t="str">
        <f t="shared" si="15"/>
        <v/>
      </c>
      <c r="W27" s="291" t="str">
        <f t="shared" si="16"/>
        <v/>
      </c>
      <c r="X27" s="291" t="str">
        <f t="shared" si="30"/>
        <v/>
      </c>
      <c r="Y27" s="291" t="str">
        <f t="shared" si="31"/>
        <v/>
      </c>
      <c r="Z27" s="276">
        <v>21</v>
      </c>
      <c r="AA27" s="433">
        <v>21</v>
      </c>
      <c r="AB27" s="291">
        <v>29.782064782044664</v>
      </c>
      <c r="AC27" s="279">
        <f t="shared" si="17"/>
        <v>1.47395480397233</v>
      </c>
      <c r="AD27" s="279">
        <f t="shared" ca="1" si="10"/>
        <v>1.6147532170722543</v>
      </c>
      <c r="AE27" s="278">
        <f t="shared" ca="1" si="23"/>
        <v>41.186341586222262</v>
      </c>
      <c r="AF27" s="279">
        <f t="shared" ca="1" si="18"/>
        <v>1.3829243166193479</v>
      </c>
      <c r="AG27" s="278">
        <f t="shared" ca="1" si="11"/>
        <v>47.62782123829566</v>
      </c>
      <c r="AH27" s="278">
        <f t="shared" ca="1" si="12"/>
        <v>35.616047283998817</v>
      </c>
      <c r="AJ27" s="238"/>
      <c r="AK27" s="236"/>
      <c r="AL27" s="257" t="s">
        <v>48</v>
      </c>
      <c r="AM27" s="258" t="s">
        <v>43</v>
      </c>
      <c r="AN27" s="480" t="s">
        <v>294</v>
      </c>
      <c r="AO27" s="258" t="s">
        <v>78</v>
      </c>
      <c r="AP27" s="258" t="s">
        <v>63</v>
      </c>
      <c r="AQ27" s="259" t="s">
        <v>81</v>
      </c>
      <c r="AR27" s="259" t="s">
        <v>52</v>
      </c>
      <c r="AS27" s="236"/>
      <c r="AT27" s="236"/>
      <c r="AU27" s="238"/>
      <c r="AV27" s="43"/>
      <c r="AW27" s="113"/>
      <c r="AX27" s="440">
        <v>0.82248870611850666</v>
      </c>
      <c r="AY27" s="113"/>
      <c r="BA27" s="137"/>
      <c r="BB27" s="97">
        <v>240</v>
      </c>
      <c r="BC27" s="186">
        <f t="shared" si="27"/>
        <v>140</v>
      </c>
      <c r="BD27" s="189" t="str">
        <f t="shared" si="29"/>
        <v/>
      </c>
      <c r="BE27" s="56" t="str">
        <f t="shared" si="32"/>
        <v>4-H</v>
      </c>
      <c r="BF27" s="50"/>
      <c r="BG27" s="50"/>
      <c r="BH27" s="50"/>
      <c r="BI27" s="50"/>
      <c r="BR27" s="80"/>
      <c r="BS27" s="80"/>
      <c r="BT27" s="80"/>
      <c r="BU27" s="21"/>
      <c r="BV27" s="21"/>
      <c r="BW27" s="21"/>
      <c r="BX27" s="21"/>
      <c r="BY27" s="21"/>
    </row>
    <row r="28" spans="1:77" ht="12.75" customHeight="1">
      <c r="A28" s="247"/>
      <c r="B28" s="264" t="str">
        <f t="shared" si="13"/>
        <v>MON</v>
      </c>
      <c r="C28" s="267">
        <f t="shared" si="14"/>
        <v>43983</v>
      </c>
      <c r="D28" s="430">
        <f t="shared" si="21"/>
        <v>22</v>
      </c>
      <c r="E28" s="473"/>
      <c r="F28" s="483"/>
      <c r="G28" s="472"/>
      <c r="H28" s="472"/>
      <c r="I28" s="292" t="str">
        <f t="shared" si="0"/>
        <v/>
      </c>
      <c r="J28" s="293" t="str">
        <f t="shared" si="1"/>
        <v/>
      </c>
      <c r="K28" s="293" t="str">
        <f t="shared" si="2"/>
        <v/>
      </c>
      <c r="L28" s="293" t="str">
        <f t="shared" si="3"/>
        <v/>
      </c>
      <c r="M28" s="266"/>
      <c r="N28" s="291" t="str">
        <f t="shared" si="4"/>
        <v/>
      </c>
      <c r="O28" s="291" t="str">
        <f t="shared" si="5"/>
        <v/>
      </c>
      <c r="P28" s="291" t="str">
        <f t="shared" si="6"/>
        <v/>
      </c>
      <c r="Q28" s="324">
        <f t="shared" ref="Q28:Q36" si="33">C28</f>
        <v>43983</v>
      </c>
      <c r="R28" s="277">
        <v>22</v>
      </c>
      <c r="S28" s="291" t="e">
        <f t="shared" si="7"/>
        <v>#N/A</v>
      </c>
      <c r="T28" s="291"/>
      <c r="U28" s="291" t="e">
        <f t="shared" si="8"/>
        <v>#N/A</v>
      </c>
      <c r="V28" s="291" t="str">
        <f t="shared" si="15"/>
        <v/>
      </c>
      <c r="W28" s="291" t="str">
        <f t="shared" si="16"/>
        <v/>
      </c>
      <c r="X28" s="291" t="str">
        <f t="shared" si="30"/>
        <v/>
      </c>
      <c r="Y28" s="291" t="str">
        <f t="shared" si="31"/>
        <v/>
      </c>
      <c r="Z28" s="276">
        <v>22</v>
      </c>
      <c r="AA28" s="432">
        <v>22</v>
      </c>
      <c r="AB28" s="291">
        <v>28.070494407390918</v>
      </c>
      <c r="AC28" s="279">
        <f t="shared" si="17"/>
        <v>1.448250061957943</v>
      </c>
      <c r="AD28" s="279">
        <f t="shared" ca="1" si="10"/>
        <v>1.6190653315856205</v>
      </c>
      <c r="AE28" s="278">
        <f t="shared" ca="1" si="23"/>
        <v>41.597318127183577</v>
      </c>
      <c r="AF28" s="279">
        <f t="shared" ca="1" si="18"/>
        <v>1.4818876192017147</v>
      </c>
      <c r="AG28" s="278">
        <f t="shared" ca="1" si="11"/>
        <v>48.103073869925041</v>
      </c>
      <c r="AH28" s="278">
        <f t="shared" ca="1" si="12"/>
        <v>35.971440828357444</v>
      </c>
      <c r="AJ28" s="249"/>
      <c r="AK28" s="240"/>
      <c r="AL28" s="221" t="s">
        <v>18</v>
      </c>
      <c r="AM28" s="222">
        <f>QUARTILE(DisRatio,0)</f>
        <v>0.65955399872018949</v>
      </c>
      <c r="AN28" s="236">
        <v>1</v>
      </c>
      <c r="AO28" s="368" t="s">
        <v>103</v>
      </c>
      <c r="AP28" s="222">
        <f t="shared" ref="AP28:AP33" si="34">AQ28*AR28</f>
        <v>1.1332441301291412</v>
      </c>
      <c r="AQ28" s="222">
        <f t="shared" ref="AQ28:AQ33" si="35">AM35</f>
        <v>0.86164629271977022</v>
      </c>
      <c r="AR28" s="223">
        <f>1/AM33</f>
        <v>1.3152080380362079</v>
      </c>
      <c r="AS28" s="236"/>
      <c r="AT28" s="236"/>
      <c r="AU28" s="238"/>
      <c r="AV28" s="43"/>
      <c r="AW28" s="81"/>
      <c r="AX28" s="441">
        <v>0.8245246181690381</v>
      </c>
      <c r="AY28" s="118"/>
      <c r="BA28" s="137"/>
      <c r="BB28" s="97">
        <v>480</v>
      </c>
      <c r="BC28" s="186">
        <f t="shared" si="27"/>
        <v>140</v>
      </c>
      <c r="BD28" s="189" t="str">
        <f t="shared" si="29"/>
        <v/>
      </c>
      <c r="BE28" s="56" t="str">
        <f t="shared" si="32"/>
        <v>8-H</v>
      </c>
      <c r="BF28" s="50"/>
      <c r="BG28" s="50"/>
      <c r="BH28" s="50"/>
      <c r="BI28" s="50"/>
      <c r="BR28" s="80"/>
      <c r="BS28" s="80"/>
      <c r="BT28" s="80"/>
      <c r="BU28" s="21"/>
      <c r="BV28" s="21"/>
      <c r="BW28" s="21"/>
      <c r="BX28" s="21"/>
      <c r="BY28" s="21"/>
    </row>
    <row r="29" spans="1:77" ht="12.75" customHeight="1">
      <c r="A29" s="247"/>
      <c r="B29" s="264" t="str">
        <f t="shared" si="13"/>
        <v>TUE</v>
      </c>
      <c r="C29" s="267">
        <f t="shared" si="14"/>
        <v>43984</v>
      </c>
      <c r="D29" s="430">
        <f t="shared" si="21"/>
        <v>23</v>
      </c>
      <c r="E29" s="473"/>
      <c r="F29" s="483"/>
      <c r="G29" s="472"/>
      <c r="H29" s="472"/>
      <c r="I29" s="292" t="str">
        <f t="shared" si="0"/>
        <v/>
      </c>
      <c r="J29" s="293" t="str">
        <f t="shared" si="1"/>
        <v/>
      </c>
      <c r="K29" s="293" t="str">
        <f t="shared" si="2"/>
        <v/>
      </c>
      <c r="L29" s="293" t="str">
        <f t="shared" si="3"/>
        <v/>
      </c>
      <c r="M29" s="266"/>
      <c r="N29" s="291" t="str">
        <f t="shared" si="4"/>
        <v/>
      </c>
      <c r="O29" s="291" t="str">
        <f t="shared" si="5"/>
        <v/>
      </c>
      <c r="P29" s="291" t="str">
        <f t="shared" si="6"/>
        <v/>
      </c>
      <c r="Q29" s="324">
        <f t="shared" si="33"/>
        <v>43984</v>
      </c>
      <c r="R29" s="277">
        <v>23</v>
      </c>
      <c r="S29" s="291" t="e">
        <f t="shared" si="7"/>
        <v>#N/A</v>
      </c>
      <c r="T29" s="291"/>
      <c r="U29" s="291" t="e">
        <f t="shared" si="8"/>
        <v>#N/A</v>
      </c>
      <c r="V29" s="291" t="str">
        <f t="shared" si="15"/>
        <v/>
      </c>
      <c r="W29" s="291" t="str">
        <f t="shared" si="16"/>
        <v/>
      </c>
      <c r="X29" s="291" t="str">
        <f t="shared" si="30"/>
        <v/>
      </c>
      <c r="Y29" s="291" t="str">
        <f t="shared" si="31"/>
        <v/>
      </c>
      <c r="Z29" s="276">
        <v>23</v>
      </c>
      <c r="AA29" s="433">
        <v>23</v>
      </c>
      <c r="AB29" s="291">
        <v>31.365432499889849</v>
      </c>
      <c r="AC29" s="279">
        <f t="shared" si="17"/>
        <v>1.4964512804281296</v>
      </c>
      <c r="AD29" s="279">
        <f t="shared" ca="1" si="10"/>
        <v>1.6233774460989867</v>
      </c>
      <c r="AE29" s="278">
        <f t="shared" ca="1" si="23"/>
        <v>42.012395583902759</v>
      </c>
      <c r="AF29" s="279">
        <f t="shared" ca="1" si="18"/>
        <v>1.3394489485853671</v>
      </c>
      <c r="AG29" s="278">
        <f t="shared" ca="1" si="11"/>
        <v>48.583068794147216</v>
      </c>
      <c r="AH29" s="278">
        <f t="shared" ca="1" si="12"/>
        <v>36.33038065538927</v>
      </c>
      <c r="AJ29" s="249"/>
      <c r="AK29" s="240"/>
      <c r="AL29" s="219">
        <v>2.5000000000000001E-2</v>
      </c>
      <c r="AM29" s="219">
        <f t="shared" ref="AM29:AM39" si="36">PERCENTILE(DisRatio,AL29)</f>
        <v>0.69086144026926177</v>
      </c>
      <c r="AN29" s="236">
        <v>2</v>
      </c>
      <c r="AO29" s="220" t="s">
        <v>101</v>
      </c>
      <c r="AP29" s="219">
        <f t="shared" si="34"/>
        <v>1.2517654153869191</v>
      </c>
      <c r="AQ29" s="219">
        <f t="shared" si="35"/>
        <v>0.89849754712508212</v>
      </c>
      <c r="AR29" s="218">
        <f>1/AM32</f>
        <v>1.3931762188913996</v>
      </c>
      <c r="AS29" s="236"/>
      <c r="AT29" s="236"/>
      <c r="AU29" s="238"/>
      <c r="AV29" s="43"/>
      <c r="AW29" s="80"/>
      <c r="AX29" s="440">
        <v>0.82674127914989504</v>
      </c>
      <c r="AY29" s="119"/>
      <c r="BA29" s="137"/>
      <c r="BB29" s="97">
        <v>960</v>
      </c>
      <c r="BC29" s="186">
        <f t="shared" si="27"/>
        <v>140</v>
      </c>
      <c r="BD29" s="190" t="str">
        <f t="shared" si="29"/>
        <v/>
      </c>
      <c r="BE29" s="56" t="str">
        <f t="shared" si="32"/>
        <v>16-H</v>
      </c>
      <c r="BF29" s="50"/>
      <c r="BG29" s="50"/>
      <c r="BH29" s="50"/>
      <c r="BI29" s="50"/>
      <c r="BR29" s="80"/>
      <c r="BS29" s="80"/>
      <c r="BT29" s="80"/>
      <c r="BU29" s="21"/>
      <c r="BV29" s="21"/>
      <c r="BW29" s="21"/>
      <c r="BX29" s="21"/>
      <c r="BY29" s="21"/>
    </row>
    <row r="30" spans="1:77" ht="12.75" customHeight="1">
      <c r="A30" s="247"/>
      <c r="B30" s="264" t="str">
        <f t="shared" si="13"/>
        <v>WED</v>
      </c>
      <c r="C30" s="267">
        <f t="shared" si="14"/>
        <v>43985</v>
      </c>
      <c r="D30" s="430">
        <f t="shared" si="21"/>
        <v>24</v>
      </c>
      <c r="E30" s="473"/>
      <c r="F30" s="483"/>
      <c r="G30" s="472"/>
      <c r="H30" s="472"/>
      <c r="I30" s="292" t="str">
        <f t="shared" si="0"/>
        <v/>
      </c>
      <c r="J30" s="293" t="str">
        <f t="shared" si="1"/>
        <v/>
      </c>
      <c r="K30" s="293" t="str">
        <f t="shared" si="2"/>
        <v/>
      </c>
      <c r="L30" s="293" t="str">
        <f t="shared" si="3"/>
        <v/>
      </c>
      <c r="M30" s="266"/>
      <c r="N30" s="291" t="str">
        <f t="shared" si="4"/>
        <v/>
      </c>
      <c r="O30" s="291" t="str">
        <f t="shared" si="5"/>
        <v/>
      </c>
      <c r="P30" s="291" t="str">
        <f t="shared" si="6"/>
        <v/>
      </c>
      <c r="Q30" s="324">
        <f t="shared" si="33"/>
        <v>43985</v>
      </c>
      <c r="R30" s="277">
        <v>24</v>
      </c>
      <c r="S30" s="291" t="e">
        <f t="shared" si="7"/>
        <v>#N/A</v>
      </c>
      <c r="T30" s="291"/>
      <c r="U30" s="291" t="e">
        <f t="shared" si="8"/>
        <v>#N/A</v>
      </c>
      <c r="V30" s="291" t="str">
        <f t="shared" si="15"/>
        <v/>
      </c>
      <c r="W30" s="291" t="str">
        <f t="shared" si="16"/>
        <v/>
      </c>
      <c r="X30" s="291" t="str">
        <f t="shared" si="30"/>
        <v/>
      </c>
      <c r="Y30" s="291" t="str">
        <f t="shared" si="31"/>
        <v/>
      </c>
      <c r="Z30" s="276">
        <v>24</v>
      </c>
      <c r="AA30" s="433">
        <v>24</v>
      </c>
      <c r="AB30" s="291">
        <v>36.667025924290975</v>
      </c>
      <c r="AC30" s="279">
        <f t="shared" si="17"/>
        <v>1.5642756856069118</v>
      </c>
      <c r="AD30" s="279">
        <f t="shared" ca="1" si="10"/>
        <v>1.6276895606123527</v>
      </c>
      <c r="AE30" s="278">
        <f t="shared" ca="1" si="23"/>
        <v>42.431614877231446</v>
      </c>
      <c r="AF30" s="279">
        <f t="shared" ca="1" si="18"/>
        <v>1.1572145219752219</v>
      </c>
      <c r="AG30" s="278">
        <f t="shared" ca="1" si="11"/>
        <v>49.067853331771275</v>
      </c>
      <c r="AH30" s="278">
        <f t="shared" ca="1" si="12"/>
        <v>36.69290215155813</v>
      </c>
      <c r="AJ30" s="249"/>
      <c r="AK30" s="240"/>
      <c r="AL30" s="219">
        <v>0.05</v>
      </c>
      <c r="AM30" s="219">
        <f t="shared" si="36"/>
        <v>0.71101723369158754</v>
      </c>
      <c r="AN30" s="236">
        <v>3</v>
      </c>
      <c r="AO30" s="220" t="s">
        <v>102</v>
      </c>
      <c r="AP30" s="219">
        <f t="shared" si="34"/>
        <v>1.2561466321506358</v>
      </c>
      <c r="AQ30" s="219">
        <f t="shared" si="35"/>
        <v>0.90034581937682256</v>
      </c>
      <c r="AR30" s="218">
        <f>1/AM31</f>
        <v>1.3951823900510607</v>
      </c>
      <c r="AS30" s="236"/>
      <c r="AT30" s="236"/>
      <c r="AU30" s="238"/>
      <c r="AV30" s="54"/>
      <c r="AW30" s="80"/>
      <c r="AX30" s="114">
        <v>0.83173011966300991</v>
      </c>
      <c r="AY30" s="80"/>
      <c r="BA30" s="137"/>
      <c r="BB30" s="97">
        <v>1440</v>
      </c>
      <c r="BC30" s="186">
        <f t="shared" si="27"/>
        <v>140</v>
      </c>
      <c r="BD30" s="190" t="str">
        <f t="shared" si="29"/>
        <v/>
      </c>
      <c r="BE30" s="56" t="str">
        <f t="shared" si="32"/>
        <v>24-H</v>
      </c>
      <c r="BF30" s="50"/>
      <c r="BG30" s="50"/>
      <c r="BH30" s="50"/>
      <c r="BI30" s="50"/>
      <c r="BR30" s="80"/>
      <c r="BS30" s="80"/>
      <c r="BT30" s="80"/>
      <c r="BU30" s="21"/>
      <c r="BV30" s="21"/>
      <c r="BW30" s="21"/>
      <c r="BX30" s="21"/>
      <c r="BY30" s="21"/>
    </row>
    <row r="31" spans="1:77" ht="12.75" customHeight="1">
      <c r="A31" s="247"/>
      <c r="B31" s="264" t="str">
        <f t="shared" si="13"/>
        <v>THU</v>
      </c>
      <c r="C31" s="267">
        <f t="shared" si="14"/>
        <v>43986</v>
      </c>
      <c r="D31" s="430">
        <f t="shared" si="21"/>
        <v>25</v>
      </c>
      <c r="E31" s="473"/>
      <c r="F31" s="483"/>
      <c r="G31" s="472"/>
      <c r="H31" s="472"/>
      <c r="I31" s="292" t="str">
        <f t="shared" si="0"/>
        <v/>
      </c>
      <c r="J31" s="293" t="str">
        <f t="shared" si="1"/>
        <v/>
      </c>
      <c r="K31" s="293" t="str">
        <f t="shared" si="2"/>
        <v/>
      </c>
      <c r="L31" s="293" t="str">
        <f t="shared" si="3"/>
        <v/>
      </c>
      <c r="M31" s="266"/>
      <c r="N31" s="291" t="str">
        <f t="shared" si="4"/>
        <v/>
      </c>
      <c r="O31" s="291" t="str">
        <f t="shared" si="5"/>
        <v/>
      </c>
      <c r="P31" s="291" t="str">
        <f t="shared" si="6"/>
        <v/>
      </c>
      <c r="Q31" s="324">
        <f t="shared" si="33"/>
        <v>43986</v>
      </c>
      <c r="R31" s="277">
        <v>25</v>
      </c>
      <c r="S31" s="291" t="e">
        <f t="shared" si="7"/>
        <v>#N/A</v>
      </c>
      <c r="T31" s="291"/>
      <c r="U31" s="291" t="e">
        <f t="shared" si="8"/>
        <v>#N/A</v>
      </c>
      <c r="V31" s="291" t="str">
        <f t="shared" si="15"/>
        <v/>
      </c>
      <c r="W31" s="291" t="str">
        <f t="shared" si="16"/>
        <v/>
      </c>
      <c r="X31" s="291" t="str">
        <f t="shared" si="30"/>
        <v/>
      </c>
      <c r="Y31" s="291" t="str">
        <f t="shared" si="31"/>
        <v/>
      </c>
      <c r="Z31" s="276">
        <v>25</v>
      </c>
      <c r="AA31" s="433">
        <v>25</v>
      </c>
      <c r="AB31" s="291">
        <v>51.975424859373689</v>
      </c>
      <c r="AC31" s="279">
        <f t="shared" si="17"/>
        <v>1.7157980480434769</v>
      </c>
      <c r="AD31" s="279">
        <f t="shared" ca="1" si="10"/>
        <v>1.6320016751257189</v>
      </c>
      <c r="AE31" s="278">
        <f t="shared" ca="1" si="23"/>
        <v>42.855017336348624</v>
      </c>
      <c r="AF31" s="279">
        <f t="shared" ca="1" si="18"/>
        <v>0.8245246181690381</v>
      </c>
      <c r="AG31" s="278">
        <f t="shared" ca="1" si="11"/>
        <v>49.557475275795397</v>
      </c>
      <c r="AH31" s="278">
        <f t="shared" ca="1" si="12"/>
        <v>37.059041056430502</v>
      </c>
      <c r="AJ31" s="249"/>
      <c r="AK31" s="241"/>
      <c r="AL31" s="219">
        <v>0.1</v>
      </c>
      <c r="AM31" s="219">
        <f t="shared" si="36"/>
        <v>0.71675216597551961</v>
      </c>
      <c r="AN31" s="236">
        <v>4</v>
      </c>
      <c r="AO31" s="220" t="s">
        <v>104</v>
      </c>
      <c r="AP31" s="219">
        <f t="shared" si="34"/>
        <v>1.2989817453595196</v>
      </c>
      <c r="AQ31" s="219">
        <f t="shared" si="35"/>
        <v>0.92359840720139574</v>
      </c>
      <c r="AR31" s="218">
        <f>1/AM30</f>
        <v>1.4064356707755445</v>
      </c>
      <c r="AS31" s="236"/>
      <c r="AT31" s="236"/>
      <c r="AU31" s="238"/>
      <c r="AV31" s="54"/>
      <c r="AW31" s="43"/>
      <c r="AX31" s="442">
        <v>0.83371084335669743</v>
      </c>
      <c r="AY31" s="43"/>
      <c r="AZ31" s="16"/>
      <c r="BA31" s="136"/>
      <c r="BB31" s="97"/>
      <c r="BC31" s="79">
        <f t="shared" si="27"/>
        <v>140</v>
      </c>
      <c r="BD31" s="340">
        <f t="shared" ref="BD31:BD36" si="37">IF(Ymin=0.1,BE31,Blank)</f>
        <v>1</v>
      </c>
      <c r="BE31" s="107">
        <v>1</v>
      </c>
      <c r="BF31" s="50"/>
      <c r="BG31" s="50"/>
      <c r="BH31" s="50"/>
      <c r="BI31" s="50"/>
      <c r="BR31" s="80"/>
      <c r="BS31" s="80"/>
      <c r="BT31" s="80"/>
      <c r="BU31" s="21"/>
      <c r="BV31" s="21"/>
      <c r="BW31" s="21"/>
      <c r="BX31" s="21"/>
      <c r="BY31" s="21"/>
    </row>
    <row r="32" spans="1:77" ht="12.75" customHeight="1">
      <c r="A32" s="247"/>
      <c r="B32" s="264" t="str">
        <f t="shared" si="13"/>
        <v>FRI</v>
      </c>
      <c r="C32" s="267">
        <f t="shared" si="14"/>
        <v>43987</v>
      </c>
      <c r="D32" s="430">
        <f t="shared" si="21"/>
        <v>26</v>
      </c>
      <c r="E32" s="473"/>
      <c r="F32" s="483"/>
      <c r="G32" s="472"/>
      <c r="H32" s="472"/>
      <c r="I32" s="292" t="str">
        <f t="shared" si="0"/>
        <v/>
      </c>
      <c r="J32" s="293" t="str">
        <f t="shared" si="1"/>
        <v/>
      </c>
      <c r="K32" s="293" t="str">
        <f t="shared" si="2"/>
        <v/>
      </c>
      <c r="L32" s="293" t="str">
        <f t="shared" si="3"/>
        <v/>
      </c>
      <c r="M32" s="266"/>
      <c r="N32" s="291" t="str">
        <f t="shared" si="4"/>
        <v/>
      </c>
      <c r="O32" s="291" t="str">
        <f t="shared" si="5"/>
        <v/>
      </c>
      <c r="P32" s="291" t="str">
        <f t="shared" si="6"/>
        <v/>
      </c>
      <c r="Q32" s="324">
        <f t="shared" si="33"/>
        <v>43987</v>
      </c>
      <c r="R32" s="277">
        <v>26</v>
      </c>
      <c r="S32" s="291" t="e">
        <f t="shared" si="7"/>
        <v>#N/A</v>
      </c>
      <c r="T32" s="291"/>
      <c r="U32" s="291" t="e">
        <f t="shared" si="8"/>
        <v>#N/A</v>
      </c>
      <c r="V32" s="291" t="str">
        <f t="shared" si="15"/>
        <v/>
      </c>
      <c r="W32" s="291" t="str">
        <f t="shared" si="16"/>
        <v/>
      </c>
      <c r="X32" s="291" t="str">
        <f t="shared" si="30"/>
        <v/>
      </c>
      <c r="Y32" s="291" t="str">
        <f t="shared" si="31"/>
        <v/>
      </c>
      <c r="Z32" s="276">
        <v>26</v>
      </c>
      <c r="AA32" s="432">
        <v>26</v>
      </c>
      <c r="AB32" s="291">
        <v>31.290782872728947</v>
      </c>
      <c r="AC32" s="279">
        <f t="shared" si="17"/>
        <v>1.4954164290155745</v>
      </c>
      <c r="AD32" s="279">
        <f t="shared" ca="1" si="10"/>
        <v>1.6363137896390851</v>
      </c>
      <c r="AE32" s="278">
        <f t="shared" ca="1" si="23"/>
        <v>43.282644702835121</v>
      </c>
      <c r="AF32" s="279">
        <f t="shared" ca="1" si="18"/>
        <v>1.383239431205076</v>
      </c>
      <c r="AG32" s="278">
        <f t="shared" ca="1" si="11"/>
        <v>50.051982896118624</v>
      </c>
      <c r="AH32" s="278">
        <f t="shared" ca="1" si="12"/>
        <v>37.428833466198931</v>
      </c>
      <c r="AJ32" s="249"/>
      <c r="AK32" s="241"/>
      <c r="AL32" s="219">
        <v>0.125</v>
      </c>
      <c r="AM32" s="219">
        <f t="shared" si="36"/>
        <v>0.71778428775918668</v>
      </c>
      <c r="AN32" s="236">
        <v>5</v>
      </c>
      <c r="AO32" s="220" t="s">
        <v>125</v>
      </c>
      <c r="AP32" s="219">
        <f t="shared" si="34"/>
        <v>1.337257356452729</v>
      </c>
      <c r="AQ32" s="219">
        <f>AM39</f>
        <v>0.92385954328959796</v>
      </c>
      <c r="AR32" s="218">
        <f>1/AM29</f>
        <v>1.4474682500882552</v>
      </c>
      <c r="AS32" s="236"/>
      <c r="AT32" s="236"/>
      <c r="AU32" s="238"/>
      <c r="AV32" s="54"/>
      <c r="AW32" s="54"/>
      <c r="AX32" s="442">
        <v>0.83587015899033101</v>
      </c>
      <c r="AY32" s="54"/>
      <c r="AZ32" s="16"/>
      <c r="BA32" s="16"/>
      <c r="BB32" s="97"/>
      <c r="BC32" s="79">
        <f t="shared" si="27"/>
        <v>140</v>
      </c>
      <c r="BD32" s="340">
        <f t="shared" si="37"/>
        <v>0.8</v>
      </c>
      <c r="BE32" s="107">
        <v>0.8</v>
      </c>
      <c r="BF32" s="50"/>
      <c r="BG32" s="50"/>
      <c r="BH32" s="50"/>
      <c r="BI32" s="50"/>
      <c r="BR32" s="80"/>
      <c r="BS32" s="80"/>
      <c r="BT32" s="80"/>
      <c r="BU32" s="21"/>
      <c r="BV32" s="21"/>
      <c r="BW32" s="21"/>
      <c r="BX32" s="21"/>
      <c r="BY32" s="21"/>
    </row>
    <row r="33" spans="1:77" ht="12.75" customHeight="1">
      <c r="A33" s="247"/>
      <c r="B33" s="264" t="str">
        <f t="shared" si="13"/>
        <v>SAT</v>
      </c>
      <c r="C33" s="267">
        <f t="shared" si="14"/>
        <v>43988</v>
      </c>
      <c r="D33" s="430">
        <f t="shared" si="21"/>
        <v>27</v>
      </c>
      <c r="E33" s="473"/>
      <c r="F33" s="483"/>
      <c r="G33" s="472"/>
      <c r="H33" s="472"/>
      <c r="I33" s="292" t="str">
        <f t="shared" si="0"/>
        <v/>
      </c>
      <c r="J33" s="293" t="str">
        <f t="shared" si="1"/>
        <v/>
      </c>
      <c r="K33" s="293" t="str">
        <f t="shared" si="2"/>
        <v/>
      </c>
      <c r="L33" s="293" t="str">
        <f t="shared" si="3"/>
        <v/>
      </c>
      <c r="M33" s="266"/>
      <c r="N33" s="291" t="str">
        <f t="shared" si="4"/>
        <v/>
      </c>
      <c r="O33" s="291" t="str">
        <f t="shared" si="5"/>
        <v/>
      </c>
      <c r="P33" s="291" t="str">
        <f t="shared" si="6"/>
        <v/>
      </c>
      <c r="Q33" s="324">
        <f t="shared" si="33"/>
        <v>43988</v>
      </c>
      <c r="R33" s="277">
        <v>27</v>
      </c>
      <c r="S33" s="291" t="e">
        <f t="shared" si="7"/>
        <v>#N/A</v>
      </c>
      <c r="T33" s="291"/>
      <c r="U33" s="291" t="e">
        <f t="shared" si="8"/>
        <v>#N/A</v>
      </c>
      <c r="V33" s="291" t="str">
        <f t="shared" si="15"/>
        <v/>
      </c>
      <c r="W33" s="291" t="str">
        <f t="shared" si="16"/>
        <v/>
      </c>
      <c r="X33" s="291" t="str">
        <f t="shared" si="30"/>
        <v/>
      </c>
      <c r="Y33" s="291" t="str">
        <f t="shared" si="31"/>
        <v/>
      </c>
      <c r="Z33" s="276">
        <v>27</v>
      </c>
      <c r="AA33" s="432">
        <v>27</v>
      </c>
      <c r="AB33" s="291">
        <v>30.613256997228458</v>
      </c>
      <c r="AC33" s="279">
        <f t="shared" si="17"/>
        <v>1.4859095373946523</v>
      </c>
      <c r="AD33" s="279">
        <f t="shared" ca="1" si="10"/>
        <v>1.6406259041524511</v>
      </c>
      <c r="AE33" s="278">
        <f t="shared" ca="1" si="23"/>
        <v>43.714539134788694</v>
      </c>
      <c r="AF33" s="279">
        <f t="shared" ca="1" si="18"/>
        <v>1.4279610672835741</v>
      </c>
      <c r="AG33" s="278">
        <f t="shared" ca="1" si="11"/>
        <v>50.551424944299498</v>
      </c>
      <c r="AH33" s="278">
        <f t="shared" ca="1" si="12"/>
        <v>37.802315837240599</v>
      </c>
      <c r="AJ33" s="249"/>
      <c r="AK33" s="241"/>
      <c r="AL33" s="219">
        <v>0.25</v>
      </c>
      <c r="AM33" s="219">
        <f t="shared" si="36"/>
        <v>0.76033598569937411</v>
      </c>
      <c r="AN33" s="236">
        <v>6</v>
      </c>
      <c r="AO33" s="220" t="s">
        <v>126</v>
      </c>
      <c r="AP33" s="219">
        <f t="shared" si="34"/>
        <v>1.4111618573019149</v>
      </c>
      <c r="AQ33" s="219">
        <f t="shared" si="35"/>
        <v>0.93073744582488749</v>
      </c>
      <c r="AR33" s="218">
        <f>1/AM28</f>
        <v>1.5161760855675472</v>
      </c>
      <c r="AS33" s="236"/>
      <c r="AT33" s="236"/>
      <c r="AU33" s="238"/>
      <c r="AV33" s="120"/>
      <c r="AW33" s="54"/>
      <c r="AX33" s="440">
        <v>0.84527564049629511</v>
      </c>
      <c r="AY33" s="54"/>
      <c r="AZ33" s="16"/>
      <c r="BA33" s="16"/>
      <c r="BB33" s="97"/>
      <c r="BC33" s="79">
        <f t="shared" si="27"/>
        <v>140</v>
      </c>
      <c r="BD33" s="340">
        <f t="shared" si="37"/>
        <v>0.6</v>
      </c>
      <c r="BE33" s="107">
        <v>0.6</v>
      </c>
      <c r="BF33" s="50"/>
      <c r="BG33" s="50"/>
      <c r="BH33" s="50"/>
      <c r="BI33" s="50"/>
      <c r="BR33" s="80"/>
      <c r="BS33" s="80"/>
      <c r="BT33" s="80"/>
      <c r="BU33" s="21"/>
      <c r="BV33" s="21"/>
      <c r="BW33" s="21"/>
      <c r="BX33" s="21"/>
      <c r="BY33" s="21"/>
    </row>
    <row r="34" spans="1:77" ht="12.75" customHeight="1">
      <c r="A34" s="247"/>
      <c r="B34" s="264" t="str">
        <f t="shared" si="13"/>
        <v>SUN</v>
      </c>
      <c r="C34" s="267">
        <f t="shared" si="14"/>
        <v>43989</v>
      </c>
      <c r="D34" s="430">
        <f t="shared" si="21"/>
        <v>28</v>
      </c>
      <c r="E34" s="473"/>
      <c r="F34" s="483"/>
      <c r="G34" s="472"/>
      <c r="H34" s="472"/>
      <c r="I34" s="292" t="str">
        <f t="shared" si="0"/>
        <v/>
      </c>
      <c r="J34" s="293" t="str">
        <f t="shared" si="1"/>
        <v/>
      </c>
      <c r="K34" s="293" t="str">
        <f t="shared" si="2"/>
        <v/>
      </c>
      <c r="L34" s="293" t="str">
        <f t="shared" si="3"/>
        <v/>
      </c>
      <c r="M34" s="266"/>
      <c r="N34" s="291" t="str">
        <f t="shared" si="4"/>
        <v/>
      </c>
      <c r="O34" s="291" t="str">
        <f t="shared" si="5"/>
        <v/>
      </c>
      <c r="P34" s="291" t="str">
        <f t="shared" si="6"/>
        <v/>
      </c>
      <c r="Q34" s="324">
        <f t="shared" si="33"/>
        <v>43989</v>
      </c>
      <c r="R34" s="277">
        <v>28</v>
      </c>
      <c r="S34" s="291">
        <f t="shared" si="7"/>
        <v>100000</v>
      </c>
      <c r="T34" s="291"/>
      <c r="U34" s="291" t="str">
        <f t="shared" si="8"/>
        <v>06/07/20</v>
      </c>
      <c r="V34" s="291" t="str">
        <f t="shared" si="15"/>
        <v/>
      </c>
      <c r="W34" s="291" t="str">
        <f t="shared" si="16"/>
        <v/>
      </c>
      <c r="X34" s="291" t="str">
        <f t="shared" si="30"/>
        <v/>
      </c>
      <c r="Y34" s="291" t="str">
        <f t="shared" si="31"/>
        <v/>
      </c>
      <c r="Z34" s="276">
        <v>28</v>
      </c>
      <c r="AA34" s="432">
        <v>28</v>
      </c>
      <c r="AB34" s="291">
        <v>38.943007809219331</v>
      </c>
      <c r="AC34" s="279">
        <f t="shared" si="17"/>
        <v>1.5904294917268846</v>
      </c>
      <c r="AD34" s="279">
        <f t="shared" ca="1" si="10"/>
        <v>1.6449380186658173</v>
      </c>
      <c r="AE34" s="278">
        <f t="shared" ca="1" si="23"/>
        <v>44.150743210980387</v>
      </c>
      <c r="AF34" s="279">
        <f t="shared" ca="1" si="18"/>
        <v>1.1337270974875284</v>
      </c>
      <c r="AG34" s="278">
        <f t="shared" ca="1" si="11"/>
        <v>51.055850658362523</v>
      </c>
      <c r="AH34" s="278">
        <f t="shared" ca="1" si="12"/>
        <v>38.17952498971151</v>
      </c>
      <c r="AJ34" s="249"/>
      <c r="AK34" s="240"/>
      <c r="AL34" s="219">
        <v>0.5</v>
      </c>
      <c r="AM34" s="219">
        <f t="shared" si="36"/>
        <v>0.8131429966086825</v>
      </c>
      <c r="AN34" s="236"/>
      <c r="AO34" s="242"/>
      <c r="AP34" s="236"/>
      <c r="AQ34" s="236"/>
      <c r="AR34" s="236"/>
      <c r="AS34" s="236"/>
      <c r="AT34" s="236"/>
      <c r="AU34" s="238"/>
      <c r="AV34" s="54"/>
      <c r="AW34" s="54"/>
      <c r="AX34" s="442">
        <v>0.8478316754479388</v>
      </c>
      <c r="AY34" s="54"/>
      <c r="AZ34" s="16"/>
      <c r="BA34" s="16"/>
      <c r="BB34" s="97"/>
      <c r="BC34" s="79">
        <f t="shared" si="27"/>
        <v>140</v>
      </c>
      <c r="BD34" s="340">
        <f t="shared" si="37"/>
        <v>0.4</v>
      </c>
      <c r="BE34" s="107">
        <v>0.4</v>
      </c>
      <c r="BF34" s="50"/>
      <c r="BG34" s="50"/>
      <c r="BH34" s="50"/>
      <c r="BI34" s="50"/>
      <c r="BR34" s="80"/>
      <c r="BS34" s="80"/>
      <c r="BT34" s="80"/>
      <c r="BU34" s="21"/>
      <c r="BV34" s="21"/>
      <c r="BW34" s="21"/>
      <c r="BX34" s="21"/>
      <c r="BY34" s="21"/>
    </row>
    <row r="35" spans="1:77" ht="12.75" customHeight="1">
      <c r="A35" s="247"/>
      <c r="B35" s="264" t="str">
        <f t="shared" si="13"/>
        <v>MON</v>
      </c>
      <c r="C35" s="267">
        <f t="shared" si="14"/>
        <v>43990</v>
      </c>
      <c r="D35" s="430">
        <f t="shared" si="21"/>
        <v>29</v>
      </c>
      <c r="E35" s="473"/>
      <c r="F35" s="483"/>
      <c r="G35" s="472"/>
      <c r="H35" s="472"/>
      <c r="I35" s="292" t="str">
        <f t="shared" si="0"/>
        <v/>
      </c>
      <c r="J35" s="293" t="str">
        <f t="shared" si="1"/>
        <v/>
      </c>
      <c r="K35" s="293" t="str">
        <f t="shared" si="2"/>
        <v/>
      </c>
      <c r="L35" s="293" t="str">
        <f t="shared" si="3"/>
        <v/>
      </c>
      <c r="M35" s="266"/>
      <c r="N35" s="291" t="str">
        <f t="shared" si="4"/>
        <v/>
      </c>
      <c r="O35" s="291" t="str">
        <f t="shared" si="5"/>
        <v/>
      </c>
      <c r="P35" s="291" t="str">
        <f t="shared" si="6"/>
        <v/>
      </c>
      <c r="Q35" s="324">
        <f t="shared" si="33"/>
        <v>43990</v>
      </c>
      <c r="R35" s="277">
        <v>29</v>
      </c>
      <c r="S35" s="291" t="e">
        <f t="shared" si="7"/>
        <v>#N/A</v>
      </c>
      <c r="T35" s="291"/>
      <c r="U35" s="291" t="e">
        <f t="shared" si="8"/>
        <v>#N/A</v>
      </c>
      <c r="V35" s="291" t="str">
        <f t="shared" si="15"/>
        <v/>
      </c>
      <c r="W35" s="291" t="str">
        <f t="shared" si="16"/>
        <v/>
      </c>
      <c r="X35" s="291" t="str">
        <f t="shared" si="30"/>
        <v/>
      </c>
      <c r="Y35" s="291" t="str">
        <f t="shared" si="31"/>
        <v/>
      </c>
      <c r="Z35" s="276">
        <v>29</v>
      </c>
      <c r="AA35" s="433">
        <v>29</v>
      </c>
      <c r="AB35" s="291">
        <v>48.280199508483257</v>
      </c>
      <c r="AC35" s="279">
        <f t="shared" si="17"/>
        <v>1.6837690560660397</v>
      </c>
      <c r="AD35" s="279">
        <f t="shared" ca="1" si="10"/>
        <v>1.6492501331791836</v>
      </c>
      <c r="AE35" s="278">
        <f t="shared" ca="1" si="23"/>
        <v>44.591299935051964</v>
      </c>
      <c r="AF35" s="279">
        <f t="shared" ca="1" si="18"/>
        <v>0.92359394511650428</v>
      </c>
      <c r="AG35" s="278">
        <f t="shared" ca="1" si="11"/>
        <v>51.565309767652032</v>
      </c>
      <c r="AH35" s="278">
        <f t="shared" ca="1" si="12"/>
        <v>38.560498111176273</v>
      </c>
      <c r="AJ35" s="238"/>
      <c r="AK35" s="236"/>
      <c r="AL35" s="219">
        <v>0.75</v>
      </c>
      <c r="AM35" s="219">
        <f t="shared" si="36"/>
        <v>0.86164629271977022</v>
      </c>
      <c r="AN35" s="236"/>
      <c r="AO35" s="236" t="s">
        <v>276</v>
      </c>
      <c r="AP35" s="241">
        <f ca="1">OFFSET($AP$28,SpreadIndex,0,1,1)^0.5</f>
        <v>1.156398441910369</v>
      </c>
      <c r="AQ35" s="236"/>
      <c r="AR35" s="236"/>
      <c r="AS35" s="236"/>
      <c r="AT35" s="236"/>
      <c r="AU35" s="238"/>
      <c r="AV35" s="54"/>
      <c r="AW35" s="120"/>
      <c r="AX35" s="442">
        <v>0.86096007746533265</v>
      </c>
      <c r="AY35" s="120"/>
      <c r="AZ35" s="16"/>
      <c r="BA35" s="16"/>
      <c r="BB35" s="97"/>
      <c r="BC35" s="79">
        <f t="shared" si="27"/>
        <v>140</v>
      </c>
      <c r="BD35" s="340">
        <f t="shared" si="37"/>
        <v>0.2</v>
      </c>
      <c r="BE35" s="107">
        <v>0.2</v>
      </c>
      <c r="BF35" s="50"/>
      <c r="BG35" s="50"/>
      <c r="BH35" s="50"/>
      <c r="BI35" s="50"/>
      <c r="BR35" s="80"/>
      <c r="BS35" s="80"/>
      <c r="BT35" s="80"/>
      <c r="BU35" s="21"/>
      <c r="BV35" s="21"/>
      <c r="BW35" s="21"/>
      <c r="BX35" s="21"/>
      <c r="BY35" s="21"/>
    </row>
    <row r="36" spans="1:77" ht="12.75" customHeight="1">
      <c r="A36" s="247"/>
      <c r="B36" s="264" t="str">
        <f t="shared" si="13"/>
        <v>TUE</v>
      </c>
      <c r="C36" s="267">
        <f t="shared" si="14"/>
        <v>43991</v>
      </c>
      <c r="D36" s="430">
        <f t="shared" si="21"/>
        <v>30</v>
      </c>
      <c r="E36" s="473"/>
      <c r="F36" s="483"/>
      <c r="G36" s="472"/>
      <c r="H36" s="472"/>
      <c r="I36" s="292" t="str">
        <f t="shared" si="0"/>
        <v/>
      </c>
      <c r="J36" s="293" t="str">
        <f t="shared" si="1"/>
        <v/>
      </c>
      <c r="K36" s="293" t="str">
        <f t="shared" si="2"/>
        <v/>
      </c>
      <c r="L36" s="293" t="str">
        <f t="shared" si="3"/>
        <v/>
      </c>
      <c r="M36" s="266"/>
      <c r="N36" s="291" t="str">
        <f t="shared" si="4"/>
        <v/>
      </c>
      <c r="O36" s="291" t="str">
        <f t="shared" si="5"/>
        <v/>
      </c>
      <c r="P36" s="291" t="str">
        <f t="shared" si="6"/>
        <v/>
      </c>
      <c r="Q36" s="324">
        <f t="shared" si="33"/>
        <v>43991</v>
      </c>
      <c r="R36" s="277">
        <v>30</v>
      </c>
      <c r="S36" s="291" t="e">
        <f t="shared" si="7"/>
        <v>#N/A</v>
      </c>
      <c r="T36" s="291"/>
      <c r="U36" s="291" t="e">
        <f t="shared" si="8"/>
        <v>#N/A</v>
      </c>
      <c r="V36" s="291" t="str">
        <f t="shared" si="15"/>
        <v/>
      </c>
      <c r="W36" s="291" t="str">
        <f t="shared" si="16"/>
        <v/>
      </c>
      <c r="X36" s="291" t="str">
        <f t="shared" si="30"/>
        <v/>
      </c>
      <c r="Y36" s="291" t="str">
        <f t="shared" si="31"/>
        <v/>
      </c>
      <c r="Z36" s="276">
        <v>30</v>
      </c>
      <c r="AA36" s="433">
        <v>30</v>
      </c>
      <c r="AB36" s="291">
        <v>31.625</v>
      </c>
      <c r="AC36" s="279">
        <f t="shared" si="17"/>
        <v>1.5000305341838744</v>
      </c>
      <c r="AD36" s="279">
        <f t="shared" ca="1" si="10"/>
        <v>1.6535622476925498</v>
      </c>
      <c r="AE36" s="278">
        <f t="shared" ca="1" si="23"/>
        <v>45.03625273975571</v>
      </c>
      <c r="AF36" s="279">
        <f t="shared" ca="1" si="18"/>
        <v>1.4240712328776508</v>
      </c>
      <c r="AG36" s="278">
        <f t="shared" ca="1" si="11"/>
        <v>52.079852497735089</v>
      </c>
      <c r="AH36" s="278">
        <f t="shared" ca="1" si="12"/>
        <v>38.945272760274449</v>
      </c>
      <c r="AJ36" s="238"/>
      <c r="AK36" s="236"/>
      <c r="AL36" s="219">
        <v>0.875</v>
      </c>
      <c r="AM36" s="219">
        <f t="shared" si="36"/>
        <v>0.89849754712508212</v>
      </c>
      <c r="AN36" s="236"/>
      <c r="AO36" s="236"/>
      <c r="AP36" s="236"/>
      <c r="AQ36" s="236"/>
      <c r="AR36" s="236"/>
      <c r="AS36" s="236"/>
      <c r="AT36" s="236"/>
      <c r="AU36" s="238"/>
      <c r="AV36" s="54"/>
      <c r="AW36" s="54"/>
      <c r="AX36" s="440">
        <v>0.86370493848308283</v>
      </c>
      <c r="AY36" s="54"/>
      <c r="AZ36" s="16"/>
      <c r="BC36" s="79">
        <f t="shared" si="27"/>
        <v>140</v>
      </c>
      <c r="BD36" s="340">
        <f t="shared" si="37"/>
        <v>0.1</v>
      </c>
      <c r="BE36" s="107">
        <v>0.1</v>
      </c>
    </row>
    <row r="37" spans="1:77" ht="12.75" customHeight="1">
      <c r="A37" s="247"/>
      <c r="B37" s="264" t="str">
        <f t="shared" si="13"/>
        <v>WED</v>
      </c>
      <c r="C37" s="267">
        <f t="shared" si="14"/>
        <v>43992</v>
      </c>
      <c r="D37" s="430">
        <f t="shared" si="21"/>
        <v>31</v>
      </c>
      <c r="E37" s="473"/>
      <c r="F37" s="483"/>
      <c r="G37" s="472"/>
      <c r="H37" s="472"/>
      <c r="I37" s="292" t="str">
        <f t="shared" si="0"/>
        <v/>
      </c>
      <c r="J37" s="293" t="str">
        <f t="shared" si="1"/>
        <v/>
      </c>
      <c r="K37" s="293" t="str">
        <f t="shared" si="2"/>
        <v/>
      </c>
      <c r="L37" s="293" t="str">
        <f t="shared" si="3"/>
        <v/>
      </c>
      <c r="M37" s="266"/>
      <c r="N37" s="291" t="str">
        <f t="shared" si="4"/>
        <v/>
      </c>
      <c r="O37" s="291" t="str">
        <f t="shared" si="5"/>
        <v/>
      </c>
      <c r="P37" s="291" t="str">
        <f t="shared" si="6"/>
        <v/>
      </c>
      <c r="Q37" s="324">
        <f>C37</f>
        <v>43992</v>
      </c>
      <c r="R37" s="277">
        <v>31</v>
      </c>
      <c r="S37" s="291" t="e">
        <f t="shared" si="7"/>
        <v>#N/A</v>
      </c>
      <c r="T37" s="291"/>
      <c r="U37" s="291" t="e">
        <f t="shared" si="8"/>
        <v>#N/A</v>
      </c>
      <c r="V37" s="291" t="str">
        <f t="shared" si="15"/>
        <v/>
      </c>
      <c r="W37" s="291" t="str">
        <f t="shared" si="16"/>
        <v/>
      </c>
      <c r="X37" s="291" t="str">
        <f t="shared" si="30"/>
        <v/>
      </c>
      <c r="Y37" s="291" t="str">
        <f t="shared" si="31"/>
        <v/>
      </c>
      <c r="Z37" s="276">
        <v>31</v>
      </c>
      <c r="AA37" s="433">
        <v>31</v>
      </c>
      <c r="AB37" s="291">
        <v>33.977580977555832</v>
      </c>
      <c r="AC37" s="279">
        <f t="shared" si="17"/>
        <v>1.5311924561841264</v>
      </c>
      <c r="AD37" s="279">
        <f t="shared" ca="1" si="10"/>
        <v>1.6578743622059158</v>
      </c>
      <c r="AE37" s="278">
        <f t="shared" ca="1" si="23"/>
        <v>45.485645491236077</v>
      </c>
      <c r="AF37" s="279">
        <f t="shared" ca="1" si="18"/>
        <v>1.3386958159641202</v>
      </c>
      <c r="AG37" s="278">
        <f t="shared" ca="1" si="11"/>
        <v>52.599529575352804</v>
      </c>
      <c r="AH37" s="278">
        <f t="shared" ca="1" si="12"/>
        <v>39.333886870423171</v>
      </c>
      <c r="AJ37" s="238"/>
      <c r="AK37" s="236"/>
      <c r="AL37" s="219">
        <v>0.9</v>
      </c>
      <c r="AM37" s="219">
        <f t="shared" si="36"/>
        <v>0.90034581937682256</v>
      </c>
      <c r="AN37" s="236"/>
      <c r="AO37" s="236"/>
      <c r="AP37" s="236"/>
      <c r="AQ37" s="236"/>
      <c r="AR37" s="236"/>
      <c r="AS37" s="236"/>
      <c r="AT37" s="236"/>
      <c r="AU37" s="238"/>
      <c r="AV37" s="54"/>
      <c r="AW37" s="54"/>
      <c r="AX37" s="440">
        <v>0.87645057818129157</v>
      </c>
      <c r="AY37" s="54"/>
      <c r="AZ37" s="16"/>
    </row>
    <row r="38" spans="1:77" ht="12.75" customHeight="1">
      <c r="A38" s="247"/>
      <c r="B38" s="264" t="str">
        <f t="shared" si="13"/>
        <v>THU</v>
      </c>
      <c r="C38" s="267">
        <f t="shared" si="14"/>
        <v>43993</v>
      </c>
      <c r="D38" s="430">
        <f t="shared" si="21"/>
        <v>32</v>
      </c>
      <c r="E38" s="473"/>
      <c r="F38" s="483"/>
      <c r="G38" s="472"/>
      <c r="H38" s="472"/>
      <c r="I38" s="292" t="str">
        <f t="shared" ref="I38:I69" si="38">IF(E38="","",IF(Y_AxisLabel="Count Per Minute",1/(HOUR(E38)*60+MINUTE(E38)+SECOND(E38)/60),1/E38))</f>
        <v/>
      </c>
      <c r="J38" s="293" t="str">
        <f t="shared" si="1"/>
        <v/>
      </c>
      <c r="K38" s="293" t="str">
        <f t="shared" ref="K38:K69" si="39">IF(OR(G38=Blank,$E38=Blank),Blank,IF(G38&gt;0,G38*$I38,ZeroCount*$I38))</f>
        <v/>
      </c>
      <c r="L38" s="293" t="str">
        <f t="shared" ref="L38:L69" si="40">IF(OR(H38=Blank,$E38=Blank),Blank,IF(H38&gt;0,H38*$I38,ZeroCount*$I38))</f>
        <v/>
      </c>
      <c r="M38" s="266"/>
      <c r="N38" s="291" t="str">
        <f t="shared" ref="N38:N69" si="41">IF(F38="","",IF(F38=0,IF(NOT(ZeroFlag),"",ZeroCount*$I38),J38))</f>
        <v/>
      </c>
      <c r="O38" s="291" t="str">
        <f t="shared" ref="O38:O69" si="42">IF(G38="","",IF(G38=0,IF(NOT(ZeroFlag),"",ZeroCount*$I38),K38))</f>
        <v/>
      </c>
      <c r="P38" s="291" t="str">
        <f t="shared" ref="P38:P69" si="43">IF(H38="","",IF(H38=0,IF(NOT(ZeroFlag),"",ZeroCount*$I38),L38))</f>
        <v/>
      </c>
      <c r="Q38" s="324">
        <f t="shared" ref="Q38:Q46" si="44">C38</f>
        <v>43993</v>
      </c>
      <c r="R38" s="277">
        <v>32</v>
      </c>
      <c r="S38" s="291" t="e">
        <f t="shared" ref="S38:S69" si="45">IF((R38/Scalar)-INT(R38/Scalar)=0,Ymax,NA())</f>
        <v>#N/A</v>
      </c>
      <c r="T38" s="291"/>
      <c r="U38" s="291" t="e">
        <f t="shared" ref="U38:U69" si="46">IF(ISNA(S38),NA(),TEXT(C38,DateFormat))</f>
        <v>#N/A</v>
      </c>
      <c r="V38" s="291" t="str">
        <f t="shared" si="15"/>
        <v/>
      </c>
      <c r="W38" s="291" t="str">
        <f t="shared" si="16"/>
        <v/>
      </c>
      <c r="X38" s="291" t="str">
        <f t="shared" si="30"/>
        <v/>
      </c>
      <c r="Y38" s="291" t="str">
        <f t="shared" si="31"/>
        <v/>
      </c>
      <c r="Z38" s="276">
        <v>32</v>
      </c>
      <c r="AA38" s="433">
        <v>32</v>
      </c>
      <c r="AB38" s="291">
        <v>52.338118009238642</v>
      </c>
      <c r="AC38" s="279">
        <f t="shared" si="17"/>
        <v>1.7188181020849564</v>
      </c>
      <c r="AD38" s="279">
        <f t="shared" ca="1" si="10"/>
        <v>1.662186476719282</v>
      </c>
      <c r="AE38" s="278">
        <f t="shared" ca="1" si="23"/>
        <v>45.939522493354531</v>
      </c>
      <c r="AF38" s="279">
        <f t="shared" ca="1" si="18"/>
        <v>0.8777450210427008</v>
      </c>
      <c r="AG38" s="278">
        <f t="shared" ca="1" si="11"/>
        <v>53.124392233421531</v>
      </c>
      <c r="AH38" s="278">
        <f t="shared" ca="1" si="12"/>
        <v>39.726378753557029</v>
      </c>
      <c r="AJ38" s="238"/>
      <c r="AK38" s="236"/>
      <c r="AL38" s="219">
        <v>0.95</v>
      </c>
      <c r="AM38" s="219">
        <f t="shared" si="36"/>
        <v>0.92359840720139574</v>
      </c>
      <c r="AN38" s="236"/>
      <c r="AO38" s="236"/>
      <c r="AP38" s="236"/>
      <c r="AQ38" s="236"/>
      <c r="AR38" s="236"/>
      <c r="AS38" s="236"/>
      <c r="AT38" s="236"/>
      <c r="AU38" s="238"/>
      <c r="AV38" s="54"/>
      <c r="AW38" s="54"/>
      <c r="AX38" s="440">
        <v>0.8777450210427008</v>
      </c>
      <c r="AY38" s="54"/>
    </row>
    <row r="39" spans="1:77" ht="12.75" customHeight="1">
      <c r="A39" s="80"/>
      <c r="B39" s="264" t="str">
        <f t="shared" si="13"/>
        <v>FRI</v>
      </c>
      <c r="C39" s="267">
        <f t="shared" ref="C39:C70" si="47">IF($C$6&gt;0,IF(MDY="Y",DATE(YEAR(C38)+1,MONTH(1),DAY(1)),IF(MDY="M",DATE(YEAR(C38),MONTH(C38)+1,DAY(1)),IF(MDY="W",DATE(YEAR(C38),MONTH(C38),DAY(C38)+7),DATE(YEAR(C38),MONTH(C38),DAY(C38)+1)))),"")</f>
        <v>43994</v>
      </c>
      <c r="D39" s="430">
        <f t="shared" si="21"/>
        <v>33</v>
      </c>
      <c r="E39" s="473"/>
      <c r="F39" s="483"/>
      <c r="G39" s="472"/>
      <c r="H39" s="472"/>
      <c r="I39" s="292" t="str">
        <f t="shared" si="38"/>
        <v/>
      </c>
      <c r="J39" s="293" t="str">
        <f t="shared" si="1"/>
        <v/>
      </c>
      <c r="K39" s="293" t="str">
        <f t="shared" si="39"/>
        <v/>
      </c>
      <c r="L39" s="293" t="str">
        <f t="shared" si="40"/>
        <v/>
      </c>
      <c r="M39" s="266"/>
      <c r="N39" s="291" t="str">
        <f t="shared" si="41"/>
        <v/>
      </c>
      <c r="O39" s="291" t="str">
        <f t="shared" si="42"/>
        <v/>
      </c>
      <c r="P39" s="291" t="str">
        <f t="shared" si="43"/>
        <v/>
      </c>
      <c r="Q39" s="324">
        <f t="shared" si="44"/>
        <v>43994</v>
      </c>
      <c r="R39" s="277">
        <v>33</v>
      </c>
      <c r="S39" s="291" t="e">
        <f t="shared" si="45"/>
        <v>#N/A</v>
      </c>
      <c r="T39" s="291"/>
      <c r="U39" s="291" t="e">
        <f t="shared" si="46"/>
        <v>#N/A</v>
      </c>
      <c r="V39" s="291" t="str">
        <f t="shared" si="15"/>
        <v/>
      </c>
      <c r="W39" s="291" t="str">
        <f t="shared" si="16"/>
        <v/>
      </c>
      <c r="X39" s="291" t="str">
        <f t="shared" si="30"/>
        <v/>
      </c>
      <c r="Y39" s="291" t="str">
        <f t="shared" si="31"/>
        <v/>
      </c>
      <c r="Z39" s="276">
        <v>33</v>
      </c>
      <c r="AA39" s="432">
        <v>33</v>
      </c>
      <c r="AB39" s="291">
        <v>64.706790624862322</v>
      </c>
      <c r="AC39" s="279">
        <f t="shared" si="17"/>
        <v>1.8109498598982732</v>
      </c>
      <c r="AD39" s="279">
        <f t="shared" ca="1" si="10"/>
        <v>1.6664985912326482</v>
      </c>
      <c r="AE39" s="278">
        <f t="shared" ca="1" si="23"/>
        <v>46.397928492056977</v>
      </c>
      <c r="AF39" s="279">
        <f t="shared" ca="1" si="18"/>
        <v>0.71704882971323691</v>
      </c>
      <c r="AG39" s="278">
        <f t="shared" ca="1" si="11"/>
        <v>53.654492216083405</v>
      </c>
      <c r="AH39" s="278">
        <f t="shared" ca="1" si="12"/>
        <v>40.12278710390482</v>
      </c>
      <c r="AJ39" s="238"/>
      <c r="AK39" s="236"/>
      <c r="AL39" s="219">
        <f>0.95+0.025</f>
        <v>0.97499999999999998</v>
      </c>
      <c r="AM39" s="219">
        <f t="shared" si="36"/>
        <v>0.92385954328959796</v>
      </c>
      <c r="AN39" s="236"/>
      <c r="AO39" s="236"/>
      <c r="AP39" s="236"/>
      <c r="AQ39" s="236"/>
      <c r="AR39" s="236"/>
      <c r="AS39" s="236"/>
      <c r="AT39" s="236"/>
      <c r="AU39" s="238"/>
      <c r="AV39" s="54"/>
      <c r="AW39" s="54"/>
      <c r="AX39" s="440">
        <v>0.88896880413700285</v>
      </c>
      <c r="AY39" s="54"/>
      <c r="AZ39" s="43"/>
      <c r="BA39" s="43"/>
      <c r="BB39" s="43"/>
    </row>
    <row r="40" spans="1:77" ht="12.75" customHeight="1">
      <c r="A40" s="80"/>
      <c r="B40" s="264" t="str">
        <f t="shared" si="13"/>
        <v>SAT</v>
      </c>
      <c r="C40" s="267">
        <f t="shared" si="47"/>
        <v>43995</v>
      </c>
      <c r="D40" s="430">
        <f t="shared" si="21"/>
        <v>34</v>
      </c>
      <c r="E40" s="473"/>
      <c r="F40" s="483"/>
      <c r="G40" s="472"/>
      <c r="H40" s="472"/>
      <c r="I40" s="292" t="str">
        <f t="shared" si="38"/>
        <v/>
      </c>
      <c r="J40" s="293" t="str">
        <f t="shared" si="1"/>
        <v/>
      </c>
      <c r="K40" s="293" t="str">
        <f t="shared" si="39"/>
        <v/>
      </c>
      <c r="L40" s="293" t="str">
        <f t="shared" si="40"/>
        <v/>
      </c>
      <c r="M40" s="266"/>
      <c r="N40" s="291" t="str">
        <f t="shared" si="41"/>
        <v/>
      </c>
      <c r="O40" s="291" t="str">
        <f t="shared" si="42"/>
        <v/>
      </c>
      <c r="P40" s="291" t="str">
        <f t="shared" si="43"/>
        <v/>
      </c>
      <c r="Q40" s="324">
        <f t="shared" si="44"/>
        <v>43995</v>
      </c>
      <c r="R40" s="277">
        <v>34</v>
      </c>
      <c r="S40" s="291" t="e">
        <f t="shared" si="45"/>
        <v>#N/A</v>
      </c>
      <c r="T40" s="291"/>
      <c r="U40" s="291" t="e">
        <f t="shared" si="46"/>
        <v>#N/A</v>
      </c>
      <c r="V40" s="291" t="str">
        <f t="shared" si="15"/>
        <v/>
      </c>
      <c r="W40" s="291" t="str">
        <f t="shared" si="16"/>
        <v/>
      </c>
      <c r="X40" s="291" t="str">
        <f t="shared" si="30"/>
        <v/>
      </c>
      <c r="Y40" s="291" t="str">
        <f t="shared" si="31"/>
        <v/>
      </c>
      <c r="Z40" s="276">
        <v>34</v>
      </c>
      <c r="AA40" s="433">
        <v>34</v>
      </c>
      <c r="AB40" s="291">
        <v>43.083782405363721</v>
      </c>
      <c r="AC40" s="279">
        <f t="shared" si="17"/>
        <v>1.6343138238197417</v>
      </c>
      <c r="AD40" s="279">
        <f t="shared" ca="1" si="10"/>
        <v>1.6708107057460144</v>
      </c>
      <c r="AE40" s="278">
        <f t="shared" ca="1" si="23"/>
        <v>46.860908679785403</v>
      </c>
      <c r="AF40" s="279">
        <f t="shared" ca="1" si="18"/>
        <v>1.0876693285395354</v>
      </c>
      <c r="AG40" s="278">
        <f t="shared" ca="1" si="11"/>
        <v>54.189881783807927</v>
      </c>
      <c r="AH40" s="278">
        <f t="shared" ca="1" si="12"/>
        <v>40.523151001804564</v>
      </c>
      <c r="AJ40" s="238"/>
      <c r="AK40" s="236"/>
      <c r="AL40" s="219" t="s">
        <v>19</v>
      </c>
      <c r="AM40" s="219">
        <f>QUARTILE(DisRatio,4)</f>
        <v>0.93073744582488749</v>
      </c>
      <c r="AN40" s="236"/>
      <c r="AO40" s="236"/>
      <c r="AP40" s="236"/>
      <c r="AQ40" s="236"/>
      <c r="AR40" s="236"/>
      <c r="AS40" s="236"/>
      <c r="AT40" s="236"/>
      <c r="AU40" s="238"/>
      <c r="AV40" s="54"/>
      <c r="AW40" s="54"/>
      <c r="AX40" s="442">
        <v>0.8982844083346625</v>
      </c>
      <c r="AY40" s="54"/>
      <c r="AZ40" s="43"/>
      <c r="BA40" s="43"/>
      <c r="BB40" s="43"/>
    </row>
    <row r="41" spans="1:77" ht="14.1" customHeight="1">
      <c r="A41" s="80"/>
      <c r="B41" s="264" t="str">
        <f t="shared" si="13"/>
        <v>SUN</v>
      </c>
      <c r="C41" s="267">
        <f t="shared" si="47"/>
        <v>43996</v>
      </c>
      <c r="D41" s="430">
        <f t="shared" si="21"/>
        <v>35</v>
      </c>
      <c r="E41" s="473"/>
      <c r="F41" s="483"/>
      <c r="G41" s="472"/>
      <c r="H41" s="472"/>
      <c r="I41" s="292" t="str">
        <f t="shared" si="38"/>
        <v/>
      </c>
      <c r="J41" s="293" t="str">
        <f t="shared" si="1"/>
        <v/>
      </c>
      <c r="K41" s="293" t="str">
        <f t="shared" si="39"/>
        <v/>
      </c>
      <c r="L41" s="293" t="str">
        <f t="shared" si="40"/>
        <v/>
      </c>
      <c r="M41" s="266"/>
      <c r="N41" s="291" t="str">
        <f t="shared" si="41"/>
        <v/>
      </c>
      <c r="O41" s="291" t="str">
        <f t="shared" si="42"/>
        <v/>
      </c>
      <c r="P41" s="291" t="str">
        <f t="shared" si="43"/>
        <v/>
      </c>
      <c r="Q41" s="324">
        <f t="shared" si="44"/>
        <v>43996</v>
      </c>
      <c r="R41" s="277">
        <v>35</v>
      </c>
      <c r="S41" s="291">
        <f t="shared" si="45"/>
        <v>100000</v>
      </c>
      <c r="T41" s="291"/>
      <c r="U41" s="291" t="str">
        <f t="shared" si="46"/>
        <v>06/14/20</v>
      </c>
      <c r="V41" s="291" t="str">
        <f t="shared" si="15"/>
        <v/>
      </c>
      <c r="W41" s="291" t="str">
        <f t="shared" si="16"/>
        <v/>
      </c>
      <c r="X41" s="291" t="str">
        <f t="shared" si="30"/>
        <v/>
      </c>
      <c r="Y41" s="291" t="str">
        <f t="shared" si="31"/>
        <v/>
      </c>
      <c r="Z41" s="276">
        <v>35</v>
      </c>
      <c r="AA41" s="432">
        <v>35</v>
      </c>
      <c r="AB41" s="291">
        <v>66.469281074217108</v>
      </c>
      <c r="AC41" s="279">
        <f t="shared" si="17"/>
        <v>1.8226209815093761</v>
      </c>
      <c r="AD41" s="279">
        <f t="shared" ca="1" si="10"/>
        <v>1.6751228202593804</v>
      </c>
      <c r="AE41" s="278">
        <f t="shared" ca="1" si="23"/>
        <v>47.328508699932932</v>
      </c>
      <c r="AF41" s="279">
        <f t="shared" ca="1" si="18"/>
        <v>0.71203581466584076</v>
      </c>
      <c r="AG41" s="278">
        <f t="shared" ca="1" si="11"/>
        <v>54.730613718543786</v>
      </c>
      <c r="AH41" s="278">
        <f t="shared" ca="1" si="12"/>
        <v>40.927509917556002</v>
      </c>
      <c r="AJ41" s="243"/>
      <c r="AK41" s="238"/>
      <c r="AL41" s="238"/>
      <c r="AM41" s="238"/>
      <c r="AN41" s="238"/>
      <c r="AO41" s="238"/>
      <c r="AP41" s="238"/>
      <c r="AQ41" s="238"/>
      <c r="AR41" s="238"/>
      <c r="AS41" s="238"/>
      <c r="AT41" s="238"/>
      <c r="AU41" s="238"/>
      <c r="AV41" s="54"/>
      <c r="AW41" s="54"/>
      <c r="AX41" s="440">
        <v>0.89998951865801957</v>
      </c>
      <c r="AY41" s="54"/>
      <c r="AZ41" s="43"/>
      <c r="BA41" s="43"/>
      <c r="BB41" s="43"/>
    </row>
    <row r="42" spans="1:77" ht="12.75" customHeight="1">
      <c r="A42" s="80"/>
      <c r="B42" s="264" t="str">
        <f t="shared" si="13"/>
        <v>MON</v>
      </c>
      <c r="C42" s="267">
        <f t="shared" si="47"/>
        <v>43997</v>
      </c>
      <c r="D42" s="430">
        <f t="shared" si="21"/>
        <v>36</v>
      </c>
      <c r="E42" s="473"/>
      <c r="F42" s="483"/>
      <c r="G42" s="472"/>
      <c r="H42" s="472"/>
      <c r="I42" s="292" t="str">
        <f t="shared" si="38"/>
        <v/>
      </c>
      <c r="J42" s="293" t="str">
        <f t="shared" si="1"/>
        <v/>
      </c>
      <c r="K42" s="293" t="str">
        <f t="shared" si="39"/>
        <v/>
      </c>
      <c r="L42" s="293" t="str">
        <f t="shared" si="40"/>
        <v/>
      </c>
      <c r="M42" s="266"/>
      <c r="N42" s="291" t="str">
        <f t="shared" si="41"/>
        <v/>
      </c>
      <c r="O42" s="291" t="str">
        <f t="shared" si="42"/>
        <v/>
      </c>
      <c r="P42" s="291" t="str">
        <f t="shared" si="43"/>
        <v/>
      </c>
      <c r="Q42" s="324">
        <f t="shared" si="44"/>
        <v>43997</v>
      </c>
      <c r="R42" s="277">
        <v>36</v>
      </c>
      <c r="S42" s="291" t="e">
        <f t="shared" si="45"/>
        <v>#N/A</v>
      </c>
      <c r="T42" s="291"/>
      <c r="U42" s="291" t="e">
        <f t="shared" si="46"/>
        <v>#N/A</v>
      </c>
      <c r="V42" s="291" t="str">
        <f t="shared" si="15"/>
        <v/>
      </c>
      <c r="W42" s="291" t="str">
        <f t="shared" si="16"/>
        <v/>
      </c>
      <c r="X42" s="291" t="str">
        <f t="shared" si="30"/>
        <v/>
      </c>
      <c r="Y42" s="291" t="str">
        <f t="shared" si="31"/>
        <v/>
      </c>
      <c r="Z42" s="276">
        <v>36</v>
      </c>
      <c r="AA42" s="432">
        <v>36</v>
      </c>
      <c r="AB42" s="291">
        <v>32.863478590911186</v>
      </c>
      <c r="AC42" s="279">
        <f t="shared" si="17"/>
        <v>1.5167135314934239</v>
      </c>
      <c r="AD42" s="279">
        <f t="shared" ca="1" si="10"/>
        <v>1.6794349347727466</v>
      </c>
      <c r="AE42" s="278">
        <f t="shared" ca="1" si="23"/>
        <v>47.800774651343936</v>
      </c>
      <c r="AF42" s="279">
        <f t="shared" ca="1" si="18"/>
        <v>1.4545257136766967</v>
      </c>
      <c r="AG42" s="278">
        <f t="shared" ca="1" si="11"/>
        <v>55.276741328922789</v>
      </c>
      <c r="AH42" s="278">
        <f t="shared" ca="1" si="12"/>
        <v>41.335903715312092</v>
      </c>
      <c r="AJ42" s="50"/>
      <c r="AK42"/>
      <c r="AL42"/>
      <c r="AM42"/>
      <c r="AN42"/>
      <c r="AO42"/>
      <c r="AP42"/>
      <c r="AQ42"/>
      <c r="AR42"/>
      <c r="AS42"/>
      <c r="AT42"/>
      <c r="AU42"/>
      <c r="AV42"/>
      <c r="AW42"/>
      <c r="AX42" s="114">
        <v>0.90355252584604917</v>
      </c>
      <c r="AY42" s="54"/>
      <c r="AZ42" s="55"/>
      <c r="BA42" s="55"/>
      <c r="BB42" s="43"/>
    </row>
    <row r="43" spans="1:77" ht="12.75" customHeight="1">
      <c r="A43" s="80"/>
      <c r="B43" s="264" t="str">
        <f t="shared" si="13"/>
        <v>TUE</v>
      </c>
      <c r="C43" s="267">
        <f t="shared" si="47"/>
        <v>43998</v>
      </c>
      <c r="D43" s="430">
        <f t="shared" si="21"/>
        <v>37</v>
      </c>
      <c r="E43" s="473"/>
      <c r="F43" s="483"/>
      <c r="G43" s="472"/>
      <c r="H43" s="472"/>
      <c r="I43" s="292" t="str">
        <f t="shared" si="38"/>
        <v/>
      </c>
      <c r="J43" s="293" t="str">
        <f t="shared" si="1"/>
        <v/>
      </c>
      <c r="K43" s="293" t="str">
        <f t="shared" si="39"/>
        <v/>
      </c>
      <c r="L43" s="293" t="str">
        <f t="shared" si="40"/>
        <v/>
      </c>
      <c r="M43" s="266"/>
      <c r="N43" s="291" t="str">
        <f t="shared" si="41"/>
        <v/>
      </c>
      <c r="O43" s="291" t="str">
        <f t="shared" si="42"/>
        <v/>
      </c>
      <c r="P43" s="291" t="str">
        <f t="shared" si="43"/>
        <v/>
      </c>
      <c r="Q43" s="324">
        <f t="shared" si="44"/>
        <v>43998</v>
      </c>
      <c r="R43" s="277">
        <v>37</v>
      </c>
      <c r="S43" s="291" t="e">
        <f t="shared" si="45"/>
        <v>#N/A</v>
      </c>
      <c r="T43" s="291"/>
      <c r="U43" s="291" t="e">
        <f t="shared" si="46"/>
        <v>#N/A</v>
      </c>
      <c r="V43" s="291" t="str">
        <f t="shared" si="15"/>
        <v/>
      </c>
      <c r="W43" s="291" t="str">
        <f t="shared" si="16"/>
        <v/>
      </c>
      <c r="X43" s="291" t="str">
        <f t="shared" si="30"/>
        <v/>
      </c>
      <c r="Y43" s="291" t="str">
        <f t="shared" si="31"/>
        <v/>
      </c>
      <c r="Z43" s="276">
        <v>37</v>
      </c>
      <c r="AA43" s="433">
        <v>37</v>
      </c>
      <c r="AB43" s="291">
        <v>52.266571246535577</v>
      </c>
      <c r="AC43" s="279">
        <f t="shared" si="17"/>
        <v>1.7182240107625413</v>
      </c>
      <c r="AD43" s="279">
        <f t="shared" ca="1" si="10"/>
        <v>1.6837470492861129</v>
      </c>
      <c r="AE43" s="278">
        <f t="shared" ca="1" si="23"/>
        <v>48.277753092858426</v>
      </c>
      <c r="AF43" s="279">
        <f t="shared" ca="1" si="18"/>
        <v>0.92368318681433415</v>
      </c>
      <c r="AG43" s="278">
        <f t="shared" ca="1" si="11"/>
        <v>55.828318455514982</v>
      </c>
      <c r="AH43" s="278">
        <f t="shared" ca="1" si="12"/>
        <v>41.748372657008801</v>
      </c>
      <c r="AJ43" s="50"/>
      <c r="AK43"/>
      <c r="AL43"/>
      <c r="AM43"/>
      <c r="AN43"/>
      <c r="AO43"/>
      <c r="AP43"/>
      <c r="AQ43"/>
      <c r="AR43"/>
      <c r="AS43"/>
      <c r="AT43"/>
      <c r="AU43"/>
      <c r="AV43"/>
      <c r="AW43"/>
      <c r="AX43" s="440">
        <v>0.92359394511650428</v>
      </c>
      <c r="AY43" s="54"/>
      <c r="AZ43" s="55"/>
      <c r="BA43" s="55"/>
      <c r="BB43" s="55"/>
    </row>
    <row r="44" spans="1:77" ht="12.75" customHeight="1">
      <c r="A44" s="80"/>
      <c r="B44" s="264" t="str">
        <f t="shared" si="13"/>
        <v>WED</v>
      </c>
      <c r="C44" s="267">
        <f t="shared" si="47"/>
        <v>43999</v>
      </c>
      <c r="D44" s="430">
        <f t="shared" si="21"/>
        <v>38</v>
      </c>
      <c r="E44" s="473"/>
      <c r="F44" s="483"/>
      <c r="G44" s="472"/>
      <c r="H44" s="472"/>
      <c r="I44" s="292" t="str">
        <f t="shared" si="38"/>
        <v/>
      </c>
      <c r="J44" s="293" t="str">
        <f t="shared" si="1"/>
        <v/>
      </c>
      <c r="K44" s="293" t="str">
        <f t="shared" si="39"/>
        <v/>
      </c>
      <c r="L44" s="293" t="str">
        <f t="shared" si="40"/>
        <v/>
      </c>
      <c r="M44" s="266"/>
      <c r="N44" s="291" t="str">
        <f t="shared" si="41"/>
        <v/>
      </c>
      <c r="O44" s="291" t="str">
        <f t="shared" si="42"/>
        <v/>
      </c>
      <c r="P44" s="291" t="str">
        <f t="shared" si="43"/>
        <v/>
      </c>
      <c r="Q44" s="324">
        <f t="shared" si="44"/>
        <v>43999</v>
      </c>
      <c r="R44" s="277">
        <v>38</v>
      </c>
      <c r="S44" s="291" t="e">
        <f t="shared" si="45"/>
        <v>#N/A</v>
      </c>
      <c r="T44" s="291"/>
      <c r="U44" s="291" t="e">
        <f t="shared" si="46"/>
        <v>#N/A</v>
      </c>
      <c r="V44" s="291" t="str">
        <f t="shared" si="15"/>
        <v/>
      </c>
      <c r="W44" s="291" t="str">
        <f t="shared" si="16"/>
        <v/>
      </c>
      <c r="X44" s="291" t="str">
        <f t="shared" si="30"/>
        <v/>
      </c>
      <c r="Y44" s="291" t="str">
        <f t="shared" si="31"/>
        <v/>
      </c>
      <c r="Z44" s="276">
        <v>38</v>
      </c>
      <c r="AA44" s="432">
        <v>38</v>
      </c>
      <c r="AB44" s="291">
        <v>65.678759761524162</v>
      </c>
      <c r="AC44" s="279">
        <f t="shared" si="17"/>
        <v>1.8174249432311798</v>
      </c>
      <c r="AD44" s="279">
        <f t="shared" ca="1" si="10"/>
        <v>1.6880591637994788</v>
      </c>
      <c r="AE44" s="278">
        <f t="shared" ca="1" si="23"/>
        <v>48.759491047902337</v>
      </c>
      <c r="AF44" s="279">
        <f t="shared" ca="1" si="18"/>
        <v>0.74239360220785644</v>
      </c>
      <c r="AG44" s="278">
        <f t="shared" ca="1" si="11"/>
        <v>56.385399476136847</v>
      </c>
      <c r="AH44" s="278">
        <f t="shared" ca="1" si="12"/>
        <v>42.164957406334544</v>
      </c>
      <c r="AJ44" s="50"/>
      <c r="AK44"/>
      <c r="AL44"/>
      <c r="AM44"/>
      <c r="AN44"/>
      <c r="AO44"/>
      <c r="AP44"/>
      <c r="AQ44"/>
      <c r="AR44"/>
      <c r="AS44"/>
      <c r="AT44"/>
      <c r="AU44"/>
      <c r="AV44"/>
      <c r="AW44"/>
      <c r="AX44" s="442">
        <v>0.92368318681433415</v>
      </c>
      <c r="AY44" s="54"/>
      <c r="AZ44" s="55"/>
      <c r="BA44" s="55"/>
      <c r="BB44" s="55"/>
    </row>
    <row r="45" spans="1:77" ht="12.75" customHeight="1">
      <c r="A45" s="80"/>
      <c r="B45" s="264" t="str">
        <f t="shared" si="13"/>
        <v>THU</v>
      </c>
      <c r="C45" s="267">
        <f t="shared" si="47"/>
        <v>44000</v>
      </c>
      <c r="D45" s="430">
        <f t="shared" si="21"/>
        <v>39</v>
      </c>
      <c r="E45" s="473"/>
      <c r="F45" s="483"/>
      <c r="G45" s="472"/>
      <c r="H45" s="472"/>
      <c r="I45" s="292" t="str">
        <f t="shared" si="38"/>
        <v/>
      </c>
      <c r="J45" s="293" t="str">
        <f t="shared" si="1"/>
        <v/>
      </c>
      <c r="K45" s="293" t="str">
        <f t="shared" si="39"/>
        <v/>
      </c>
      <c r="L45" s="293" t="str">
        <f t="shared" si="40"/>
        <v/>
      </c>
      <c r="M45" s="266"/>
      <c r="N45" s="291" t="str">
        <f t="shared" si="41"/>
        <v/>
      </c>
      <c r="O45" s="291" t="str">
        <f t="shared" si="42"/>
        <v/>
      </c>
      <c r="P45" s="291" t="str">
        <f t="shared" si="43"/>
        <v/>
      </c>
      <c r="Q45" s="324">
        <f t="shared" si="44"/>
        <v>44000</v>
      </c>
      <c r="R45" s="277">
        <v>39</v>
      </c>
      <c r="S45" s="291" t="e">
        <f t="shared" si="45"/>
        <v>#N/A</v>
      </c>
      <c r="T45" s="291"/>
      <c r="U45" s="291" t="e">
        <f t="shared" si="46"/>
        <v>#N/A</v>
      </c>
      <c r="V45" s="291" t="str">
        <f t="shared" si="15"/>
        <v/>
      </c>
      <c r="W45" s="291" t="str">
        <f t="shared" si="16"/>
        <v/>
      </c>
      <c r="X45" s="291" t="str">
        <f t="shared" si="30"/>
        <v/>
      </c>
      <c r="Y45" s="291" t="str">
        <f t="shared" si="31"/>
        <v/>
      </c>
      <c r="Z45" s="276">
        <v>39</v>
      </c>
      <c r="AA45" s="433">
        <v>39</v>
      </c>
      <c r="AB45" s="291">
        <v>50.100249385604073</v>
      </c>
      <c r="AC45" s="279">
        <f t="shared" si="17"/>
        <v>1.6998398876740752</v>
      </c>
      <c r="AD45" s="279">
        <f t="shared" ca="1" si="10"/>
        <v>1.6923712783128451</v>
      </c>
      <c r="AE45" s="278">
        <f t="shared" ca="1" si="23"/>
        <v>49.246036009123259</v>
      </c>
      <c r="AF45" s="279">
        <f t="shared" ca="1" si="18"/>
        <v>0.98294991767593343</v>
      </c>
      <c r="AG45" s="278">
        <f t="shared" ca="1" si="11"/>
        <v>56.948039311212064</v>
      </c>
      <c r="AH45" s="278">
        <f t="shared" ca="1" si="12"/>
        <v>42.585699032738972</v>
      </c>
      <c r="AJ45" s="50"/>
      <c r="AK45"/>
      <c r="AL45"/>
      <c r="AM45"/>
      <c r="AN45"/>
      <c r="AO45"/>
      <c r="AP45"/>
      <c r="AQ45"/>
      <c r="AR45"/>
      <c r="AS45"/>
      <c r="AT45"/>
      <c r="AU45"/>
      <c r="AV45"/>
      <c r="AW45"/>
      <c r="AX45" s="440">
        <v>0.93073744582488749</v>
      </c>
      <c r="AY45" s="54"/>
      <c r="AZ45" s="55"/>
      <c r="BA45" s="55"/>
      <c r="BB45" s="55"/>
    </row>
    <row r="46" spans="1:77" ht="12.75" customHeight="1">
      <c r="A46" s="80"/>
      <c r="B46" s="264" t="str">
        <f t="shared" si="13"/>
        <v>FRI</v>
      </c>
      <c r="C46" s="267">
        <f t="shared" si="47"/>
        <v>44001</v>
      </c>
      <c r="D46" s="430">
        <f t="shared" si="21"/>
        <v>40</v>
      </c>
      <c r="E46" s="473"/>
      <c r="F46" s="483"/>
      <c r="G46" s="472"/>
      <c r="H46" s="472"/>
      <c r="I46" s="292" t="str">
        <f t="shared" si="38"/>
        <v/>
      </c>
      <c r="J46" s="293" t="str">
        <f t="shared" si="1"/>
        <v/>
      </c>
      <c r="K46" s="293" t="str">
        <f t="shared" si="39"/>
        <v/>
      </c>
      <c r="L46" s="293" t="str">
        <f t="shared" si="40"/>
        <v/>
      </c>
      <c r="M46" s="266"/>
      <c r="N46" s="291" t="str">
        <f t="shared" si="41"/>
        <v/>
      </c>
      <c r="O46" s="291" t="str">
        <f t="shared" si="42"/>
        <v/>
      </c>
      <c r="P46" s="291" t="str">
        <f t="shared" si="43"/>
        <v/>
      </c>
      <c r="Q46" s="324">
        <f t="shared" si="44"/>
        <v>44001</v>
      </c>
      <c r="R46" s="277">
        <v>40</v>
      </c>
      <c r="S46" s="291" t="e">
        <f t="shared" si="45"/>
        <v>#N/A</v>
      </c>
      <c r="T46" s="291"/>
      <c r="U46" s="291" t="e">
        <f t="shared" si="46"/>
        <v>#N/A</v>
      </c>
      <c r="V46" s="291" t="str">
        <f t="shared" si="15"/>
        <v/>
      </c>
      <c r="W46" s="291" t="str">
        <f t="shared" si="16"/>
        <v/>
      </c>
      <c r="X46" s="291" t="str">
        <f t="shared" si="30"/>
        <v/>
      </c>
      <c r="Y46" s="291" t="str">
        <f t="shared" si="31"/>
        <v/>
      </c>
      <c r="Z46" s="276">
        <v>40</v>
      </c>
      <c r="AA46" s="433">
        <v>40</v>
      </c>
      <c r="AB46" s="291">
        <v>33.53125</v>
      </c>
      <c r="AC46" s="279">
        <f t="shared" si="17"/>
        <v>1.525449743646045</v>
      </c>
      <c r="AD46" s="279">
        <f t="shared" ca="1" si="10"/>
        <v>1.6966833928262113</v>
      </c>
      <c r="AE46" s="278">
        <f t="shared" ca="1" si="23"/>
        <v>49.737435943072626</v>
      </c>
      <c r="AF46" s="279">
        <f t="shared" ca="1" si="18"/>
        <v>1.483315890194151</v>
      </c>
      <c r="AG46" s="278">
        <f t="shared" ca="1" si="11"/>
        <v>57.516293429185971</v>
      </c>
      <c r="AH46" s="278">
        <f t="shared" ca="1" si="12"/>
        <v>43.010639015481928</v>
      </c>
      <c r="AJ46" s="50"/>
      <c r="AK46"/>
      <c r="AL46"/>
      <c r="AM46"/>
      <c r="AN46"/>
      <c r="AO46"/>
      <c r="AP46"/>
      <c r="AQ46"/>
      <c r="AR46"/>
      <c r="AS46"/>
      <c r="AT46"/>
      <c r="AU46"/>
      <c r="AV46"/>
      <c r="AW46"/>
      <c r="AX46" s="440">
        <v>0.93861665052715959</v>
      </c>
      <c r="AY46" s="54"/>
      <c r="AZ46" s="55"/>
      <c r="BA46" s="55"/>
      <c r="BB46" s="55"/>
    </row>
    <row r="47" spans="1:77" ht="12.75" customHeight="1">
      <c r="A47" s="80"/>
      <c r="B47" s="264" t="str">
        <f t="shared" si="13"/>
        <v>SAT</v>
      </c>
      <c r="C47" s="267">
        <f t="shared" si="47"/>
        <v>44002</v>
      </c>
      <c r="D47" s="430">
        <f t="shared" si="21"/>
        <v>41</v>
      </c>
      <c r="E47" s="473"/>
      <c r="F47" s="483"/>
      <c r="G47" s="472"/>
      <c r="H47" s="472"/>
      <c r="I47" s="292" t="str">
        <f t="shared" si="38"/>
        <v/>
      </c>
      <c r="J47" s="293" t="str">
        <f t="shared" si="1"/>
        <v/>
      </c>
      <c r="K47" s="293" t="str">
        <f t="shared" si="39"/>
        <v/>
      </c>
      <c r="L47" s="293" t="str">
        <f t="shared" si="40"/>
        <v/>
      </c>
      <c r="M47" s="266"/>
      <c r="N47" s="291" t="str">
        <f t="shared" si="41"/>
        <v/>
      </c>
      <c r="O47" s="291" t="str">
        <f t="shared" si="42"/>
        <v/>
      </c>
      <c r="P47" s="291" t="str">
        <f t="shared" si="43"/>
        <v/>
      </c>
      <c r="Q47" s="324">
        <f>C47</f>
        <v>44002</v>
      </c>
      <c r="R47" s="277">
        <v>41</v>
      </c>
      <c r="S47" s="291" t="e">
        <f t="shared" si="45"/>
        <v>#N/A</v>
      </c>
      <c r="T47" s="291"/>
      <c r="U47" s="291" t="e">
        <f t="shared" si="46"/>
        <v>#N/A</v>
      </c>
      <c r="V47" s="291" t="str">
        <f t="shared" si="15"/>
        <v/>
      </c>
      <c r="W47" s="291" t="str">
        <f t="shared" si="16"/>
        <v/>
      </c>
      <c r="X47" s="291" t="str">
        <f t="shared" si="30"/>
        <v/>
      </c>
      <c r="Y47" s="291" t="str">
        <f t="shared" si="31"/>
        <v/>
      </c>
      <c r="Z47" s="276">
        <v>41</v>
      </c>
      <c r="AA47" s="433">
        <v>41</v>
      </c>
      <c r="AB47" s="291">
        <v>53.971976221944786</v>
      </c>
      <c r="AC47" s="279">
        <f t="shared" si="17"/>
        <v>1.7321683203548657</v>
      </c>
      <c r="AD47" s="279">
        <f t="shared" ca="1" si="10"/>
        <v>1.7009955073395775</v>
      </c>
      <c r="AE47" s="279">
        <f t="shared" ca="1" si="23"/>
        <v>50.233739294934452</v>
      </c>
      <c r="AF47" s="279">
        <f t="shared" ca="1" si="18"/>
        <v>0.93073744582488749</v>
      </c>
      <c r="AG47" s="278">
        <f t="shared" ca="1" si="11"/>
        <v>58.090217851993877</v>
      </c>
      <c r="AH47" s="278">
        <f t="shared" ca="1" si="12"/>
        <v>43.439819247722582</v>
      </c>
      <c r="AJ47" s="50"/>
      <c r="AK47"/>
      <c r="AL47"/>
      <c r="AM47"/>
      <c r="AN47"/>
      <c r="AO47"/>
      <c r="AP47"/>
      <c r="AQ47"/>
      <c r="AR47"/>
      <c r="AS47"/>
      <c r="AT47"/>
      <c r="AU47"/>
      <c r="AV47"/>
      <c r="AW47"/>
      <c r="AX47" s="441">
        <v>0.9389849398969613</v>
      </c>
      <c r="AY47" s="54"/>
      <c r="AZ47" s="55"/>
      <c r="BA47" s="55"/>
      <c r="BB47" s="55"/>
    </row>
    <row r="48" spans="1:77" ht="12.75" customHeight="1">
      <c r="A48" s="80"/>
      <c r="B48" s="264" t="str">
        <f t="shared" si="13"/>
        <v>SUN</v>
      </c>
      <c r="C48" s="267">
        <f t="shared" si="47"/>
        <v>44003</v>
      </c>
      <c r="D48" s="430">
        <f t="shared" si="21"/>
        <v>42</v>
      </c>
      <c r="E48" s="473"/>
      <c r="F48" s="483"/>
      <c r="G48" s="472"/>
      <c r="H48" s="472"/>
      <c r="I48" s="292" t="str">
        <f t="shared" si="38"/>
        <v/>
      </c>
      <c r="J48" s="293" t="str">
        <f t="shared" si="1"/>
        <v/>
      </c>
      <c r="K48" s="293" t="str">
        <f t="shared" si="39"/>
        <v/>
      </c>
      <c r="L48" s="293" t="str">
        <f t="shared" si="40"/>
        <v/>
      </c>
      <c r="M48" s="266"/>
      <c r="N48" s="291" t="str">
        <f t="shared" si="41"/>
        <v/>
      </c>
      <c r="O48" s="291" t="str">
        <f t="shared" si="42"/>
        <v/>
      </c>
      <c r="P48" s="291" t="str">
        <f t="shared" si="43"/>
        <v/>
      </c>
      <c r="Q48" s="324">
        <f t="shared" ref="Q48:Q56" si="48">C48</f>
        <v>44003</v>
      </c>
      <c r="R48" s="277">
        <v>42</v>
      </c>
      <c r="S48" s="291">
        <f t="shared" si="45"/>
        <v>100000</v>
      </c>
      <c r="T48" s="291"/>
      <c r="U48" s="291" t="str">
        <f t="shared" si="46"/>
        <v>06/21/20</v>
      </c>
      <c r="V48" s="291" t="str">
        <f t="shared" si="15"/>
        <v/>
      </c>
      <c r="W48" s="291" t="str">
        <f t="shared" si="16"/>
        <v/>
      </c>
      <c r="X48" s="291" t="str">
        <f t="shared" si="30"/>
        <v/>
      </c>
      <c r="Y48" s="291" t="str">
        <f t="shared" si="31"/>
        <v/>
      </c>
      <c r="Z48" s="276">
        <v>42</v>
      </c>
      <c r="AA48" s="432">
        <v>42</v>
      </c>
      <c r="AB48" s="291">
        <v>65.422647511548305</v>
      </c>
      <c r="AC48" s="279">
        <f t="shared" si="17"/>
        <v>1.8157281150930129</v>
      </c>
      <c r="AD48" s="279">
        <f t="shared" ca="1" si="10"/>
        <v>1.7053076218529435</v>
      </c>
      <c r="AE48" s="279">
        <f t="shared" ca="1" si="23"/>
        <v>50.734994993301456</v>
      </c>
      <c r="AF48" s="279">
        <f t="shared" ca="1" si="18"/>
        <v>0.77549590123734735</v>
      </c>
      <c r="AG48" s="278">
        <f t="shared" ca="1" si="11"/>
        <v>58.669869160584177</v>
      </c>
      <c r="AH48" s="278">
        <f t="shared" ca="1" si="12"/>
        <v>43.87328204064967</v>
      </c>
      <c r="AJ48" s="50"/>
      <c r="AK48" s="55"/>
      <c r="AL48" s="55"/>
      <c r="AM48" s="55"/>
      <c r="AN48" s="55"/>
      <c r="AO48" s="55"/>
      <c r="AP48" s="55"/>
      <c r="AQ48" s="55"/>
      <c r="AR48" s="55"/>
      <c r="AS48" s="55"/>
      <c r="AT48" s="55"/>
      <c r="AU48" s="55"/>
      <c r="AV48" s="55"/>
      <c r="AW48" s="54"/>
      <c r="AX48" s="440">
        <v>0.95300535250682294</v>
      </c>
      <c r="AY48" s="54"/>
      <c r="AZ48" s="55"/>
      <c r="BA48" s="55"/>
      <c r="BB48" s="55"/>
    </row>
    <row r="49" spans="1:54" ht="12.75" customHeight="1">
      <c r="A49" s="80"/>
      <c r="B49" s="264" t="str">
        <f t="shared" si="13"/>
        <v>MON</v>
      </c>
      <c r="C49" s="267">
        <f t="shared" si="47"/>
        <v>44004</v>
      </c>
      <c r="D49" s="430">
        <f t="shared" si="21"/>
        <v>43</v>
      </c>
      <c r="E49" s="473"/>
      <c r="F49" s="483"/>
      <c r="G49" s="472"/>
      <c r="H49" s="472"/>
      <c r="I49" s="292" t="str">
        <f t="shared" si="38"/>
        <v/>
      </c>
      <c r="J49" s="293" t="str">
        <f t="shared" si="1"/>
        <v/>
      </c>
      <c r="K49" s="293" t="str">
        <f t="shared" si="39"/>
        <v/>
      </c>
      <c r="L49" s="293" t="str">
        <f t="shared" si="40"/>
        <v/>
      </c>
      <c r="M49" s="266"/>
      <c r="N49" s="291" t="str">
        <f t="shared" si="41"/>
        <v/>
      </c>
      <c r="O49" s="291" t="str">
        <f t="shared" si="42"/>
        <v/>
      </c>
      <c r="P49" s="291" t="str">
        <f t="shared" si="43"/>
        <v/>
      </c>
      <c r="Q49" s="324">
        <f t="shared" si="48"/>
        <v>44004</v>
      </c>
      <c r="R49" s="277">
        <v>43</v>
      </c>
      <c r="S49" s="291" t="e">
        <f t="shared" si="45"/>
        <v>#N/A</v>
      </c>
      <c r="T49" s="291"/>
      <c r="U49" s="291" t="e">
        <f t="shared" si="46"/>
        <v>#N/A</v>
      </c>
      <c r="V49" s="291" t="str">
        <f t="shared" si="15"/>
        <v/>
      </c>
      <c r="W49" s="291" t="str">
        <f t="shared" si="16"/>
        <v/>
      </c>
      <c r="X49" s="291" t="str">
        <f t="shared" si="30"/>
        <v/>
      </c>
      <c r="Y49" s="291" t="str">
        <f t="shared" si="31"/>
        <v/>
      </c>
      <c r="Z49" s="276">
        <v>43</v>
      </c>
      <c r="AA49" s="432">
        <v>43</v>
      </c>
      <c r="AB49" s="291">
        <v>66.883488281077888</v>
      </c>
      <c r="AC49" s="279">
        <f t="shared" si="17"/>
        <v>1.8253189154733822</v>
      </c>
      <c r="AD49" s="279">
        <f t="shared" ca="1" si="10"/>
        <v>1.7096197363663097</v>
      </c>
      <c r="AE49" s="279">
        <f t="shared" ca="1" si="23"/>
        <v>51.24125245499868</v>
      </c>
      <c r="AF49" s="279">
        <f t="shared" ca="1" si="18"/>
        <v>0.76612709312733951</v>
      </c>
      <c r="AG49" s="278">
        <f t="shared" ca="1" si="11"/>
        <v>59.255304500496344</v>
      </c>
      <c r="AH49" s="278">
        <f t="shared" ca="1" si="12"/>
        <v>44.311070127652705</v>
      </c>
      <c r="AJ49" s="50"/>
      <c r="AK49" s="55"/>
      <c r="AL49" s="55"/>
      <c r="AM49" s="55"/>
      <c r="AN49" s="55"/>
      <c r="AO49" s="55"/>
      <c r="AP49" s="55"/>
      <c r="AQ49" s="55"/>
      <c r="AR49" s="55"/>
      <c r="AS49" s="55"/>
      <c r="AT49" s="55"/>
      <c r="AU49" s="55"/>
      <c r="AV49" s="55"/>
      <c r="AW49" s="54"/>
      <c r="AX49" s="440">
        <v>0.95350165137281384</v>
      </c>
      <c r="AY49" s="54"/>
      <c r="AZ49" s="55"/>
      <c r="BA49" s="55"/>
      <c r="BB49" s="55"/>
    </row>
    <row r="50" spans="1:54" ht="12.75" customHeight="1">
      <c r="A50" s="80"/>
      <c r="B50" s="264" t="str">
        <f t="shared" si="13"/>
        <v>TUE</v>
      </c>
      <c r="C50" s="267">
        <f t="shared" si="47"/>
        <v>44005</v>
      </c>
      <c r="D50" s="430">
        <f t="shared" si="21"/>
        <v>44</v>
      </c>
      <c r="E50" s="473"/>
      <c r="F50" s="483"/>
      <c r="G50" s="472"/>
      <c r="H50" s="472"/>
      <c r="I50" s="292" t="str">
        <f t="shared" si="38"/>
        <v/>
      </c>
      <c r="J50" s="293" t="str">
        <f t="shared" si="1"/>
        <v/>
      </c>
      <c r="K50" s="293" t="str">
        <f t="shared" si="39"/>
        <v/>
      </c>
      <c r="L50" s="293" t="str">
        <f t="shared" si="40"/>
        <v/>
      </c>
      <c r="M50" s="266"/>
      <c r="N50" s="291" t="str">
        <f t="shared" si="41"/>
        <v/>
      </c>
      <c r="O50" s="291" t="str">
        <f t="shared" si="42"/>
        <v/>
      </c>
      <c r="P50" s="291" t="str">
        <f t="shared" si="43"/>
        <v/>
      </c>
      <c r="Q50" s="324">
        <f t="shared" si="48"/>
        <v>44005</v>
      </c>
      <c r="R50" s="277">
        <v>44</v>
      </c>
      <c r="S50" s="291" t="e">
        <f t="shared" si="45"/>
        <v>#N/A</v>
      </c>
      <c r="T50" s="291"/>
      <c r="U50" s="291" t="e">
        <f t="shared" si="46"/>
        <v>#N/A</v>
      </c>
      <c r="V50" s="291" t="str">
        <f t="shared" si="15"/>
        <v/>
      </c>
      <c r="W50" s="291" t="str">
        <f t="shared" si="16"/>
        <v/>
      </c>
      <c r="X50" s="291" t="str">
        <f t="shared" si="30"/>
        <v/>
      </c>
      <c r="Y50" s="291" t="str">
        <f t="shared" si="31"/>
        <v/>
      </c>
      <c r="Z50" s="276">
        <v>44</v>
      </c>
      <c r="AA50" s="432">
        <v>44</v>
      </c>
      <c r="AB50" s="291">
        <v>65.354728006704647</v>
      </c>
      <c r="AC50" s="279">
        <f t="shared" si="17"/>
        <v>1.8152770115484991</v>
      </c>
      <c r="AD50" s="279">
        <f t="shared" ca="1" si="10"/>
        <v>1.7139318508796759</v>
      </c>
      <c r="AE50" s="279">
        <f t="shared" ca="1" si="23"/>
        <v>51.752561589955342</v>
      </c>
      <c r="AF50" s="279">
        <f t="shared" ca="1" si="18"/>
        <v>0.79187173091204854</v>
      </c>
      <c r="AG50" s="278">
        <f t="shared" ca="1" si="11"/>
        <v>59.846581587494768</v>
      </c>
      <c r="AH50" s="278">
        <f t="shared" ca="1" si="12"/>
        <v>44.753226668534907</v>
      </c>
      <c r="AJ50" s="50"/>
      <c r="AK50" s="55"/>
      <c r="AL50" s="55"/>
      <c r="AM50" s="55"/>
      <c r="AN50" s="55"/>
      <c r="AO50" s="55"/>
      <c r="AP50" s="55"/>
      <c r="AQ50" s="55"/>
      <c r="AR50" s="55"/>
      <c r="AS50" s="55"/>
      <c r="AT50" s="55"/>
      <c r="AU50" s="55"/>
      <c r="AV50" s="55"/>
      <c r="AW50" s="43"/>
      <c r="AX50" s="440">
        <v>0.95941814413786719</v>
      </c>
      <c r="AY50" s="43"/>
      <c r="AZ50" s="55"/>
      <c r="BA50" s="55"/>
      <c r="BB50" s="55"/>
    </row>
    <row r="51" spans="1:54" ht="12.75" customHeight="1">
      <c r="A51" s="80"/>
      <c r="B51" s="264" t="str">
        <f t="shared" si="13"/>
        <v>WED</v>
      </c>
      <c r="C51" s="267">
        <f t="shared" si="47"/>
        <v>44006</v>
      </c>
      <c r="D51" s="430">
        <f t="shared" si="21"/>
        <v>45</v>
      </c>
      <c r="E51" s="473"/>
      <c r="F51" s="483"/>
      <c r="G51" s="472"/>
      <c r="H51" s="472"/>
      <c r="I51" s="292" t="str">
        <f t="shared" si="38"/>
        <v/>
      </c>
      <c r="J51" s="293" t="str">
        <f t="shared" si="1"/>
        <v/>
      </c>
      <c r="K51" s="293" t="str">
        <f t="shared" si="39"/>
        <v/>
      </c>
      <c r="L51" s="293" t="str">
        <f t="shared" si="40"/>
        <v/>
      </c>
      <c r="M51" s="266"/>
      <c r="N51" s="291" t="str">
        <f t="shared" si="41"/>
        <v/>
      </c>
      <c r="O51" s="291" t="str">
        <f t="shared" si="42"/>
        <v/>
      </c>
      <c r="P51" s="291" t="str">
        <f t="shared" si="43"/>
        <v/>
      </c>
      <c r="Q51" s="324">
        <f t="shared" si="48"/>
        <v>44006</v>
      </c>
      <c r="R51" s="277">
        <v>45</v>
      </c>
      <c r="S51" s="291" t="e">
        <f t="shared" si="45"/>
        <v>#N/A</v>
      </c>
      <c r="T51" s="291"/>
      <c r="U51" s="291" t="e">
        <f t="shared" si="46"/>
        <v>#N/A</v>
      </c>
      <c r="V51" s="291" t="str">
        <f t="shared" si="15"/>
        <v/>
      </c>
      <c r="W51" s="291" t="str">
        <f t="shared" si="16"/>
        <v/>
      </c>
      <c r="X51" s="291" t="str">
        <f t="shared" si="30"/>
        <v/>
      </c>
      <c r="Y51" s="291" t="str">
        <f t="shared" si="31"/>
        <v/>
      </c>
      <c r="Z51" s="276">
        <v>45</v>
      </c>
      <c r="AA51" s="433">
        <v>45</v>
      </c>
      <c r="AB51" s="291">
        <v>61.836601342771388</v>
      </c>
      <c r="AC51" s="279">
        <f t="shared" si="17"/>
        <v>1.7912456119154123</v>
      </c>
      <c r="AD51" s="279">
        <f t="shared" ca="1" si="10"/>
        <v>1.7182439653930421</v>
      </c>
      <c r="AE51" s="279">
        <f t="shared" ca="1" si="23"/>
        <v>52.268972806125149</v>
      </c>
      <c r="AF51" s="279">
        <f t="shared" ca="1" si="18"/>
        <v>0.84527564049629511</v>
      </c>
      <c r="AG51" s="278">
        <f t="shared" ca="1" si="11"/>
        <v>60.443758713258568</v>
      </c>
      <c r="AH51" s="278">
        <f t="shared" ca="1" si="12"/>
        <v>45.199795253768123</v>
      </c>
      <c r="AJ51" s="50"/>
      <c r="AK51" s="55"/>
      <c r="AL51" s="55"/>
      <c r="AM51" s="55"/>
      <c r="AN51" s="55"/>
      <c r="AO51" s="55"/>
      <c r="AP51" s="55"/>
      <c r="AQ51" s="55"/>
      <c r="AR51" s="55"/>
      <c r="AS51" s="55"/>
      <c r="AT51" s="55"/>
      <c r="AU51" s="55"/>
      <c r="AV51" s="55"/>
      <c r="AW51" s="43"/>
      <c r="AX51" s="440">
        <v>0.97062028434849867</v>
      </c>
      <c r="AY51" s="43"/>
      <c r="AZ51" s="55"/>
      <c r="BA51" s="55"/>
      <c r="BB51" s="55"/>
    </row>
    <row r="52" spans="1:54" ht="12.75" customHeight="1">
      <c r="A52" s="80"/>
      <c r="B52" s="264" t="str">
        <f t="shared" si="13"/>
        <v>THU</v>
      </c>
      <c r="C52" s="267">
        <f t="shared" si="47"/>
        <v>44007</v>
      </c>
      <c r="D52" s="430">
        <f t="shared" si="21"/>
        <v>46</v>
      </c>
      <c r="E52" s="473"/>
      <c r="F52" s="483"/>
      <c r="G52" s="472"/>
      <c r="H52" s="472"/>
      <c r="I52" s="292" t="str">
        <f t="shared" si="38"/>
        <v/>
      </c>
      <c r="J52" s="293" t="str">
        <f t="shared" si="1"/>
        <v/>
      </c>
      <c r="K52" s="293" t="str">
        <f t="shared" si="39"/>
        <v/>
      </c>
      <c r="L52" s="293" t="str">
        <f t="shared" si="40"/>
        <v/>
      </c>
      <c r="M52" s="266"/>
      <c r="N52" s="291" t="str">
        <f t="shared" si="41"/>
        <v/>
      </c>
      <c r="O52" s="291" t="str">
        <f t="shared" si="42"/>
        <v/>
      </c>
      <c r="P52" s="291" t="str">
        <f t="shared" si="43"/>
        <v/>
      </c>
      <c r="Q52" s="324">
        <f t="shared" si="48"/>
        <v>44007</v>
      </c>
      <c r="R52" s="277">
        <v>46</v>
      </c>
      <c r="S52" s="291" t="e">
        <f t="shared" si="45"/>
        <v>#N/A</v>
      </c>
      <c r="T52" s="291"/>
      <c r="U52" s="291" t="e">
        <f t="shared" si="46"/>
        <v>#N/A</v>
      </c>
      <c r="V52" s="291" t="str">
        <f t="shared" si="15"/>
        <v/>
      </c>
      <c r="W52" s="291" t="str">
        <f t="shared" si="16"/>
        <v/>
      </c>
      <c r="X52" s="291" t="str">
        <f t="shared" si="30"/>
        <v/>
      </c>
      <c r="Y52" s="291" t="str">
        <f t="shared" si="31"/>
        <v/>
      </c>
      <c r="Z52" s="276">
        <v>46</v>
      </c>
      <c r="AA52" s="432">
        <v>46</v>
      </c>
      <c r="AB52" s="291">
        <v>33.329348238638985</v>
      </c>
      <c r="AC52" s="279">
        <f t="shared" si="17"/>
        <v>1.5228268210373619</v>
      </c>
      <c r="AD52" s="279">
        <f t="shared" ca="1" si="10"/>
        <v>1.7225560799064081</v>
      </c>
      <c r="AE52" s="279">
        <f t="shared" ca="1" si="23"/>
        <v>52.790537014455985</v>
      </c>
      <c r="AF52" s="279">
        <f t="shared" ca="1" si="18"/>
        <v>1.5839054708323244</v>
      </c>
      <c r="AG52" s="278">
        <f t="shared" ca="1" si="11"/>
        <v>61.046894751128562</v>
      </c>
      <c r="AH52" s="278">
        <f t="shared" ca="1" si="12"/>
        <v>45.650819908790325</v>
      </c>
      <c r="AJ52" s="50"/>
      <c r="AK52" s="55"/>
      <c r="AL52" s="55"/>
      <c r="AM52" s="55"/>
      <c r="AN52" s="55"/>
      <c r="AO52" s="55"/>
      <c r="AP52" s="55"/>
      <c r="AQ52" s="55"/>
      <c r="AR52" s="55"/>
      <c r="AS52" s="55"/>
      <c r="AT52" s="55"/>
      <c r="AU52" s="55"/>
      <c r="AV52" s="55"/>
      <c r="AW52" s="43"/>
      <c r="AX52" s="441">
        <v>0.97397353338251846</v>
      </c>
      <c r="AY52" s="43"/>
      <c r="AZ52" s="55"/>
      <c r="BA52" s="55"/>
      <c r="BB52" s="55"/>
    </row>
    <row r="53" spans="1:54" ht="12.75" customHeight="1">
      <c r="A53" s="80"/>
      <c r="B53" s="264" t="str">
        <f t="shared" si="13"/>
        <v>FRI</v>
      </c>
      <c r="C53" s="267">
        <f t="shared" si="47"/>
        <v>44008</v>
      </c>
      <c r="D53" s="430">
        <f t="shared" si="21"/>
        <v>47</v>
      </c>
      <c r="E53" s="473"/>
      <c r="F53" s="483"/>
      <c r="G53" s="472"/>
      <c r="H53" s="472"/>
      <c r="I53" s="292" t="str">
        <f t="shared" si="38"/>
        <v/>
      </c>
      <c r="J53" s="293" t="str">
        <f t="shared" si="1"/>
        <v/>
      </c>
      <c r="K53" s="293" t="str">
        <f t="shared" si="39"/>
        <v/>
      </c>
      <c r="L53" s="293" t="str">
        <f t="shared" si="40"/>
        <v/>
      </c>
      <c r="M53" s="266"/>
      <c r="N53" s="291" t="str">
        <f t="shared" si="41"/>
        <v/>
      </c>
      <c r="O53" s="291" t="str">
        <f t="shared" si="42"/>
        <v/>
      </c>
      <c r="P53" s="291" t="str">
        <f t="shared" si="43"/>
        <v/>
      </c>
      <c r="Q53" s="324">
        <f t="shared" si="48"/>
        <v>44008</v>
      </c>
      <c r="R53" s="277">
        <v>47</v>
      </c>
      <c r="S53" s="291" t="e">
        <f t="shared" si="45"/>
        <v>#N/A</v>
      </c>
      <c r="T53" s="291"/>
      <c r="U53" s="291" t="e">
        <f t="shared" si="46"/>
        <v>#N/A</v>
      </c>
      <c r="V53" s="291" t="str">
        <f t="shared" si="15"/>
        <v/>
      </c>
      <c r="W53" s="291" t="str">
        <f t="shared" si="16"/>
        <v/>
      </c>
      <c r="X53" s="291" t="str">
        <f t="shared" si="30"/>
        <v/>
      </c>
      <c r="Y53" s="291" t="str">
        <f t="shared" si="31"/>
        <v/>
      </c>
      <c r="Z53" s="276">
        <v>47</v>
      </c>
      <c r="AA53" s="433">
        <v>47</v>
      </c>
      <c r="AB53" s="291">
        <v>60.833214058169467</v>
      </c>
      <c r="AC53" s="279">
        <f t="shared" si="17"/>
        <v>1.78414076255618</v>
      </c>
      <c r="AD53" s="279">
        <f t="shared" ca="1" si="10"/>
        <v>1.7268681944197743</v>
      </c>
      <c r="AE53" s="279">
        <f t="shared" ca="1" si="23"/>
        <v>53.317305633908902</v>
      </c>
      <c r="AF53" s="279">
        <f t="shared" ca="1" si="18"/>
        <v>0.87645057818129157</v>
      </c>
      <c r="AG53" s="278">
        <f t="shared" ca="1" si="11"/>
        <v>61.656049161911191</v>
      </c>
      <c r="AH53" s="278">
        <f t="shared" ca="1" si="12"/>
        <v>46.106345098345834</v>
      </c>
      <c r="AJ53" s="50"/>
      <c r="AK53" s="55"/>
      <c r="AL53" s="55"/>
      <c r="AM53" s="55"/>
      <c r="AN53" s="55"/>
      <c r="AO53" s="55"/>
      <c r="AP53" s="55"/>
      <c r="AQ53" s="55"/>
      <c r="AR53" s="55"/>
      <c r="AS53" s="55"/>
      <c r="AT53" s="55"/>
      <c r="AU53" s="55"/>
      <c r="AV53" s="55"/>
      <c r="AW53" s="43"/>
      <c r="AX53" s="440">
        <v>0.98294991767593343</v>
      </c>
      <c r="AY53" s="43"/>
      <c r="AZ53" s="55"/>
      <c r="BA53" s="55"/>
      <c r="BB53" s="55"/>
    </row>
    <row r="54" spans="1:54" ht="12.75" customHeight="1">
      <c r="A54" s="80"/>
      <c r="B54" s="264" t="str">
        <f t="shared" si="13"/>
        <v>SAT</v>
      </c>
      <c r="C54" s="267">
        <f t="shared" si="47"/>
        <v>44009</v>
      </c>
      <c r="D54" s="430">
        <f t="shared" si="21"/>
        <v>48</v>
      </c>
      <c r="E54" s="473"/>
      <c r="F54" s="483"/>
      <c r="G54" s="472"/>
      <c r="H54" s="472"/>
      <c r="I54" s="292" t="str">
        <f t="shared" si="38"/>
        <v/>
      </c>
      <c r="J54" s="293" t="str">
        <f t="shared" si="1"/>
        <v/>
      </c>
      <c r="K54" s="293" t="str">
        <f t="shared" si="39"/>
        <v/>
      </c>
      <c r="L54" s="293" t="str">
        <f t="shared" si="40"/>
        <v/>
      </c>
      <c r="M54" s="266"/>
      <c r="N54" s="291" t="str">
        <f t="shared" si="41"/>
        <v/>
      </c>
      <c r="O54" s="291" t="str">
        <f t="shared" si="42"/>
        <v/>
      </c>
      <c r="P54" s="291" t="str">
        <f t="shared" si="43"/>
        <v/>
      </c>
      <c r="Q54" s="324">
        <f t="shared" si="48"/>
        <v>44009</v>
      </c>
      <c r="R54" s="277">
        <v>48</v>
      </c>
      <c r="S54" s="291" t="e">
        <f t="shared" si="45"/>
        <v>#N/A</v>
      </c>
      <c r="T54" s="291"/>
      <c r="U54" s="291" t="e">
        <f t="shared" si="46"/>
        <v>#N/A</v>
      </c>
      <c r="V54" s="291" t="str">
        <f t="shared" si="15"/>
        <v/>
      </c>
      <c r="W54" s="291" t="str">
        <f t="shared" si="16"/>
        <v/>
      </c>
      <c r="X54" s="291" t="str">
        <f t="shared" si="30"/>
        <v/>
      </c>
      <c r="Y54" s="291" t="str">
        <f t="shared" si="31"/>
        <v/>
      </c>
      <c r="Z54" s="276">
        <v>48</v>
      </c>
      <c r="AA54" s="433">
        <v>48</v>
      </c>
      <c r="AB54" s="291">
        <v>57.348449701905203</v>
      </c>
      <c r="AC54" s="279">
        <f t="shared" si="17"/>
        <v>1.758521682132522</v>
      </c>
      <c r="AD54" s="279">
        <f t="shared" ca="1" si="10"/>
        <v>1.7311803089331406</v>
      </c>
      <c r="AE54" s="279">
        <f t="shared" ca="1" si="23"/>
        <v>53.849330596527366</v>
      </c>
      <c r="AF54" s="279">
        <f t="shared" ca="1" si="18"/>
        <v>0.9389849398969613</v>
      </c>
      <c r="AG54" s="278">
        <f t="shared" ca="1" si="11"/>
        <v>62.271281999740609</v>
      </c>
      <c r="AH54" s="278">
        <f t="shared" ca="1" si="12"/>
        <v>46.566415730868968</v>
      </c>
      <c r="AJ54" s="50"/>
      <c r="AK54" s="55"/>
      <c r="AL54" s="55"/>
      <c r="AM54" s="55"/>
      <c r="AN54" s="55"/>
      <c r="AO54" s="55"/>
      <c r="AP54" s="55"/>
      <c r="AQ54" s="55"/>
      <c r="AR54" s="55"/>
      <c r="AS54" s="55"/>
      <c r="AT54" s="55"/>
      <c r="AU54" s="55"/>
      <c r="AV54" s="55"/>
      <c r="AW54" s="55"/>
      <c r="AX54" s="442">
        <v>1.0030951607005378</v>
      </c>
      <c r="AY54" s="55"/>
      <c r="AZ54" s="55"/>
      <c r="BA54" s="55"/>
      <c r="BB54" s="55"/>
    </row>
    <row r="55" spans="1:54" ht="12.75" customHeight="1">
      <c r="A55" s="80"/>
      <c r="B55" s="264" t="str">
        <f t="shared" si="13"/>
        <v>SUN</v>
      </c>
      <c r="C55" s="267">
        <f t="shared" si="47"/>
        <v>44010</v>
      </c>
      <c r="D55" s="430">
        <f t="shared" si="21"/>
        <v>49</v>
      </c>
      <c r="E55" s="473"/>
      <c r="F55" s="483"/>
      <c r="G55" s="472"/>
      <c r="H55" s="472"/>
      <c r="I55" s="292" t="str">
        <f t="shared" si="38"/>
        <v/>
      </c>
      <c r="J55" s="293" t="str">
        <f t="shared" si="1"/>
        <v/>
      </c>
      <c r="K55" s="293" t="str">
        <f t="shared" si="39"/>
        <v/>
      </c>
      <c r="L55" s="293" t="str">
        <f t="shared" si="40"/>
        <v/>
      </c>
      <c r="M55" s="266"/>
      <c r="N55" s="291" t="str">
        <f t="shared" si="41"/>
        <v/>
      </c>
      <c r="O55" s="291" t="str">
        <f t="shared" si="42"/>
        <v/>
      </c>
      <c r="P55" s="291" t="str">
        <f t="shared" si="43"/>
        <v/>
      </c>
      <c r="Q55" s="324">
        <f t="shared" si="48"/>
        <v>44010</v>
      </c>
      <c r="R55" s="277">
        <v>49</v>
      </c>
      <c r="S55" s="291">
        <f t="shared" si="45"/>
        <v>100000</v>
      </c>
      <c r="T55" s="291"/>
      <c r="U55" s="291" t="str">
        <f t="shared" si="46"/>
        <v>06/28/20</v>
      </c>
      <c r="V55" s="291" t="str">
        <f t="shared" si="15"/>
        <v/>
      </c>
      <c r="W55" s="291" t="str">
        <f t="shared" si="16"/>
        <v/>
      </c>
      <c r="X55" s="291" t="str">
        <f t="shared" si="30"/>
        <v/>
      </c>
      <c r="Y55" s="291" t="str">
        <f t="shared" si="31"/>
        <v/>
      </c>
      <c r="Z55" s="276">
        <v>49</v>
      </c>
      <c r="AA55" s="432">
        <v>49</v>
      </c>
      <c r="AB55" s="291">
        <v>49.875311732005088</v>
      </c>
      <c r="AC55" s="279">
        <f t="shared" si="17"/>
        <v>1.6978856231422543</v>
      </c>
      <c r="AD55" s="279">
        <f t="shared" ca="1" si="10"/>
        <v>1.7354924234465066</v>
      </c>
      <c r="AE55" s="279">
        <f t="shared" ca="1" si="23"/>
        <v>54.38666435255692</v>
      </c>
      <c r="AF55" s="279">
        <f t="shared" ca="1" si="18"/>
        <v>1.0904526200215585</v>
      </c>
      <c r="AG55" s="278">
        <f t="shared" ca="1" si="11"/>
        <v>62.892653917999027</v>
      </c>
      <c r="AH55" s="278">
        <f t="shared" ca="1" si="12"/>
        <v>47.031077162911259</v>
      </c>
      <c r="AJ55" s="50"/>
      <c r="AK55" s="55"/>
      <c r="AL55" s="55"/>
      <c r="AM55" s="55"/>
      <c r="AN55" s="55"/>
      <c r="AO55" s="55"/>
      <c r="AP55" s="55"/>
      <c r="AQ55" s="55"/>
      <c r="AR55" s="55"/>
      <c r="AS55" s="55"/>
      <c r="AT55" s="55"/>
      <c r="AU55" s="55"/>
      <c r="AV55" s="55"/>
      <c r="AW55" s="55"/>
      <c r="AX55" s="440">
        <v>1.0105267298788556</v>
      </c>
      <c r="AY55" s="55"/>
      <c r="AZ55" s="55"/>
      <c r="BA55" s="55"/>
      <c r="BB55" s="55"/>
    </row>
    <row r="56" spans="1:54" ht="12.75" customHeight="1">
      <c r="A56" s="80"/>
      <c r="B56" s="264" t="str">
        <f t="shared" si="13"/>
        <v>MON</v>
      </c>
      <c r="C56" s="267">
        <f t="shared" si="47"/>
        <v>44011</v>
      </c>
      <c r="D56" s="430">
        <f t="shared" si="21"/>
        <v>50</v>
      </c>
      <c r="E56" s="473"/>
      <c r="F56" s="483"/>
      <c r="G56" s="472"/>
      <c r="H56" s="472"/>
      <c r="I56" s="292" t="str">
        <f t="shared" si="38"/>
        <v/>
      </c>
      <c r="J56" s="293" t="str">
        <f t="shared" si="1"/>
        <v/>
      </c>
      <c r="K56" s="293" t="str">
        <f t="shared" si="39"/>
        <v/>
      </c>
      <c r="L56" s="293" t="str">
        <f t="shared" si="40"/>
        <v/>
      </c>
      <c r="M56" s="266"/>
      <c r="N56" s="291" t="str">
        <f t="shared" si="41"/>
        <v/>
      </c>
      <c r="O56" s="291" t="str">
        <f t="shared" si="42"/>
        <v/>
      </c>
      <c r="P56" s="291" t="str">
        <f t="shared" si="43"/>
        <v/>
      </c>
      <c r="Q56" s="324">
        <f t="shared" si="48"/>
        <v>44011</v>
      </c>
      <c r="R56" s="277">
        <v>50</v>
      </c>
      <c r="S56" s="291" t="e">
        <f t="shared" si="45"/>
        <v>#N/A</v>
      </c>
      <c r="T56" s="291"/>
      <c r="U56" s="291" t="e">
        <f t="shared" si="46"/>
        <v>#N/A</v>
      </c>
      <c r="V56" s="291" t="str">
        <f t="shared" si="15"/>
        <v/>
      </c>
      <c r="W56" s="291" t="str">
        <f t="shared" si="16"/>
        <v/>
      </c>
      <c r="X56" s="291" t="str">
        <f t="shared" si="30"/>
        <v/>
      </c>
      <c r="Y56" s="291" t="str">
        <f t="shared" si="31"/>
        <v/>
      </c>
      <c r="Z56" s="276">
        <v>50</v>
      </c>
      <c r="AA56" s="432">
        <v>50</v>
      </c>
      <c r="AB56" s="291">
        <v>40.4140625</v>
      </c>
      <c r="AC56" s="279">
        <f t="shared" si="17"/>
        <v>1.6065325087612141</v>
      </c>
      <c r="AD56" s="279">
        <f t="shared" ca="1" si="10"/>
        <v>1.7398045379598728</v>
      </c>
      <c r="AE56" s="279">
        <f t="shared" ca="1" si="23"/>
        <v>54.929359875616321</v>
      </c>
      <c r="AF56" s="279">
        <f t="shared" ca="1" si="18"/>
        <v>1.3591645204096054</v>
      </c>
      <c r="AG56" s="278">
        <f t="shared" ca="1" si="11"/>
        <v>63.520226175296656</v>
      </c>
      <c r="AH56" s="278">
        <f t="shared" ca="1" si="12"/>
        <v>47.500375203613281</v>
      </c>
      <c r="AJ56" s="50"/>
      <c r="AK56" s="55"/>
      <c r="AL56" s="55"/>
      <c r="AM56" s="55"/>
      <c r="AN56" s="55"/>
      <c r="AO56" s="55"/>
      <c r="AP56" s="55"/>
      <c r="AQ56" s="55"/>
      <c r="AR56" s="55"/>
      <c r="AS56" s="55"/>
      <c r="AT56" s="55"/>
      <c r="AU56" s="55"/>
      <c r="AV56" s="55"/>
      <c r="AW56" s="55"/>
      <c r="AX56" s="440">
        <v>1.0124690233792009</v>
      </c>
      <c r="AY56" s="55"/>
      <c r="AZ56" s="55"/>
      <c r="BA56" s="55"/>
      <c r="BB56" s="55"/>
    </row>
    <row r="57" spans="1:54" ht="12.75" customHeight="1">
      <c r="A57" s="80"/>
      <c r="B57" s="264" t="str">
        <f t="shared" si="13"/>
        <v>TUE</v>
      </c>
      <c r="C57" s="267">
        <f t="shared" si="47"/>
        <v>44012</v>
      </c>
      <c r="D57" s="430">
        <f t="shared" si="21"/>
        <v>51</v>
      </c>
      <c r="E57" s="473"/>
      <c r="F57" s="483"/>
      <c r="G57" s="472"/>
      <c r="H57" s="472"/>
      <c r="I57" s="292" t="str">
        <f t="shared" si="38"/>
        <v/>
      </c>
      <c r="J57" s="293" t="str">
        <f t="shared" si="1"/>
        <v/>
      </c>
      <c r="K57" s="293" t="str">
        <f t="shared" si="39"/>
        <v/>
      </c>
      <c r="L57" s="293" t="str">
        <f t="shared" si="40"/>
        <v/>
      </c>
      <c r="M57" s="266"/>
      <c r="N57" s="291" t="str">
        <f t="shared" si="41"/>
        <v/>
      </c>
      <c r="O57" s="291" t="str">
        <f t="shared" si="42"/>
        <v/>
      </c>
      <c r="P57" s="291" t="str">
        <f t="shared" si="43"/>
        <v/>
      </c>
      <c r="Q57" s="324">
        <f>C57</f>
        <v>44012</v>
      </c>
      <c r="R57" s="277">
        <v>51</v>
      </c>
      <c r="S57" s="291" t="e">
        <f t="shared" si="45"/>
        <v>#N/A</v>
      </c>
      <c r="T57" s="291"/>
      <c r="U57" s="291" t="e">
        <f t="shared" si="46"/>
        <v>#N/A</v>
      </c>
      <c r="V57" s="291" t="str">
        <f t="shared" si="15"/>
        <v/>
      </c>
      <c r="W57" s="291" t="str">
        <f t="shared" si="16"/>
        <v/>
      </c>
      <c r="X57" s="291" t="str">
        <f t="shared" si="30"/>
        <v/>
      </c>
      <c r="Y57" s="291" t="str">
        <f t="shared" si="31"/>
        <v/>
      </c>
      <c r="Z57" s="276">
        <v>51</v>
      </c>
      <c r="AA57" s="432">
        <v>51</v>
      </c>
      <c r="AB57" s="291">
        <v>52.964970277430979</v>
      </c>
      <c r="AC57" s="279">
        <f t="shared" si="17"/>
        <v>1.723988732904036</v>
      </c>
      <c r="AD57" s="279">
        <f t="shared" ca="1" si="10"/>
        <v>1.744116652473239</v>
      </c>
      <c r="AE57" s="279">
        <f t="shared" ca="1" si="23"/>
        <v>55.477470667919654</v>
      </c>
      <c r="AF57" s="279">
        <f t="shared" ca="1" si="18"/>
        <v>1.0474370206823147</v>
      </c>
      <c r="AG57" s="278">
        <f t="shared" ca="1" si="11"/>
        <v>64.154060641510483</v>
      </c>
      <c r="AH57" s="278">
        <f t="shared" ca="1" si="12"/>
        <v>47.97435611922041</v>
      </c>
      <c r="AJ57" s="50"/>
      <c r="AK57" s="55"/>
      <c r="AL57" s="55"/>
      <c r="AM57" s="55"/>
      <c r="AN57" s="55"/>
      <c r="AO57" s="55"/>
      <c r="AP57" s="55"/>
      <c r="AQ57" s="55"/>
      <c r="AR57" s="55"/>
      <c r="AS57" s="55"/>
      <c r="AT57" s="55"/>
      <c r="AU57" s="55"/>
      <c r="AV57" s="55"/>
      <c r="AW57" s="55"/>
      <c r="AX57" s="440">
        <v>1.0265791755737756</v>
      </c>
      <c r="AY57" s="55"/>
      <c r="AZ57" s="55"/>
      <c r="BA57" s="55"/>
      <c r="BB57" s="55"/>
    </row>
    <row r="58" spans="1:54" ht="12.75" customHeight="1">
      <c r="A58" s="80"/>
      <c r="B58" s="264" t="str">
        <f t="shared" si="13"/>
        <v>WED</v>
      </c>
      <c r="C58" s="267">
        <f t="shared" si="47"/>
        <v>44013</v>
      </c>
      <c r="D58" s="430">
        <f t="shared" si="21"/>
        <v>52</v>
      </c>
      <c r="E58" s="473"/>
      <c r="F58" s="483"/>
      <c r="G58" s="472"/>
      <c r="H58" s="472"/>
      <c r="I58" s="292" t="str">
        <f t="shared" si="38"/>
        <v/>
      </c>
      <c r="J58" s="293" t="str">
        <f t="shared" si="1"/>
        <v/>
      </c>
      <c r="K58" s="293" t="str">
        <f t="shared" si="39"/>
        <v/>
      </c>
      <c r="L58" s="293" t="str">
        <f t="shared" si="40"/>
        <v/>
      </c>
      <c r="M58" s="266"/>
      <c r="N58" s="291" t="str">
        <f t="shared" si="41"/>
        <v/>
      </c>
      <c r="O58" s="291" t="str">
        <f t="shared" si="42"/>
        <v/>
      </c>
      <c r="P58" s="291" t="str">
        <f t="shared" si="43"/>
        <v/>
      </c>
      <c r="Q58" s="324">
        <f t="shared" ref="Q58:Q66" si="49">C58</f>
        <v>44013</v>
      </c>
      <c r="R58" s="277">
        <v>52</v>
      </c>
      <c r="S58" s="291" t="e">
        <f t="shared" si="45"/>
        <v>#N/A</v>
      </c>
      <c r="T58" s="291"/>
      <c r="U58" s="291" t="e">
        <f t="shared" si="46"/>
        <v>#N/A</v>
      </c>
      <c r="V58" s="291" t="str">
        <f t="shared" si="15"/>
        <v/>
      </c>
      <c r="W58" s="291" t="str">
        <f t="shared" si="16"/>
        <v/>
      </c>
      <c r="X58" s="291" t="str">
        <f t="shared" si="30"/>
        <v/>
      </c>
      <c r="Y58" s="291" t="str">
        <f t="shared" si="31"/>
        <v/>
      </c>
      <c r="Z58" s="276">
        <v>52</v>
      </c>
      <c r="AA58" s="433">
        <v>52</v>
      </c>
      <c r="AB58" s="291">
        <v>57.528309389435378</v>
      </c>
      <c r="AC58" s="279">
        <f t="shared" si="17"/>
        <v>1.7598816114037781</v>
      </c>
      <c r="AD58" s="279">
        <f t="shared" ca="1" si="10"/>
        <v>1.7484287669866052</v>
      </c>
      <c r="AE58" s="279">
        <f t="shared" ca="1" si="23"/>
        <v>56.031050765551086</v>
      </c>
      <c r="AF58" s="279">
        <f t="shared" ca="1" si="18"/>
        <v>0.97397353338251846</v>
      </c>
      <c r="AG58" s="278">
        <f t="shared" ca="1" si="11"/>
        <v>64.794219803884062</v>
      </c>
      <c r="AH58" s="278">
        <f t="shared" ca="1" si="12"/>
        <v>48.453066637644248</v>
      </c>
      <c r="AJ58" s="50"/>
      <c r="AK58" s="55"/>
      <c r="AL58" s="55"/>
      <c r="AM58" s="55"/>
      <c r="AN58" s="55"/>
      <c r="AO58" s="55"/>
      <c r="AP58" s="55"/>
      <c r="AQ58" s="55"/>
      <c r="AR58" s="55"/>
      <c r="AS58" s="55"/>
      <c r="AT58" s="55"/>
      <c r="AU58" s="55"/>
      <c r="AV58" s="55"/>
      <c r="AW58" s="55"/>
      <c r="AX58" s="442">
        <v>1.0439347258938396</v>
      </c>
      <c r="AY58" s="55"/>
      <c r="AZ58" s="55"/>
      <c r="BA58" s="55"/>
      <c r="BB58" s="55"/>
    </row>
    <row r="59" spans="1:54" ht="12.75" customHeight="1">
      <c r="A59" s="80"/>
      <c r="B59" s="264" t="str">
        <f t="shared" si="13"/>
        <v>THU</v>
      </c>
      <c r="C59" s="267">
        <f t="shared" si="47"/>
        <v>44014</v>
      </c>
      <c r="D59" s="430">
        <f t="shared" si="21"/>
        <v>53</v>
      </c>
      <c r="E59" s="473"/>
      <c r="F59" s="483"/>
      <c r="G59" s="472"/>
      <c r="H59" s="472"/>
      <c r="I59" s="292" t="str">
        <f t="shared" si="38"/>
        <v/>
      </c>
      <c r="J59" s="293" t="str">
        <f t="shared" si="1"/>
        <v/>
      </c>
      <c r="K59" s="293" t="str">
        <f t="shared" si="39"/>
        <v/>
      </c>
      <c r="L59" s="293" t="str">
        <f t="shared" si="40"/>
        <v/>
      </c>
      <c r="M59" s="266"/>
      <c r="N59" s="291" t="str">
        <f t="shared" si="41"/>
        <v/>
      </c>
      <c r="O59" s="291" t="str">
        <f t="shared" si="42"/>
        <v/>
      </c>
      <c r="P59" s="291" t="str">
        <f t="shared" si="43"/>
        <v/>
      </c>
      <c r="Q59" s="324">
        <f t="shared" si="49"/>
        <v>44014</v>
      </c>
      <c r="R59" s="277">
        <v>53</v>
      </c>
      <c r="S59" s="291" t="e">
        <f t="shared" si="45"/>
        <v>#N/A</v>
      </c>
      <c r="T59" s="291"/>
      <c r="U59" s="291" t="e">
        <f t="shared" si="46"/>
        <v>#N/A</v>
      </c>
      <c r="V59" s="291" t="str">
        <f t="shared" si="15"/>
        <v/>
      </c>
      <c r="W59" s="291" t="str">
        <f t="shared" si="16"/>
        <v/>
      </c>
      <c r="X59" s="291" t="str">
        <f t="shared" si="30"/>
        <v/>
      </c>
      <c r="Y59" s="291" t="str">
        <f t="shared" si="31"/>
        <v/>
      </c>
      <c r="Z59" s="276">
        <v>53</v>
      </c>
      <c r="AA59" s="432">
        <v>53</v>
      </c>
      <c r="AB59" s="291">
        <v>43.104360351347367</v>
      </c>
      <c r="AC59" s="279">
        <f t="shared" si="17"/>
        <v>1.6345212047488016</v>
      </c>
      <c r="AD59" s="279">
        <f t="shared" ca="1" si="10"/>
        <v>1.7527408814999712</v>
      </c>
      <c r="AE59" s="279">
        <f t="shared" ca="1" si="23"/>
        <v>56.590154743792191</v>
      </c>
      <c r="AF59" s="279">
        <f t="shared" ca="1" si="18"/>
        <v>1.312863809659184</v>
      </c>
      <c r="AG59" s="278">
        <f t="shared" ca="1" si="11"/>
        <v>65.44076677318796</v>
      </c>
      <c r="AH59" s="278">
        <f t="shared" ca="1" si="12"/>
        <v>48.936553953069428</v>
      </c>
      <c r="AJ59" s="50"/>
      <c r="AK59" s="55"/>
      <c r="AL59" s="55"/>
      <c r="AM59" s="55"/>
      <c r="AN59" s="55"/>
      <c r="AO59" s="55"/>
      <c r="AP59" s="55"/>
      <c r="AQ59" s="55"/>
      <c r="AR59" s="55"/>
      <c r="AS59" s="55"/>
      <c r="AT59" s="55"/>
      <c r="AU59" s="55"/>
      <c r="AV59" s="55"/>
      <c r="AW59" s="55"/>
      <c r="AX59" s="114">
        <v>1.0474370206823147</v>
      </c>
      <c r="AY59" s="55"/>
      <c r="AZ59" s="55"/>
      <c r="BA59" s="55"/>
      <c r="BB59" s="55"/>
    </row>
    <row r="60" spans="1:54" ht="12.75" customHeight="1">
      <c r="A60" s="80"/>
      <c r="B60" s="264" t="str">
        <f t="shared" si="13"/>
        <v>FRI</v>
      </c>
      <c r="C60" s="267">
        <f t="shared" si="47"/>
        <v>44015</v>
      </c>
      <c r="D60" s="430">
        <f t="shared" si="21"/>
        <v>54</v>
      </c>
      <c r="E60" s="473"/>
      <c r="F60" s="483"/>
      <c r="G60" s="472"/>
      <c r="H60" s="472"/>
      <c r="I60" s="292" t="str">
        <f t="shared" si="38"/>
        <v/>
      </c>
      <c r="J60" s="293" t="str">
        <f t="shared" si="1"/>
        <v/>
      </c>
      <c r="K60" s="293" t="str">
        <f t="shared" si="39"/>
        <v/>
      </c>
      <c r="L60" s="293" t="str">
        <f t="shared" si="40"/>
        <v/>
      </c>
      <c r="M60" s="266"/>
      <c r="N60" s="291" t="str">
        <f t="shared" si="41"/>
        <v/>
      </c>
      <c r="O60" s="291" t="str">
        <f t="shared" si="42"/>
        <v/>
      </c>
      <c r="P60" s="291" t="str">
        <f t="shared" si="43"/>
        <v/>
      </c>
      <c r="Q60" s="324">
        <f t="shared" si="49"/>
        <v>44015</v>
      </c>
      <c r="R60" s="277">
        <v>54</v>
      </c>
      <c r="S60" s="291" t="e">
        <f t="shared" si="45"/>
        <v>#N/A</v>
      </c>
      <c r="T60" s="291"/>
      <c r="U60" s="291" t="e">
        <f t="shared" si="46"/>
        <v>#N/A</v>
      </c>
      <c r="V60" s="291" t="str">
        <f t="shared" si="15"/>
        <v/>
      </c>
      <c r="W60" s="291" t="str">
        <f t="shared" si="16"/>
        <v/>
      </c>
      <c r="X60" s="291" t="str">
        <f t="shared" si="30"/>
        <v/>
      </c>
      <c r="Y60" s="291" t="str">
        <f t="shared" si="31"/>
        <v/>
      </c>
      <c r="Z60" s="276">
        <v>54</v>
      </c>
      <c r="AA60" s="433">
        <v>54</v>
      </c>
      <c r="AB60" s="291">
        <v>47.693410008380809</v>
      </c>
      <c r="AC60" s="279">
        <f t="shared" si="17"/>
        <v>1.6784583749580646</v>
      </c>
      <c r="AD60" s="279">
        <f t="shared" ca="1" si="10"/>
        <v>1.7570529960133374</v>
      </c>
      <c r="AE60" s="279">
        <f t="shared" ca="1" si="23"/>
        <v>57.154837722501988</v>
      </c>
      <c r="AF60" s="279">
        <f t="shared" ca="1" si="18"/>
        <v>1.1983801894739461</v>
      </c>
      <c r="AG60" s="278">
        <f t="shared" ca="1" si="11"/>
        <v>66.093765289941288</v>
      </c>
      <c r="AH60" s="278">
        <f t="shared" ca="1" si="12"/>
        <v>49.424865730606015</v>
      </c>
      <c r="AJ60" s="50"/>
      <c r="AK60" s="55"/>
      <c r="AL60" s="55"/>
      <c r="AM60" s="55"/>
      <c r="AN60" s="55"/>
      <c r="AO60" s="55"/>
      <c r="AP60" s="55"/>
      <c r="AQ60" s="55"/>
      <c r="AR60" s="55"/>
      <c r="AS60" s="55"/>
      <c r="AT60" s="55"/>
      <c r="AU60" s="55"/>
      <c r="AV60" s="55"/>
      <c r="AW60" s="55"/>
      <c r="AX60" s="440">
        <v>1.0518325232036567</v>
      </c>
      <c r="AY60" s="55"/>
      <c r="AZ60" s="55"/>
      <c r="BA60" s="55"/>
      <c r="BB60" s="55"/>
    </row>
    <row r="61" spans="1:54" ht="12.75" customHeight="1">
      <c r="A61" s="80"/>
      <c r="B61" s="264" t="str">
        <f t="shared" si="13"/>
        <v>SAT</v>
      </c>
      <c r="C61" s="267">
        <f t="shared" si="47"/>
        <v>44016</v>
      </c>
      <c r="D61" s="430">
        <f t="shared" si="21"/>
        <v>55</v>
      </c>
      <c r="E61" s="473"/>
      <c r="F61" s="483"/>
      <c r="G61" s="472"/>
      <c r="H61" s="472"/>
      <c r="I61" s="292" t="str">
        <f t="shared" si="38"/>
        <v/>
      </c>
      <c r="J61" s="293" t="str">
        <f t="shared" si="1"/>
        <v/>
      </c>
      <c r="K61" s="293" t="str">
        <f t="shared" si="39"/>
        <v/>
      </c>
      <c r="L61" s="293" t="str">
        <f t="shared" si="40"/>
        <v/>
      </c>
      <c r="M61" s="266"/>
      <c r="N61" s="291" t="str">
        <f t="shared" si="41"/>
        <v/>
      </c>
      <c r="O61" s="291" t="str">
        <f t="shared" si="42"/>
        <v/>
      </c>
      <c r="P61" s="291" t="str">
        <f t="shared" si="43"/>
        <v/>
      </c>
      <c r="Q61" s="324">
        <f t="shared" si="49"/>
        <v>44016</v>
      </c>
      <c r="R61" s="277">
        <v>55</v>
      </c>
      <c r="S61" s="291" t="e">
        <f t="shared" si="45"/>
        <v>#N/A</v>
      </c>
      <c r="T61" s="291"/>
      <c r="U61" s="291" t="e">
        <f t="shared" si="46"/>
        <v>#N/A</v>
      </c>
      <c r="V61" s="291" t="str">
        <f t="shared" si="15"/>
        <v/>
      </c>
      <c r="W61" s="291" t="str">
        <f t="shared" si="16"/>
        <v/>
      </c>
      <c r="X61" s="291" t="str">
        <f t="shared" si="30"/>
        <v/>
      </c>
      <c r="Y61" s="291" t="str">
        <f t="shared" si="31"/>
        <v/>
      </c>
      <c r="Z61" s="276">
        <v>55</v>
      </c>
      <c r="AA61" s="433">
        <v>55</v>
      </c>
      <c r="AB61" s="291">
        <v>55.295751678464228</v>
      </c>
      <c r="AC61" s="279">
        <f t="shared" si="17"/>
        <v>1.7426917661424159</v>
      </c>
      <c r="AD61" s="279">
        <f t="shared" ca="1" si="10"/>
        <v>1.7613651105267036</v>
      </c>
      <c r="AE61" s="279">
        <f t="shared" ca="1" si="23"/>
        <v>57.725155371551374</v>
      </c>
      <c r="AF61" s="279">
        <f t="shared" ca="1" si="18"/>
        <v>1.0439347258938396</v>
      </c>
      <c r="AG61" s="278">
        <f t="shared" ca="1" si="11"/>
        <v>66.753279730695979</v>
      </c>
      <c r="AH61" s="278">
        <f t="shared" ca="1" si="12"/>
        <v>49.918050110988979</v>
      </c>
      <c r="AJ61" s="50"/>
      <c r="AK61" s="55"/>
      <c r="AL61" s="55"/>
      <c r="AM61" s="55"/>
      <c r="AN61" s="55"/>
      <c r="AO61" s="55"/>
      <c r="AP61" s="55"/>
      <c r="AQ61" s="55"/>
      <c r="AR61" s="55"/>
      <c r="AS61" s="55"/>
      <c r="AT61" s="55"/>
      <c r="AU61" s="55"/>
      <c r="AV61" s="55"/>
      <c r="AW61" s="55"/>
      <c r="AX61" s="440">
        <v>1.053306275673964</v>
      </c>
      <c r="AY61" s="55"/>
      <c r="AZ61" s="55"/>
      <c r="BA61" s="55"/>
      <c r="BB61" s="55"/>
    </row>
    <row r="62" spans="1:54" ht="12.75" customHeight="1">
      <c r="A62" s="80"/>
      <c r="B62" s="264" t="str">
        <f t="shared" si="13"/>
        <v>SUN</v>
      </c>
      <c r="C62" s="267">
        <f t="shared" si="47"/>
        <v>44017</v>
      </c>
      <c r="D62" s="430">
        <f t="shared" si="21"/>
        <v>56</v>
      </c>
      <c r="E62" s="473"/>
      <c r="F62" s="483"/>
      <c r="G62" s="472"/>
      <c r="H62" s="472"/>
      <c r="I62" s="292" t="str">
        <f t="shared" si="38"/>
        <v/>
      </c>
      <c r="J62" s="293" t="str">
        <f t="shared" si="1"/>
        <v/>
      </c>
      <c r="K62" s="293" t="str">
        <f t="shared" si="39"/>
        <v/>
      </c>
      <c r="L62" s="293" t="str">
        <f t="shared" si="40"/>
        <v/>
      </c>
      <c r="M62" s="266"/>
      <c r="N62" s="291" t="str">
        <f t="shared" si="41"/>
        <v/>
      </c>
      <c r="O62" s="291" t="str">
        <f t="shared" si="42"/>
        <v/>
      </c>
      <c r="P62" s="291" t="str">
        <f t="shared" si="43"/>
        <v/>
      </c>
      <c r="Q62" s="324">
        <f t="shared" si="49"/>
        <v>44017</v>
      </c>
      <c r="R62" s="277">
        <v>56</v>
      </c>
      <c r="S62" s="291">
        <f t="shared" si="45"/>
        <v>100000</v>
      </c>
      <c r="T62" s="291"/>
      <c r="U62" s="291" t="str">
        <f t="shared" si="46"/>
        <v>07/05/20</v>
      </c>
      <c r="V62" s="291" t="str">
        <f t="shared" si="15"/>
        <v/>
      </c>
      <c r="W62" s="291" t="str">
        <f t="shared" si="16"/>
        <v/>
      </c>
      <c r="X62" s="291" t="str">
        <f t="shared" si="30"/>
        <v/>
      </c>
      <c r="Y62" s="291" t="str">
        <f t="shared" si="31"/>
        <v/>
      </c>
      <c r="Z62" s="276">
        <v>56</v>
      </c>
      <c r="AA62" s="432">
        <v>56</v>
      </c>
      <c r="AB62" s="291">
        <v>45.911685298298728</v>
      </c>
      <c r="AC62" s="279">
        <f t="shared" si="17"/>
        <v>1.6619232348770636</v>
      </c>
      <c r="AD62" s="279">
        <f t="shared" ca="1" si="10"/>
        <v>1.7656772250400699</v>
      </c>
      <c r="AE62" s="279">
        <f t="shared" ca="1" si="23"/>
        <v>58.301163916311047</v>
      </c>
      <c r="AF62" s="279">
        <f t="shared" ca="1" si="18"/>
        <v>1.2698545814102671</v>
      </c>
      <c r="AG62" s="278">
        <f t="shared" ca="1" si="11"/>
        <v>67.419375114383115</v>
      </c>
      <c r="AH62" s="278">
        <f t="shared" ca="1" si="12"/>
        <v>50.416155715323853</v>
      </c>
      <c r="AJ62" s="50"/>
      <c r="AK62" s="55"/>
      <c r="AL62" s="55"/>
      <c r="AM62" s="55"/>
      <c r="AN62" s="55"/>
      <c r="AO62" s="55"/>
      <c r="AP62" s="55"/>
      <c r="AQ62" s="55"/>
      <c r="AR62" s="55"/>
      <c r="AS62" s="55"/>
      <c r="AT62" s="55"/>
      <c r="AU62" s="55"/>
      <c r="AV62" s="55"/>
      <c r="AW62" s="55"/>
      <c r="AX62" s="440">
        <v>1.054690640528934</v>
      </c>
      <c r="AY62" s="55"/>
      <c r="AZ62" s="55"/>
      <c r="BA62" s="55"/>
      <c r="BB62" s="55"/>
    </row>
    <row r="63" spans="1:54" ht="12.75" customHeight="1">
      <c r="A63" s="80"/>
      <c r="B63" s="264" t="str">
        <f t="shared" si="13"/>
        <v>MON</v>
      </c>
      <c r="C63" s="267">
        <f t="shared" si="47"/>
        <v>44018</v>
      </c>
      <c r="D63" s="430">
        <f t="shared" si="21"/>
        <v>57</v>
      </c>
      <c r="E63" s="473"/>
      <c r="F63" s="483"/>
      <c r="G63" s="472"/>
      <c r="H63" s="472"/>
      <c r="I63" s="292" t="str">
        <f t="shared" si="38"/>
        <v/>
      </c>
      <c r="J63" s="293" t="str">
        <f t="shared" si="1"/>
        <v/>
      </c>
      <c r="K63" s="293" t="str">
        <f t="shared" si="39"/>
        <v/>
      </c>
      <c r="L63" s="293" t="str">
        <f t="shared" si="40"/>
        <v/>
      </c>
      <c r="M63" s="266"/>
      <c r="N63" s="291" t="str">
        <f t="shared" si="41"/>
        <v/>
      </c>
      <c r="O63" s="291" t="str">
        <f t="shared" si="42"/>
        <v/>
      </c>
      <c r="P63" s="291" t="str">
        <f t="shared" si="43"/>
        <v/>
      </c>
      <c r="Q63" s="324">
        <f t="shared" si="49"/>
        <v>44018</v>
      </c>
      <c r="R63" s="277">
        <v>57</v>
      </c>
      <c r="S63" s="291" t="e">
        <f t="shared" si="45"/>
        <v>#N/A</v>
      </c>
      <c r="T63" s="291"/>
      <c r="U63" s="291" t="e">
        <f t="shared" si="46"/>
        <v>#N/A</v>
      </c>
      <c r="V63" s="291" t="str">
        <f t="shared" si="15"/>
        <v/>
      </c>
      <c r="W63" s="291" t="str">
        <f t="shared" si="16"/>
        <v/>
      </c>
      <c r="X63" s="291" t="str">
        <f t="shared" si="30"/>
        <v/>
      </c>
      <c r="Y63" s="291" t="str">
        <f t="shared" si="31"/>
        <v/>
      </c>
      <c r="Z63" s="276">
        <v>57</v>
      </c>
      <c r="AA63" s="433">
        <v>57</v>
      </c>
      <c r="AB63" s="291">
        <v>53.541517572711832</v>
      </c>
      <c r="AC63" s="279">
        <f t="shared" si="17"/>
        <v>1.7286906766027668</v>
      </c>
      <c r="AD63" s="279">
        <f t="shared" ca="1" si="10"/>
        <v>1.7699893395534358</v>
      </c>
      <c r="AE63" s="279">
        <f t="shared" ca="1" si="23"/>
        <v>58.882920143194703</v>
      </c>
      <c r="AF63" s="279">
        <f t="shared" ca="1" si="18"/>
        <v>1.0997618822295987</v>
      </c>
      <c r="AG63" s="278">
        <f t="shared" ca="1" si="11"/>
        <v>68.092117108723031</v>
      </c>
      <c r="AH63" s="278">
        <f t="shared" ca="1" si="12"/>
        <v>50.919231649880281</v>
      </c>
      <c r="AJ63" s="50"/>
      <c r="AK63" s="55"/>
      <c r="AL63" s="55"/>
      <c r="AM63" s="55"/>
      <c r="AN63" s="55"/>
      <c r="AO63" s="55"/>
      <c r="AP63" s="55"/>
      <c r="AQ63" s="55"/>
      <c r="AR63" s="55"/>
      <c r="AS63" s="55"/>
      <c r="AT63" s="55"/>
      <c r="AU63" s="55"/>
      <c r="AV63" s="55"/>
      <c r="AW63" s="55"/>
      <c r="AX63" s="440">
        <v>1.0680361661865894</v>
      </c>
      <c r="AY63" s="55"/>
      <c r="AZ63" s="55"/>
      <c r="BA63" s="55"/>
      <c r="BB63" s="55"/>
    </row>
    <row r="64" spans="1:54" ht="12.75" customHeight="1">
      <c r="A64" s="80"/>
      <c r="B64" s="264" t="str">
        <f t="shared" si="13"/>
        <v>TUE</v>
      </c>
      <c r="C64" s="267">
        <f t="shared" si="47"/>
        <v>44019</v>
      </c>
      <c r="D64" s="430">
        <f t="shared" si="21"/>
        <v>58</v>
      </c>
      <c r="E64" s="473"/>
      <c r="F64" s="483"/>
      <c r="G64" s="472"/>
      <c r="H64" s="472"/>
      <c r="I64" s="292" t="str">
        <f t="shared" si="38"/>
        <v/>
      </c>
      <c r="J64" s="293" t="str">
        <f t="shared" si="1"/>
        <v/>
      </c>
      <c r="K64" s="293" t="str">
        <f t="shared" si="39"/>
        <v/>
      </c>
      <c r="L64" s="293" t="str">
        <f t="shared" si="40"/>
        <v/>
      </c>
      <c r="M64" s="266"/>
      <c r="N64" s="291" t="str">
        <f t="shared" si="41"/>
        <v/>
      </c>
      <c r="O64" s="291" t="str">
        <f t="shared" si="42"/>
        <v/>
      </c>
      <c r="P64" s="291" t="str">
        <f t="shared" si="43"/>
        <v/>
      </c>
      <c r="Q64" s="324">
        <f t="shared" si="49"/>
        <v>44019</v>
      </c>
      <c r="R64" s="277">
        <v>58</v>
      </c>
      <c r="S64" s="291" t="e">
        <f t="shared" si="45"/>
        <v>#N/A</v>
      </c>
      <c r="T64" s="291"/>
      <c r="U64" s="291" t="e">
        <f t="shared" si="46"/>
        <v>#N/A</v>
      </c>
      <c r="V64" s="291" t="str">
        <f t="shared" si="15"/>
        <v/>
      </c>
      <c r="W64" s="291" t="str">
        <f t="shared" si="16"/>
        <v/>
      </c>
      <c r="X64" s="291" t="str">
        <f t="shared" si="30"/>
        <v/>
      </c>
      <c r="Y64" s="291" t="str">
        <f t="shared" si="31"/>
        <v/>
      </c>
      <c r="Z64" s="276">
        <v>58</v>
      </c>
      <c r="AA64" s="433">
        <v>58</v>
      </c>
      <c r="AB64" s="291">
        <v>78.185562127381502</v>
      </c>
      <c r="AC64" s="279">
        <f t="shared" si="17"/>
        <v>1.8931265629407454</v>
      </c>
      <c r="AD64" s="279">
        <f t="shared" ca="1" si="10"/>
        <v>1.7743014540668021</v>
      </c>
      <c r="AE64" s="279">
        <f t="shared" ca="1" si="23"/>
        <v>59.47048140525753</v>
      </c>
      <c r="AF64" s="279">
        <f t="shared" ca="1" si="18"/>
        <v>0.76063252328309694</v>
      </c>
      <c r="AG64" s="278">
        <f t="shared" ca="1" si="11"/>
        <v>68.771572036699382</v>
      </c>
      <c r="AH64" s="278">
        <f t="shared" ca="1" si="12"/>
        <v>51.42732751093331</v>
      </c>
      <c r="AJ64" s="50"/>
      <c r="AK64" s="55"/>
      <c r="AL64" s="55"/>
      <c r="AM64" s="55"/>
      <c r="AN64" s="55"/>
      <c r="AO64" s="55"/>
      <c r="AP64" s="55"/>
      <c r="AQ64" s="55"/>
      <c r="AR64" s="55"/>
      <c r="AS64" s="55"/>
      <c r="AT64" s="55"/>
      <c r="AU64" s="55"/>
      <c r="AV64" s="55"/>
      <c r="AW64" s="55"/>
      <c r="AX64" s="442">
        <v>1.0724935076609912</v>
      </c>
      <c r="AY64" s="55"/>
      <c r="AZ64" s="55"/>
      <c r="BA64" s="55"/>
      <c r="BB64" s="55"/>
    </row>
    <row r="65" spans="1:54" ht="12.75" customHeight="1">
      <c r="A65" s="80"/>
      <c r="B65" s="264" t="str">
        <f t="shared" si="13"/>
        <v>WED</v>
      </c>
      <c r="C65" s="267">
        <f t="shared" si="47"/>
        <v>44020</v>
      </c>
      <c r="D65" s="430">
        <f t="shared" si="21"/>
        <v>59</v>
      </c>
      <c r="E65" s="473"/>
      <c r="F65" s="483"/>
      <c r="G65" s="472"/>
      <c r="H65" s="472"/>
      <c r="I65" s="292" t="str">
        <f t="shared" si="38"/>
        <v/>
      </c>
      <c r="J65" s="293" t="str">
        <f t="shared" si="1"/>
        <v/>
      </c>
      <c r="K65" s="293" t="str">
        <f t="shared" si="39"/>
        <v/>
      </c>
      <c r="L65" s="293" t="str">
        <f t="shared" si="40"/>
        <v/>
      </c>
      <c r="M65" s="266"/>
      <c r="N65" s="291" t="str">
        <f t="shared" si="41"/>
        <v/>
      </c>
      <c r="O65" s="291" t="str">
        <f t="shared" si="42"/>
        <v/>
      </c>
      <c r="P65" s="291" t="str">
        <f t="shared" si="43"/>
        <v/>
      </c>
      <c r="Q65" s="324">
        <f t="shared" si="49"/>
        <v>44020</v>
      </c>
      <c r="R65" s="277">
        <v>59</v>
      </c>
      <c r="S65" s="291" t="e">
        <f t="shared" si="45"/>
        <v>#N/A</v>
      </c>
      <c r="T65" s="291"/>
      <c r="U65" s="291" t="e">
        <f t="shared" si="46"/>
        <v>#N/A</v>
      </c>
      <c r="V65" s="291" t="str">
        <f t="shared" si="15"/>
        <v/>
      </c>
      <c r="W65" s="291" t="str">
        <f t="shared" si="16"/>
        <v/>
      </c>
      <c r="X65" s="291" t="str">
        <f t="shared" si="30"/>
        <v/>
      </c>
      <c r="Y65" s="291" t="str">
        <f t="shared" si="31"/>
        <v/>
      </c>
      <c r="Z65" s="276">
        <v>59</v>
      </c>
      <c r="AA65" s="433">
        <v>59</v>
      </c>
      <c r="AB65" s="291">
        <v>70.844139665006367</v>
      </c>
      <c r="AC65" s="279">
        <f t="shared" si="17"/>
        <v>1.8503039305691578</v>
      </c>
      <c r="AD65" s="279">
        <f t="shared" ca="1" si="10"/>
        <v>1.7786135685801683</v>
      </c>
      <c r="AE65" s="279">
        <f t="shared" ca="1" si="23"/>
        <v>60.063905627850126</v>
      </c>
      <c r="AF65" s="279">
        <f t="shared" ca="1" si="18"/>
        <v>0.8478316754479388</v>
      </c>
      <c r="AG65" s="278">
        <f t="shared" ca="1" si="11"/>
        <v>69.457806883097334</v>
      </c>
      <c r="AH65" s="278">
        <f t="shared" ca="1" si="12"/>
        <v>51.940493389652637</v>
      </c>
      <c r="AJ65" s="50"/>
      <c r="AK65" s="55"/>
      <c r="AL65" s="55"/>
      <c r="AM65" s="55"/>
      <c r="AN65" s="55"/>
      <c r="AO65" s="55"/>
      <c r="AP65" s="55"/>
      <c r="AQ65" s="55"/>
      <c r="AR65" s="55"/>
      <c r="AS65" s="55"/>
      <c r="AT65" s="55"/>
      <c r="AU65" s="55"/>
      <c r="AV65" s="55"/>
      <c r="AW65" s="55"/>
      <c r="AX65" s="440">
        <v>1.07252614445538</v>
      </c>
      <c r="AY65" s="55"/>
      <c r="AZ65" s="55"/>
      <c r="BA65" s="55"/>
      <c r="BB65" s="55"/>
    </row>
    <row r="66" spans="1:54" ht="12.75" customHeight="1">
      <c r="A66" s="80"/>
      <c r="B66" s="264" t="str">
        <f t="shared" si="13"/>
        <v>THU</v>
      </c>
      <c r="C66" s="267">
        <f t="shared" si="47"/>
        <v>44021</v>
      </c>
      <c r="D66" s="430">
        <f t="shared" si="21"/>
        <v>60</v>
      </c>
      <c r="E66" s="473"/>
      <c r="F66" s="483"/>
      <c r="G66" s="472"/>
      <c r="H66" s="472"/>
      <c r="I66" s="292" t="str">
        <f t="shared" si="38"/>
        <v/>
      </c>
      <c r="J66" s="293" t="str">
        <f t="shared" si="1"/>
        <v/>
      </c>
      <c r="K66" s="293" t="str">
        <f t="shared" si="39"/>
        <v/>
      </c>
      <c r="L66" s="293" t="str">
        <f t="shared" si="40"/>
        <v/>
      </c>
      <c r="M66" s="266"/>
      <c r="N66" s="291" t="str">
        <f t="shared" si="41"/>
        <v/>
      </c>
      <c r="O66" s="291" t="str">
        <f t="shared" si="42"/>
        <v/>
      </c>
      <c r="P66" s="291" t="str">
        <f t="shared" si="43"/>
        <v/>
      </c>
      <c r="Q66" s="324">
        <f t="shared" si="49"/>
        <v>44021</v>
      </c>
      <c r="R66" s="277">
        <v>60</v>
      </c>
      <c r="S66" s="291" t="e">
        <f t="shared" si="45"/>
        <v>#N/A</v>
      </c>
      <c r="T66" s="291"/>
      <c r="U66" s="291" t="e">
        <f t="shared" si="46"/>
        <v>#N/A</v>
      </c>
      <c r="V66" s="291" t="str">
        <f t="shared" si="15"/>
        <v/>
      </c>
      <c r="W66" s="291" t="str">
        <f t="shared" si="16"/>
        <v/>
      </c>
      <c r="X66" s="291" t="str">
        <f t="shared" si="30"/>
        <v/>
      </c>
      <c r="Y66" s="291" t="str">
        <f t="shared" si="31"/>
        <v/>
      </c>
      <c r="Z66" s="276">
        <v>60</v>
      </c>
      <c r="AA66" s="433">
        <v>60</v>
      </c>
      <c r="AB66" s="291">
        <v>57.517578125</v>
      </c>
      <c r="AC66" s="279">
        <f t="shared" si="17"/>
        <v>1.7598005910554224</v>
      </c>
      <c r="AD66" s="279">
        <f t="shared" ca="1" si="10"/>
        <v>1.7829256830935343</v>
      </c>
      <c r="AE66" s="279">
        <f t="shared" ca="1" si="23"/>
        <v>60.663251314329258</v>
      </c>
      <c r="AF66" s="279">
        <f t="shared" ca="1" si="18"/>
        <v>1.054690640528934</v>
      </c>
      <c r="AG66" s="278">
        <f t="shared" ca="1" si="11"/>
        <v>70.150889301107497</v>
      </c>
      <c r="AH66" s="278">
        <f t="shared" ca="1" si="12"/>
        <v>52.458779877041025</v>
      </c>
      <c r="AJ66" s="50"/>
      <c r="AK66" s="55"/>
      <c r="AL66" s="55"/>
      <c r="AM66" s="55"/>
      <c r="AN66" s="55"/>
      <c r="AO66" s="55"/>
      <c r="AP66" s="55"/>
      <c r="AQ66" s="55"/>
      <c r="AR66" s="55"/>
      <c r="AS66" s="55"/>
      <c r="AT66" s="55"/>
      <c r="AU66" s="55"/>
      <c r="AV66" s="55"/>
      <c r="AW66" s="55"/>
      <c r="AX66" s="442">
        <v>1.0739025182305753</v>
      </c>
      <c r="AY66" s="55"/>
      <c r="AZ66" s="55"/>
      <c r="BA66" s="55"/>
      <c r="BB66" s="55"/>
    </row>
    <row r="67" spans="1:54" ht="12.75" customHeight="1">
      <c r="A67" s="80"/>
      <c r="B67" s="264" t="str">
        <f t="shared" si="13"/>
        <v>FRI</v>
      </c>
      <c r="C67" s="267">
        <f t="shared" si="47"/>
        <v>44022</v>
      </c>
      <c r="D67" s="430">
        <f t="shared" si="21"/>
        <v>61</v>
      </c>
      <c r="E67" s="473"/>
      <c r="F67" s="483"/>
      <c r="G67" s="472"/>
      <c r="H67" s="472"/>
      <c r="I67" s="292" t="str">
        <f t="shared" si="38"/>
        <v/>
      </c>
      <c r="J67" s="293" t="str">
        <f t="shared" si="1"/>
        <v/>
      </c>
      <c r="K67" s="293" t="str">
        <f t="shared" si="39"/>
        <v/>
      </c>
      <c r="L67" s="293" t="str">
        <f t="shared" si="40"/>
        <v/>
      </c>
      <c r="M67" s="266"/>
      <c r="N67" s="291" t="str">
        <f t="shared" si="41"/>
        <v/>
      </c>
      <c r="O67" s="291" t="str">
        <f t="shared" si="42"/>
        <v/>
      </c>
      <c r="P67" s="291" t="str">
        <f t="shared" si="43"/>
        <v/>
      </c>
      <c r="Q67" s="324">
        <f>C67</f>
        <v>44022</v>
      </c>
      <c r="R67" s="277">
        <v>61</v>
      </c>
      <c r="S67" s="291" t="e">
        <f t="shared" si="45"/>
        <v>#N/A</v>
      </c>
      <c r="T67" s="291"/>
      <c r="U67" s="291" t="e">
        <f t="shared" si="46"/>
        <v>#N/A</v>
      </c>
      <c r="V67" s="291" t="str">
        <f t="shared" si="15"/>
        <v/>
      </c>
      <c r="W67" s="291" t="str">
        <f t="shared" si="16"/>
        <v/>
      </c>
      <c r="X67" s="291" t="str">
        <f t="shared" si="30"/>
        <v/>
      </c>
      <c r="Y67" s="291" t="str">
        <f t="shared" si="31"/>
        <v/>
      </c>
      <c r="Z67" s="276">
        <v>61</v>
      </c>
      <c r="AA67" s="433">
        <v>61</v>
      </c>
      <c r="AB67" s="291">
        <v>68.206212846788731</v>
      </c>
      <c r="AC67" s="279">
        <f t="shared" si="17"/>
        <v>1.8338239359788382</v>
      </c>
      <c r="AD67" s="279">
        <f t="shared" ca="1" si="10"/>
        <v>1.7872377976069005</v>
      </c>
      <c r="AE67" s="279">
        <f t="shared" ca="1" si="23"/>
        <v>61.268577551825672</v>
      </c>
      <c r="AF67" s="279">
        <f t="shared" ca="1" si="18"/>
        <v>0.8982844083346625</v>
      </c>
      <c r="AG67" s="278">
        <f t="shared" ca="1" si="11"/>
        <v>70.850887618995813</v>
      </c>
      <c r="AH67" s="278">
        <f t="shared" ca="1" si="12"/>
        <v>52.98223806892203</v>
      </c>
      <c r="AJ67" s="50"/>
      <c r="AK67" s="55"/>
      <c r="AL67" s="55"/>
      <c r="AM67" s="55"/>
      <c r="AN67" s="55"/>
      <c r="AO67" s="55"/>
      <c r="AP67" s="55"/>
      <c r="AQ67" s="55"/>
      <c r="AR67" s="55"/>
      <c r="AS67" s="55"/>
      <c r="AT67" s="55"/>
      <c r="AU67" s="55"/>
      <c r="AV67" s="55"/>
      <c r="AW67" s="55"/>
      <c r="AX67" s="442">
        <v>1.0873225006053535</v>
      </c>
      <c r="AY67" s="55"/>
      <c r="AZ67" s="55"/>
      <c r="BA67" s="55"/>
      <c r="BB67" s="55"/>
    </row>
    <row r="68" spans="1:54" ht="12.75" customHeight="1">
      <c r="A68" s="80"/>
      <c r="B68" s="264" t="str">
        <f t="shared" si="13"/>
        <v>SAT</v>
      </c>
      <c r="C68" s="267">
        <f t="shared" si="47"/>
        <v>44023</v>
      </c>
      <c r="D68" s="430">
        <f t="shared" si="21"/>
        <v>62</v>
      </c>
      <c r="E68" s="473"/>
      <c r="F68" s="483"/>
      <c r="G68" s="472"/>
      <c r="H68" s="472"/>
      <c r="I68" s="292" t="str">
        <f t="shared" si="38"/>
        <v/>
      </c>
      <c r="J68" s="293" t="str">
        <f t="shared" si="1"/>
        <v/>
      </c>
      <c r="K68" s="293" t="str">
        <f t="shared" si="39"/>
        <v/>
      </c>
      <c r="L68" s="293" t="str">
        <f t="shared" si="40"/>
        <v/>
      </c>
      <c r="M68" s="266"/>
      <c r="N68" s="291" t="str">
        <f t="shared" si="41"/>
        <v/>
      </c>
      <c r="O68" s="291" t="str">
        <f t="shared" si="42"/>
        <v/>
      </c>
      <c r="P68" s="291" t="str">
        <f t="shared" si="43"/>
        <v/>
      </c>
      <c r="Q68" s="324">
        <f t="shared" ref="Q68:Q76" si="50">C68</f>
        <v>44023</v>
      </c>
      <c r="R68" s="277">
        <v>62</v>
      </c>
      <c r="S68" s="291" t="e">
        <f t="shared" si="45"/>
        <v>#N/A</v>
      </c>
      <c r="T68" s="291"/>
      <c r="U68" s="291" t="e">
        <f t="shared" si="46"/>
        <v>#N/A</v>
      </c>
      <c r="V68" s="291" t="str">
        <f t="shared" si="15"/>
        <v/>
      </c>
      <c r="W68" s="291" t="str">
        <f t="shared" si="16"/>
        <v/>
      </c>
      <c r="X68" s="291" t="str">
        <f t="shared" si="30"/>
        <v/>
      </c>
      <c r="Y68" s="291" t="str">
        <f t="shared" si="31"/>
        <v/>
      </c>
      <c r="Z68" s="276">
        <v>62</v>
      </c>
      <c r="AA68" s="433">
        <v>62</v>
      </c>
      <c r="AB68" s="291">
        <v>56.910386736794237</v>
      </c>
      <c r="AC68" s="279">
        <f t="shared" si="17"/>
        <v>1.7551915368837601</v>
      </c>
      <c r="AD68" s="279">
        <f t="shared" ca="1" si="10"/>
        <v>1.7915499121202667</v>
      </c>
      <c r="AE68" s="279">
        <f t="shared" ca="1" si="23"/>
        <v>61.879944017068858</v>
      </c>
      <c r="AF68" s="279">
        <f t="shared" ca="1" si="18"/>
        <v>1.0873225006053535</v>
      </c>
      <c r="AG68" s="278">
        <f t="shared" ca="1" si="11"/>
        <v>71.557870846839293</v>
      </c>
      <c r="AH68" s="278">
        <f t="shared" ca="1" si="12"/>
        <v>53.510919570976988</v>
      </c>
      <c r="AJ68" s="50"/>
      <c r="AK68" s="55"/>
      <c r="AL68" s="55"/>
      <c r="AM68" s="55"/>
      <c r="AN68" s="55"/>
      <c r="AO68" s="55"/>
      <c r="AP68" s="55"/>
      <c r="AQ68" s="55"/>
      <c r="AR68" s="55"/>
      <c r="AS68" s="55"/>
      <c r="AT68" s="55"/>
      <c r="AU68" s="55"/>
      <c r="AV68" s="55"/>
      <c r="AW68" s="55"/>
      <c r="AX68" s="440">
        <v>1.0876693285395354</v>
      </c>
      <c r="AY68" s="55"/>
      <c r="AZ68" s="55"/>
      <c r="BA68" s="55"/>
      <c r="BB68" s="55"/>
    </row>
    <row r="69" spans="1:54" ht="12.75" customHeight="1">
      <c r="A69" s="80"/>
      <c r="B69" s="264" t="str">
        <f t="shared" si="13"/>
        <v>SUN</v>
      </c>
      <c r="C69" s="267">
        <f t="shared" si="47"/>
        <v>44024</v>
      </c>
      <c r="D69" s="430">
        <f t="shared" si="21"/>
        <v>63</v>
      </c>
      <c r="E69" s="473"/>
      <c r="F69" s="483"/>
      <c r="G69" s="472"/>
      <c r="H69" s="472"/>
      <c r="I69" s="292" t="str">
        <f t="shared" si="38"/>
        <v/>
      </c>
      <c r="J69" s="293" t="str">
        <f t="shared" si="1"/>
        <v/>
      </c>
      <c r="K69" s="293" t="str">
        <f t="shared" si="39"/>
        <v/>
      </c>
      <c r="L69" s="293" t="str">
        <f t="shared" si="40"/>
        <v/>
      </c>
      <c r="M69" s="266"/>
      <c r="N69" s="291" t="str">
        <f t="shared" si="41"/>
        <v/>
      </c>
      <c r="O69" s="291" t="str">
        <f t="shared" si="42"/>
        <v/>
      </c>
      <c r="P69" s="291" t="str">
        <f t="shared" si="43"/>
        <v/>
      </c>
      <c r="Q69" s="324">
        <f t="shared" si="50"/>
        <v>44024</v>
      </c>
      <c r="R69" s="277">
        <v>63</v>
      </c>
      <c r="S69" s="291">
        <f t="shared" si="45"/>
        <v>100000</v>
      </c>
      <c r="T69" s="291"/>
      <c r="U69" s="291" t="str">
        <f t="shared" si="46"/>
        <v>07/12/20</v>
      </c>
      <c r="V69" s="291" t="str">
        <f t="shared" si="15"/>
        <v/>
      </c>
      <c r="W69" s="291" t="str">
        <f t="shared" si="16"/>
        <v/>
      </c>
      <c r="X69" s="291" t="str">
        <f t="shared" si="30"/>
        <v/>
      </c>
      <c r="Y69" s="291" t="str">
        <f t="shared" si="31"/>
        <v/>
      </c>
      <c r="Z69" s="276">
        <v>63</v>
      </c>
      <c r="AA69" s="433">
        <v>63</v>
      </c>
      <c r="AB69" s="291">
        <v>55.630450439184209</v>
      </c>
      <c r="AC69" s="279">
        <f t="shared" si="17"/>
        <v>1.7453125764330113</v>
      </c>
      <c r="AD69" s="279">
        <f t="shared" ca="1" si="10"/>
        <v>1.7958620266336327</v>
      </c>
      <c r="AE69" s="279">
        <f t="shared" ca="1" si="23"/>
        <v>62.497410982270793</v>
      </c>
      <c r="AF69" s="279">
        <f t="shared" ca="1" si="18"/>
        <v>1.1234388808444689</v>
      </c>
      <c r="AG69" s="278">
        <f t="shared" ca="1" si="11"/>
        <v>72.271908683329926</v>
      </c>
      <c r="AH69" s="278">
        <f t="shared" ca="1" si="12"/>
        <v>54.044876503833002</v>
      </c>
      <c r="AJ69" s="50"/>
      <c r="AK69" s="55"/>
      <c r="AL69" s="55"/>
      <c r="AM69" s="55"/>
      <c r="AN69" s="55"/>
      <c r="AO69" s="55"/>
      <c r="AP69" s="55"/>
      <c r="AQ69" s="55"/>
      <c r="AR69" s="55"/>
      <c r="AS69" s="55"/>
      <c r="AT69" s="55"/>
      <c r="AU69" s="55"/>
      <c r="AV69" s="55"/>
      <c r="AW69" s="55"/>
      <c r="AX69" s="442">
        <v>1.0904526200215585</v>
      </c>
      <c r="AY69" s="55"/>
      <c r="AZ69" s="55"/>
      <c r="BA69" s="55"/>
      <c r="BB69" s="55"/>
    </row>
    <row r="70" spans="1:54" ht="12.75" customHeight="1">
      <c r="A70" s="80"/>
      <c r="B70" s="264" t="str">
        <f t="shared" si="13"/>
        <v>MON</v>
      </c>
      <c r="C70" s="267">
        <f t="shared" si="47"/>
        <v>44025</v>
      </c>
      <c r="D70" s="430">
        <f t="shared" si="21"/>
        <v>64</v>
      </c>
      <c r="E70" s="473"/>
      <c r="F70" s="483"/>
      <c r="G70" s="472"/>
      <c r="H70" s="472"/>
      <c r="I70" s="292" t="str">
        <f t="shared" ref="I70:I101" si="51">IF(E70="","",IF(Y_AxisLabel="Count Per Minute",1/(HOUR(E70)*60+MINUTE(E70)+SECOND(E70)/60),1/E70))</f>
        <v/>
      </c>
      <c r="J70" s="293" t="str">
        <f t="shared" ref="J70:J133" si="52">IF(OR(F70=Blank,$E70=Blank),Blank,IF(F70&gt;0,F70*$I70,ZeroCount*$I70))</f>
        <v/>
      </c>
      <c r="K70" s="293" t="str">
        <f t="shared" ref="K70:K101" si="53">IF(OR(G70=Blank,$E70=Blank),Blank,IF(G70&gt;0,G70*$I70,ZeroCount*$I70))</f>
        <v/>
      </c>
      <c r="L70" s="293" t="str">
        <f t="shared" ref="L70:L101" si="54">IF(OR(H70=Blank,$E70=Blank),Blank,IF(H70&gt;0,H70*$I70,ZeroCount*$I70))</f>
        <v/>
      </c>
      <c r="M70" s="266"/>
      <c r="N70" s="291" t="str">
        <f t="shared" ref="N70:N101" si="55">IF(F70="","",IF(F70=0,IF(NOT(ZeroFlag),"",ZeroCount*$I70),J70))</f>
        <v/>
      </c>
      <c r="O70" s="291" t="str">
        <f t="shared" ref="O70:O101" si="56">IF(G70="","",IF(G70=0,IF(NOT(ZeroFlag),"",ZeroCount*$I70),K70))</f>
        <v/>
      </c>
      <c r="P70" s="291" t="str">
        <f t="shared" ref="P70:P101" si="57">IF(H70="","",IF(H70=0,IF(NOT(ZeroFlag),"",ZeroCount*$I70),L70))</f>
        <v/>
      </c>
      <c r="Q70" s="324">
        <f t="shared" si="50"/>
        <v>44025</v>
      </c>
      <c r="R70" s="277">
        <v>64</v>
      </c>
      <c r="S70" s="291" t="e">
        <f t="shared" ref="S70:S101" si="58">IF((R70/Scalar)-INT(R70/Scalar)=0,Ymax,NA())</f>
        <v>#N/A</v>
      </c>
      <c r="T70" s="291"/>
      <c r="U70" s="291" t="e">
        <f t="shared" ref="U70:U101" si="59">IF(ISNA(S70),NA(),TEXT(C70,DateFormat))</f>
        <v>#N/A</v>
      </c>
      <c r="V70" s="291" t="str">
        <f t="shared" si="15"/>
        <v/>
      </c>
      <c r="W70" s="291" t="str">
        <f t="shared" si="16"/>
        <v/>
      </c>
      <c r="X70" s="291" t="str">
        <f t="shared" si="30"/>
        <v/>
      </c>
      <c r="Y70" s="291" t="str">
        <f t="shared" si="31"/>
        <v/>
      </c>
      <c r="Z70" s="276">
        <v>64</v>
      </c>
      <c r="AA70" s="433">
        <v>64</v>
      </c>
      <c r="AB70" s="291">
        <v>46.366762510476022</v>
      </c>
      <c r="AC70" s="279">
        <f t="shared" si="17"/>
        <v>1.6662067729947674</v>
      </c>
      <c r="AD70" s="279">
        <f t="shared" ref="AD70:AD133" ca="1" si="60">IF(AND(AA70="",AC70=""),"",m*AA70+b)</f>
        <v>1.8001741411469989</v>
      </c>
      <c r="AE70" s="279">
        <f t="shared" ca="1" si="23"/>
        <v>63.121039321067492</v>
      </c>
      <c r="AF70" s="279">
        <f t="shared" ca="1" si="18"/>
        <v>1.3613423906145279</v>
      </c>
      <c r="AG70" s="278">
        <f t="shared" ref="AG70:AG133" ca="1" si="61">IF(AE70="","",AE70*AltBounce)</f>
        <v>72.993071522645579</v>
      </c>
      <c r="AH70" s="278">
        <f t="shared" ref="AH70:AH133" ca="1" si="62">IF(AA70="","",AE70*(1/AltBounce))</f>
        <v>54.584161508200928</v>
      </c>
      <c r="AJ70" s="50"/>
      <c r="AK70" s="55"/>
      <c r="AL70" s="55"/>
      <c r="AM70" s="55"/>
      <c r="AN70" s="55"/>
      <c r="AO70" s="55"/>
      <c r="AP70" s="55"/>
      <c r="AQ70" s="55"/>
      <c r="AR70" s="55"/>
      <c r="AS70" s="55"/>
      <c r="AT70" s="55"/>
      <c r="AU70" s="55"/>
      <c r="AV70" s="55"/>
      <c r="AW70" s="55"/>
      <c r="AX70" s="442">
        <v>1.0997618822295987</v>
      </c>
      <c r="AY70" s="55"/>
      <c r="AZ70" s="55"/>
      <c r="BA70" s="55"/>
      <c r="BB70" s="55"/>
    </row>
    <row r="71" spans="1:54" ht="12.75" customHeight="1">
      <c r="A71" s="80"/>
      <c r="B71" s="264" t="str">
        <f t="shared" ref="B71:B134" si="63">CHOOSE(WEEKDAY(C71),"SUN","MON","TUE","WED","THU","FRI","SAT")</f>
        <v>TUE</v>
      </c>
      <c r="C71" s="267">
        <f t="shared" ref="C71:C102" si="64">IF($C$6&gt;0,IF(MDY="Y",DATE(YEAR(C70)+1,MONTH(1),DAY(1)),IF(MDY="M",DATE(YEAR(C70),MONTH(C70)+1,DAY(1)),IF(MDY="W",DATE(YEAR(C70),MONTH(C70),DAY(C70)+7),DATE(YEAR(C70),MONTH(C70),DAY(C70)+1)))),"")</f>
        <v>44026</v>
      </c>
      <c r="D71" s="430">
        <f t="shared" si="21"/>
        <v>65</v>
      </c>
      <c r="E71" s="473"/>
      <c r="F71" s="483"/>
      <c r="G71" s="472"/>
      <c r="H71" s="472"/>
      <c r="I71" s="292" t="str">
        <f t="shared" si="51"/>
        <v/>
      </c>
      <c r="J71" s="293" t="str">
        <f t="shared" si="52"/>
        <v/>
      </c>
      <c r="K71" s="293" t="str">
        <f t="shared" si="53"/>
        <v/>
      </c>
      <c r="L71" s="293" t="str">
        <f t="shared" si="54"/>
        <v/>
      </c>
      <c r="M71" s="266"/>
      <c r="N71" s="291" t="str">
        <f t="shared" si="55"/>
        <v/>
      </c>
      <c r="O71" s="291" t="str">
        <f t="shared" si="56"/>
        <v/>
      </c>
      <c r="P71" s="291" t="str">
        <f t="shared" si="57"/>
        <v/>
      </c>
      <c r="Q71" s="324">
        <f t="shared" si="50"/>
        <v>44026</v>
      </c>
      <c r="R71" s="277">
        <v>65</v>
      </c>
      <c r="S71" s="291" t="e">
        <f t="shared" si="58"/>
        <v>#N/A</v>
      </c>
      <c r="T71" s="291"/>
      <c r="U71" s="291" t="e">
        <f t="shared" si="59"/>
        <v>#N/A</v>
      </c>
      <c r="V71" s="291" t="str">
        <f t="shared" ref="V71:V134" si="65">IF(E71&lt;&gt;"",I71,"")</f>
        <v/>
      </c>
      <c r="W71" s="291" t="str">
        <f t="shared" ref="W71:W134" si="66">IF(N71="","",N71)</f>
        <v/>
      </c>
      <c r="X71" s="291" t="str">
        <f t="shared" si="30"/>
        <v/>
      </c>
      <c r="Y71" s="291" t="str">
        <f t="shared" si="31"/>
        <v/>
      </c>
      <c r="Z71" s="276">
        <v>65</v>
      </c>
      <c r="AA71" s="433">
        <v>65</v>
      </c>
      <c r="AB71" s="291">
        <v>49.119689598080292</v>
      </c>
      <c r="AC71" s="279">
        <f t="shared" ref="AC71:AC134" si="67">IF(AB71="","",LOG(AB71))</f>
        <v>1.6912556137058548</v>
      </c>
      <c r="AD71" s="279">
        <f t="shared" ca="1" si="60"/>
        <v>1.8044862556603651</v>
      </c>
      <c r="AE71" s="279">
        <f t="shared" ca="1" si="23"/>
        <v>63.750890514520748</v>
      </c>
      <c r="AF71" s="279">
        <f t="shared" ref="AF71:AF134" ca="1" si="68">IF((AB71=""),"",AE71/AB71)</f>
        <v>1.297868350475331</v>
      </c>
      <c r="AG71" s="278">
        <f t="shared" ca="1" si="61"/>
        <v>73.721430461390312</v>
      </c>
      <c r="AH71" s="278">
        <f t="shared" ca="1" si="62"/>
        <v>55.128827750065405</v>
      </c>
      <c r="AJ71" s="50"/>
      <c r="AK71" s="55"/>
      <c r="AL71" s="55"/>
      <c r="AM71" s="55"/>
      <c r="AN71" s="55"/>
      <c r="AO71" s="55"/>
      <c r="AP71" s="55"/>
      <c r="AQ71" s="55"/>
      <c r="AR71" s="55"/>
      <c r="AS71" s="55"/>
      <c r="AT71" s="55"/>
      <c r="AU71" s="55"/>
      <c r="AV71" s="55"/>
      <c r="AW71" s="55"/>
      <c r="AX71" s="442">
        <v>1.1090492740766558</v>
      </c>
      <c r="AY71" s="55"/>
      <c r="AZ71" s="55"/>
      <c r="BA71" s="55"/>
      <c r="BB71" s="55"/>
    </row>
    <row r="72" spans="1:54" ht="12.75" customHeight="1">
      <c r="A72" s="80"/>
      <c r="B72" s="264" t="str">
        <f t="shared" si="63"/>
        <v>WED</v>
      </c>
      <c r="C72" s="267">
        <f t="shared" si="64"/>
        <v>44027</v>
      </c>
      <c r="D72" s="430">
        <f t="shared" ref="D72:D135" si="69">D71+1</f>
        <v>66</v>
      </c>
      <c r="E72" s="473"/>
      <c r="F72" s="483"/>
      <c r="G72" s="472"/>
      <c r="H72" s="472"/>
      <c r="I72" s="292" t="str">
        <f t="shared" si="51"/>
        <v/>
      </c>
      <c r="J72" s="293" t="str">
        <f t="shared" si="52"/>
        <v/>
      </c>
      <c r="K72" s="293" t="str">
        <f t="shared" si="53"/>
        <v/>
      </c>
      <c r="L72" s="293" t="str">
        <f t="shared" si="54"/>
        <v/>
      </c>
      <c r="M72" s="266"/>
      <c r="N72" s="291" t="str">
        <f t="shared" si="55"/>
        <v/>
      </c>
      <c r="O72" s="291" t="str">
        <f t="shared" si="56"/>
        <v/>
      </c>
      <c r="P72" s="291" t="str">
        <f t="shared" si="57"/>
        <v/>
      </c>
      <c r="Q72" s="324">
        <f t="shared" si="50"/>
        <v>44027</v>
      </c>
      <c r="R72" s="277">
        <v>66</v>
      </c>
      <c r="S72" s="291" t="e">
        <f t="shared" si="58"/>
        <v>#N/A</v>
      </c>
      <c r="T72" s="291"/>
      <c r="U72" s="291" t="e">
        <f t="shared" si="59"/>
        <v>#N/A</v>
      </c>
      <c r="V72" s="291" t="str">
        <f t="shared" si="65"/>
        <v/>
      </c>
      <c r="W72" s="291" t="str">
        <f t="shared" si="66"/>
        <v/>
      </c>
      <c r="X72" s="291" t="str">
        <f t="shared" si="30"/>
        <v/>
      </c>
      <c r="Y72" s="291" t="str">
        <f t="shared" si="31"/>
        <v/>
      </c>
      <c r="Z72" s="276">
        <v>66</v>
      </c>
      <c r="AA72" s="433">
        <v>66</v>
      </c>
      <c r="AB72" s="291">
        <v>80.889606622873416</v>
      </c>
      <c r="AC72" s="279">
        <f t="shared" si="67"/>
        <v>1.9078927233884575</v>
      </c>
      <c r="AD72" s="279">
        <f t="shared" ca="1" si="60"/>
        <v>1.8087983701737314</v>
      </c>
      <c r="AE72" s="279">
        <f t="shared" ca="1" si="23"/>
        <v>64.387026657178922</v>
      </c>
      <c r="AF72" s="279">
        <f t="shared" ca="1" si="68"/>
        <v>0.79598639856621567</v>
      </c>
      <c r="AG72" s="278">
        <f t="shared" ca="1" si="61"/>
        <v>74.457057305603101</v>
      </c>
      <c r="AH72" s="278">
        <f t="shared" ca="1" si="62"/>
        <v>55.678928925925931</v>
      </c>
      <c r="AJ72" s="50"/>
      <c r="AK72" s="55"/>
      <c r="AL72" s="55"/>
      <c r="AM72" s="55"/>
      <c r="AN72" s="55"/>
      <c r="AO72" s="55"/>
      <c r="AP72" s="55"/>
      <c r="AQ72" s="55"/>
      <c r="AR72" s="55"/>
      <c r="AS72" s="55"/>
      <c r="AT72" s="55"/>
      <c r="AU72" s="55"/>
      <c r="AV72" s="55"/>
      <c r="AW72" s="55"/>
      <c r="AX72" s="440">
        <v>1.1234388808444689</v>
      </c>
      <c r="AY72" s="55"/>
      <c r="AZ72" s="55"/>
      <c r="BA72" s="55"/>
      <c r="BB72" s="55"/>
    </row>
    <row r="73" spans="1:54" ht="12.75" customHeight="1">
      <c r="A73" s="80"/>
      <c r="B73" s="264" t="str">
        <f t="shared" si="63"/>
        <v>THU</v>
      </c>
      <c r="C73" s="267">
        <f t="shared" si="64"/>
        <v>44028</v>
      </c>
      <c r="D73" s="430">
        <f t="shared" si="69"/>
        <v>67</v>
      </c>
      <c r="E73" s="473"/>
      <c r="F73" s="483"/>
      <c r="G73" s="472"/>
      <c r="H73" s="472"/>
      <c r="I73" s="292" t="str">
        <f t="shared" si="51"/>
        <v/>
      </c>
      <c r="J73" s="293" t="str">
        <f t="shared" si="52"/>
        <v/>
      </c>
      <c r="K73" s="293" t="str">
        <f t="shared" si="53"/>
        <v/>
      </c>
      <c r="L73" s="293" t="str">
        <f t="shared" si="54"/>
        <v/>
      </c>
      <c r="M73" s="266"/>
      <c r="N73" s="291" t="str">
        <f t="shared" si="55"/>
        <v/>
      </c>
      <c r="O73" s="291" t="str">
        <f t="shared" si="56"/>
        <v/>
      </c>
      <c r="P73" s="291" t="str">
        <f t="shared" si="57"/>
        <v/>
      </c>
      <c r="Q73" s="324">
        <f t="shared" si="50"/>
        <v>44028</v>
      </c>
      <c r="R73" s="277">
        <v>67</v>
      </c>
      <c r="S73" s="291" t="e">
        <f t="shared" si="58"/>
        <v>#N/A</v>
      </c>
      <c r="T73" s="291"/>
      <c r="U73" s="291" t="e">
        <f t="shared" si="59"/>
        <v>#N/A</v>
      </c>
      <c r="V73" s="291" t="str">
        <f t="shared" si="65"/>
        <v/>
      </c>
      <c r="W73" s="291" t="str">
        <f t="shared" si="66"/>
        <v/>
      </c>
      <c r="X73" s="291" t="str">
        <f t="shared" si="30"/>
        <v/>
      </c>
      <c r="Y73" s="291" t="str">
        <f t="shared" si="31"/>
        <v/>
      </c>
      <c r="Z73" s="276">
        <v>67</v>
      </c>
      <c r="AA73" s="433">
        <v>67</v>
      </c>
      <c r="AB73" s="291">
        <v>55.676896965889796</v>
      </c>
      <c r="AC73" s="279">
        <f t="shared" si="67"/>
        <v>1.7456750227924447</v>
      </c>
      <c r="AD73" s="279">
        <f t="shared" ca="1" si="60"/>
        <v>1.8131104846870976</v>
      </c>
      <c r="AE73" s="279">
        <f t="shared" ca="1" si="23"/>
        <v>65.029510463198804</v>
      </c>
      <c r="AF73" s="279">
        <f t="shared" ca="1" si="68"/>
        <v>1.1679801498822544</v>
      </c>
      <c r="AG73" s="278">
        <f t="shared" ca="1" si="61"/>
        <v>75.200024577837141</v>
      </c>
      <c r="AH73" s="278">
        <f t="shared" ca="1" si="62"/>
        <v>56.234519268090786</v>
      </c>
      <c r="AJ73" s="50"/>
      <c r="AK73" s="55"/>
      <c r="AL73" s="55"/>
      <c r="AM73" s="55"/>
      <c r="AN73" s="55"/>
      <c r="AO73" s="55"/>
      <c r="AP73" s="55"/>
      <c r="AQ73" s="55"/>
      <c r="AR73" s="55"/>
      <c r="AS73" s="55"/>
      <c r="AT73" s="55"/>
      <c r="AU73" s="55"/>
      <c r="AV73" s="55"/>
      <c r="AW73" s="55"/>
      <c r="AX73" s="440">
        <v>1.1337270974875284</v>
      </c>
      <c r="AY73" s="55"/>
      <c r="AZ73" s="55"/>
      <c r="BA73" s="55"/>
      <c r="BB73" s="55"/>
    </row>
    <row r="74" spans="1:54" ht="12.75" customHeight="1">
      <c r="A74" s="80"/>
      <c r="B74" s="264" t="str">
        <f t="shared" si="63"/>
        <v>FRI</v>
      </c>
      <c r="C74" s="267">
        <f t="shared" si="64"/>
        <v>44029</v>
      </c>
      <c r="D74" s="430">
        <f t="shared" si="69"/>
        <v>68</v>
      </c>
      <c r="E74" s="473"/>
      <c r="F74" s="483"/>
      <c r="G74" s="472"/>
      <c r="H74" s="472"/>
      <c r="I74" s="292" t="str">
        <f t="shared" si="51"/>
        <v/>
      </c>
      <c r="J74" s="293" t="str">
        <f t="shared" si="52"/>
        <v/>
      </c>
      <c r="K74" s="293" t="str">
        <f t="shared" si="53"/>
        <v/>
      </c>
      <c r="L74" s="293" t="str">
        <f t="shared" si="54"/>
        <v/>
      </c>
      <c r="M74" s="266"/>
      <c r="N74" s="291" t="str">
        <f t="shared" si="55"/>
        <v/>
      </c>
      <c r="O74" s="291" t="str">
        <f t="shared" si="56"/>
        <v/>
      </c>
      <c r="P74" s="291" t="str">
        <f t="shared" si="57"/>
        <v/>
      </c>
      <c r="Q74" s="324">
        <f t="shared" si="50"/>
        <v>44029</v>
      </c>
      <c r="R74" s="277">
        <v>68</v>
      </c>
      <c r="S74" s="291" t="e">
        <f t="shared" si="58"/>
        <v>#N/A</v>
      </c>
      <c r="T74" s="291"/>
      <c r="U74" s="291" t="e">
        <f t="shared" si="59"/>
        <v>#N/A</v>
      </c>
      <c r="V74" s="291" t="str">
        <f t="shared" si="65"/>
        <v/>
      </c>
      <c r="W74" s="291" t="str">
        <f t="shared" si="66"/>
        <v/>
      </c>
      <c r="X74" s="291" t="str">
        <f t="shared" si="30"/>
        <v/>
      </c>
      <c r="Y74" s="291" t="str">
        <f t="shared" si="31"/>
        <v/>
      </c>
      <c r="Z74" s="276">
        <v>68</v>
      </c>
      <c r="AA74" s="433">
        <v>68</v>
      </c>
      <c r="AB74" s="291">
        <v>86.481952659226891</v>
      </c>
      <c r="AC74" s="279">
        <f t="shared" si="67"/>
        <v>1.936925486906788</v>
      </c>
      <c r="AD74" s="279">
        <f t="shared" ca="1" si="60"/>
        <v>1.8174225992004636</v>
      </c>
      <c r="AE74" s="279">
        <f t="shared" ca="1" si="23"/>
        <v>65.678405272528295</v>
      </c>
      <c r="AF74" s="279">
        <f t="shared" ca="1" si="68"/>
        <v>0.75944637294820572</v>
      </c>
      <c r="AG74" s="278">
        <f t="shared" ca="1" si="61"/>
        <v>75.950405524309488</v>
      </c>
      <c r="AH74" s="278">
        <f t="shared" ca="1" si="62"/>
        <v>56.795653550023502</v>
      </c>
      <c r="AJ74" s="50"/>
      <c r="AK74" s="55"/>
      <c r="AL74" s="55"/>
      <c r="AM74" s="55"/>
      <c r="AN74" s="55"/>
      <c r="AO74" s="55"/>
      <c r="AP74" s="55"/>
      <c r="AQ74" s="55"/>
      <c r="AR74" s="55"/>
      <c r="AS74" s="55"/>
      <c r="AT74" s="55"/>
      <c r="AU74" s="55"/>
      <c r="AV74" s="55"/>
      <c r="AW74" s="55"/>
      <c r="AX74" s="440">
        <v>1.13769962157825</v>
      </c>
      <c r="AY74" s="55"/>
      <c r="AZ74" s="55"/>
      <c r="BA74" s="55"/>
      <c r="BB74" s="55"/>
    </row>
    <row r="75" spans="1:54" ht="12.75" customHeight="1">
      <c r="A75" s="80"/>
      <c r="B75" s="264" t="str">
        <f t="shared" si="63"/>
        <v>SAT</v>
      </c>
      <c r="C75" s="267">
        <f t="shared" si="64"/>
        <v>44030</v>
      </c>
      <c r="D75" s="430">
        <f t="shared" si="69"/>
        <v>69</v>
      </c>
      <c r="E75" s="473"/>
      <c r="F75" s="483"/>
      <c r="G75" s="472"/>
      <c r="H75" s="472"/>
      <c r="I75" s="292" t="str">
        <f t="shared" si="51"/>
        <v/>
      </c>
      <c r="J75" s="293" t="str">
        <f t="shared" si="52"/>
        <v/>
      </c>
      <c r="K75" s="293" t="str">
        <f t="shared" si="53"/>
        <v/>
      </c>
      <c r="L75" s="293" t="str">
        <f t="shared" si="54"/>
        <v/>
      </c>
      <c r="M75" s="266"/>
      <c r="N75" s="291" t="str">
        <f t="shared" si="55"/>
        <v/>
      </c>
      <c r="O75" s="291" t="str">
        <f t="shared" si="56"/>
        <v/>
      </c>
      <c r="P75" s="291" t="str">
        <f t="shared" si="57"/>
        <v/>
      </c>
      <c r="Q75" s="324">
        <f t="shared" si="50"/>
        <v>44030</v>
      </c>
      <c r="R75" s="277">
        <v>69</v>
      </c>
      <c r="S75" s="291" t="e">
        <f t="shared" si="58"/>
        <v>#N/A</v>
      </c>
      <c r="T75" s="291"/>
      <c r="U75" s="291" t="e">
        <f t="shared" si="59"/>
        <v>#N/A</v>
      </c>
      <c r="V75" s="291" t="str">
        <f t="shared" si="65"/>
        <v/>
      </c>
      <c r="W75" s="291" t="str">
        <f t="shared" si="66"/>
        <v/>
      </c>
      <c r="X75" s="291" t="str">
        <f t="shared" si="30"/>
        <v/>
      </c>
      <c r="Y75" s="291" t="str">
        <f t="shared" si="31"/>
        <v/>
      </c>
      <c r="Z75" s="276">
        <v>69</v>
      </c>
      <c r="AA75" s="433">
        <v>69</v>
      </c>
      <c r="AB75" s="291">
        <v>58.305174581257965</v>
      </c>
      <c r="AC75" s="279">
        <f t="shared" si="67"/>
        <v>1.7657071000825135</v>
      </c>
      <c r="AD75" s="279">
        <f t="shared" ca="1" si="60"/>
        <v>1.8217347137138298</v>
      </c>
      <c r="AE75" s="279">
        <f t="shared" ca="1" si="23"/>
        <v>66.333775057150987</v>
      </c>
      <c r="AF75" s="279">
        <f t="shared" ca="1" si="68"/>
        <v>1.13769962157825</v>
      </c>
      <c r="AG75" s="278">
        <f t="shared" ca="1" si="61"/>
        <v>76.708274122122305</v>
      </c>
      <c r="AH75" s="278">
        <f t="shared" ca="1" si="62"/>
        <v>57.362387091742931</v>
      </c>
      <c r="AJ75" s="50"/>
      <c r="AK75" s="55"/>
      <c r="AL75" s="55"/>
      <c r="AM75" s="55"/>
      <c r="AN75" s="55"/>
      <c r="AO75" s="55"/>
      <c r="AP75" s="55"/>
      <c r="AQ75" s="55"/>
      <c r="AR75" s="55"/>
      <c r="AS75" s="55"/>
      <c r="AT75" s="55"/>
      <c r="AU75" s="55"/>
      <c r="AV75" s="55"/>
      <c r="AW75" s="55"/>
      <c r="AX75" s="442">
        <v>1.141120132825743</v>
      </c>
      <c r="AY75" s="55"/>
      <c r="AZ75" s="55"/>
      <c r="BA75" s="55"/>
      <c r="BB75" s="55"/>
    </row>
    <row r="76" spans="1:54" ht="12.75" customHeight="1">
      <c r="A76" s="80"/>
      <c r="B76" s="264" t="str">
        <f t="shared" si="63"/>
        <v>SUN</v>
      </c>
      <c r="C76" s="267">
        <f t="shared" si="64"/>
        <v>44031</v>
      </c>
      <c r="D76" s="430">
        <f t="shared" si="69"/>
        <v>70</v>
      </c>
      <c r="E76" s="473"/>
      <c r="F76" s="483"/>
      <c r="G76" s="472"/>
      <c r="H76" s="472"/>
      <c r="I76" s="292" t="str">
        <f t="shared" si="51"/>
        <v/>
      </c>
      <c r="J76" s="293" t="str">
        <f t="shared" si="52"/>
        <v/>
      </c>
      <c r="K76" s="293" t="str">
        <f t="shared" si="53"/>
        <v/>
      </c>
      <c r="L76" s="293" t="str">
        <f t="shared" si="54"/>
        <v/>
      </c>
      <c r="M76" s="266"/>
      <c r="N76" s="291" t="str">
        <f t="shared" si="55"/>
        <v/>
      </c>
      <c r="O76" s="291" t="str">
        <f t="shared" si="56"/>
        <v/>
      </c>
      <c r="P76" s="291" t="str">
        <f t="shared" si="57"/>
        <v/>
      </c>
      <c r="Q76" s="324">
        <f t="shared" si="50"/>
        <v>44031</v>
      </c>
      <c r="R76" s="277">
        <v>70</v>
      </c>
      <c r="S76" s="291">
        <f t="shared" si="58"/>
        <v>100000</v>
      </c>
      <c r="T76" s="291"/>
      <c r="U76" s="291" t="str">
        <f t="shared" si="59"/>
        <v>07/19/20</v>
      </c>
      <c r="V76" s="291" t="str">
        <f t="shared" si="65"/>
        <v/>
      </c>
      <c r="W76" s="291" t="str">
        <f t="shared" si="66"/>
        <v/>
      </c>
      <c r="X76" s="291" t="str">
        <f t="shared" si="30"/>
        <v/>
      </c>
      <c r="Y76" s="291" t="str">
        <f t="shared" si="31"/>
        <v/>
      </c>
      <c r="Z76" s="276">
        <v>70</v>
      </c>
      <c r="AA76" s="433">
        <v>70</v>
      </c>
      <c r="AB76" s="291">
        <v>74.14697265625</v>
      </c>
      <c r="AC76" s="279">
        <f t="shared" si="67"/>
        <v>1.8700934239345264</v>
      </c>
      <c r="AD76" s="279">
        <f t="shared" ca="1" si="60"/>
        <v>1.826046828227196</v>
      </c>
      <c r="AE76" s="279">
        <f t="shared" ref="AE76:AE139" ca="1" si="70">IF(AA76="","",10^(AD76))</f>
        <v>66.995684427392632</v>
      </c>
      <c r="AF76" s="279">
        <f t="shared" ca="1" si="68"/>
        <v>0.90355252584604917</v>
      </c>
      <c r="AG76" s="278">
        <f t="shared" ca="1" si="61"/>
        <v>77.473705086555611</v>
      </c>
      <c r="AH76" s="278">
        <f t="shared" ca="1" si="62"/>
        <v>57.934775765276747</v>
      </c>
      <c r="AJ76" s="50"/>
      <c r="AK76" s="55"/>
      <c r="AL76" s="55"/>
      <c r="AM76" s="55"/>
      <c r="AN76" s="55"/>
      <c r="AO76" s="55"/>
      <c r="AP76" s="55"/>
      <c r="AQ76" s="55"/>
      <c r="AR76" s="55"/>
      <c r="AS76" s="55"/>
      <c r="AT76" s="55"/>
      <c r="AU76" s="55"/>
      <c r="AV76" s="55"/>
      <c r="AW76" s="55"/>
      <c r="AX76" s="442">
        <v>1.1462737517762898</v>
      </c>
      <c r="AY76" s="55"/>
      <c r="AZ76" s="55"/>
      <c r="BA76" s="55"/>
      <c r="BB76" s="55"/>
    </row>
    <row r="77" spans="1:54" ht="12.75" customHeight="1">
      <c r="A77" s="80"/>
      <c r="B77" s="264" t="str">
        <f t="shared" si="63"/>
        <v>MON</v>
      </c>
      <c r="C77" s="267">
        <f t="shared" si="64"/>
        <v>44032</v>
      </c>
      <c r="D77" s="430">
        <f t="shared" si="69"/>
        <v>71</v>
      </c>
      <c r="E77" s="473"/>
      <c r="F77" s="483"/>
      <c r="G77" s="472"/>
      <c r="H77" s="472"/>
      <c r="I77" s="292" t="str">
        <f t="shared" si="51"/>
        <v/>
      </c>
      <c r="J77" s="293" t="str">
        <f t="shared" si="52"/>
        <v/>
      </c>
      <c r="K77" s="293" t="str">
        <f t="shared" si="53"/>
        <v/>
      </c>
      <c r="L77" s="293" t="str">
        <f t="shared" si="54"/>
        <v/>
      </c>
      <c r="M77" s="266"/>
      <c r="N77" s="291" t="str">
        <f t="shared" si="55"/>
        <v/>
      </c>
      <c r="O77" s="291" t="str">
        <f t="shared" si="56"/>
        <v/>
      </c>
      <c r="P77" s="291" t="str">
        <f t="shared" si="57"/>
        <v/>
      </c>
      <c r="Q77" s="324">
        <f>C77</f>
        <v>44032</v>
      </c>
      <c r="R77" s="277">
        <v>71</v>
      </c>
      <c r="S77" s="291" t="e">
        <f t="shared" si="58"/>
        <v>#N/A</v>
      </c>
      <c r="T77" s="291"/>
      <c r="U77" s="291" t="e">
        <f t="shared" si="59"/>
        <v>#N/A</v>
      </c>
      <c r="V77" s="291" t="str">
        <f t="shared" si="65"/>
        <v/>
      </c>
      <c r="W77" s="291" t="str">
        <f t="shared" si="66"/>
        <v/>
      </c>
      <c r="X77" s="291" t="str">
        <f t="shared" si="30"/>
        <v/>
      </c>
      <c r="Y77" s="291" t="str">
        <f t="shared" si="31"/>
        <v/>
      </c>
      <c r="Z77" s="276">
        <v>71</v>
      </c>
      <c r="AA77" s="433">
        <v>71</v>
      </c>
      <c r="AB77" s="291">
        <v>63.007766058485913</v>
      </c>
      <c r="AC77" s="279">
        <f t="shared" si="67"/>
        <v>1.7993940819691772</v>
      </c>
      <c r="AD77" s="279">
        <f t="shared" ca="1" si="60"/>
        <v>1.830358942740562</v>
      </c>
      <c r="AE77" s="279">
        <f t="shared" ca="1" si="70"/>
        <v>67.664198638290983</v>
      </c>
      <c r="AF77" s="279">
        <f t="shared" ca="1" si="68"/>
        <v>1.0739025182305753</v>
      </c>
      <c r="AG77" s="278">
        <f t="shared" ca="1" si="61"/>
        <v>78.246773878433402</v>
      </c>
      <c r="AH77" s="278">
        <f t="shared" ca="1" si="62"/>
        <v>58.512876000169804</v>
      </c>
      <c r="AJ77" s="50"/>
      <c r="AK77" s="55"/>
      <c r="AL77" s="55"/>
      <c r="AM77" s="55"/>
      <c r="AN77" s="55"/>
      <c r="AO77" s="55"/>
      <c r="AP77" s="55"/>
      <c r="AQ77" s="55"/>
      <c r="AR77" s="55"/>
      <c r="AS77" s="55"/>
      <c r="AT77" s="55"/>
      <c r="AU77" s="55"/>
      <c r="AV77" s="55"/>
      <c r="AW77" s="55"/>
      <c r="AX77" s="442">
        <v>1.151287832031676</v>
      </c>
      <c r="AY77" s="55"/>
      <c r="AZ77" s="55"/>
      <c r="BA77" s="55"/>
      <c r="BB77" s="55"/>
    </row>
    <row r="78" spans="1:54" ht="12.75" customHeight="1">
      <c r="A78" s="80"/>
      <c r="B78" s="264" t="str">
        <f t="shared" si="63"/>
        <v>TUE</v>
      </c>
      <c r="C78" s="267">
        <f t="shared" si="64"/>
        <v>44033</v>
      </c>
      <c r="D78" s="430">
        <f t="shared" si="69"/>
        <v>72</v>
      </c>
      <c r="E78" s="473"/>
      <c r="F78" s="483"/>
      <c r="G78" s="472"/>
      <c r="H78" s="472"/>
      <c r="I78" s="292" t="str">
        <f t="shared" si="51"/>
        <v/>
      </c>
      <c r="J78" s="293" t="str">
        <f t="shared" si="52"/>
        <v/>
      </c>
      <c r="K78" s="293" t="str">
        <f t="shared" si="53"/>
        <v/>
      </c>
      <c r="L78" s="293" t="str">
        <f t="shared" si="54"/>
        <v/>
      </c>
      <c r="M78" s="266"/>
      <c r="N78" s="291" t="str">
        <f t="shared" si="55"/>
        <v/>
      </c>
      <c r="O78" s="291" t="str">
        <f t="shared" si="56"/>
        <v/>
      </c>
      <c r="P78" s="291" t="str">
        <f t="shared" si="57"/>
        <v/>
      </c>
      <c r="Q78" s="324">
        <f t="shared" ref="Q78:Q86" si="71">C78</f>
        <v>44033</v>
      </c>
      <c r="R78" s="277">
        <v>72</v>
      </c>
      <c r="S78" s="291" t="e">
        <f t="shared" si="58"/>
        <v>#N/A</v>
      </c>
      <c r="T78" s="291"/>
      <c r="U78" s="291" t="e">
        <f t="shared" si="59"/>
        <v>#N/A</v>
      </c>
      <c r="V78" s="291" t="str">
        <f t="shared" si="65"/>
        <v/>
      </c>
      <c r="W78" s="291" t="str">
        <f t="shared" si="66"/>
        <v/>
      </c>
      <c r="X78" s="291" t="str">
        <f t="shared" si="30"/>
        <v/>
      </c>
      <c r="Y78" s="291" t="str">
        <f t="shared" si="31"/>
        <v/>
      </c>
      <c r="Z78" s="276">
        <v>72</v>
      </c>
      <c r="AA78" s="433">
        <v>72</v>
      </c>
      <c r="AB78" s="291">
        <v>59.887983420992789</v>
      </c>
      <c r="AC78" s="279">
        <f t="shared" si="67"/>
        <v>1.77733968954305</v>
      </c>
      <c r="AD78" s="279">
        <f t="shared" ca="1" si="60"/>
        <v>1.8346710572539282</v>
      </c>
      <c r="AE78" s="279">
        <f t="shared" ca="1" si="70"/>
        <v>68.33938359602918</v>
      </c>
      <c r="AF78" s="279">
        <f t="shared" ca="1" si="68"/>
        <v>1.141120132825743</v>
      </c>
      <c r="AG78" s="278">
        <f t="shared" ca="1" si="61"/>
        <v>79.027556711563179</v>
      </c>
      <c r="AH78" s="278">
        <f t="shared" ca="1" si="62"/>
        <v>59.096744789047442</v>
      </c>
      <c r="AJ78" s="50"/>
      <c r="AK78" s="55"/>
      <c r="AL78" s="55"/>
      <c r="AM78" s="55"/>
      <c r="AN78" s="55"/>
      <c r="AO78" s="55"/>
      <c r="AP78" s="55"/>
      <c r="AQ78" s="55"/>
      <c r="AR78" s="55"/>
      <c r="AS78" s="55"/>
      <c r="AT78" s="55"/>
      <c r="AU78" s="55"/>
      <c r="AV78" s="55"/>
      <c r="AW78" s="55"/>
      <c r="AX78" s="114">
        <v>1.1572145219752219</v>
      </c>
      <c r="AY78" s="55"/>
      <c r="AZ78" s="55"/>
      <c r="BA78" s="55"/>
      <c r="BB78" s="55"/>
    </row>
    <row r="79" spans="1:54" ht="12.75" customHeight="1">
      <c r="A79" s="80"/>
      <c r="B79" s="264" t="str">
        <f t="shared" si="63"/>
        <v>WED</v>
      </c>
      <c r="C79" s="267">
        <f t="shared" si="64"/>
        <v>44034</v>
      </c>
      <c r="D79" s="430">
        <f t="shared" si="69"/>
        <v>73</v>
      </c>
      <c r="E79" s="473"/>
      <c r="F79" s="483"/>
      <c r="G79" s="472"/>
      <c r="H79" s="472"/>
      <c r="I79" s="292" t="str">
        <f t="shared" si="51"/>
        <v/>
      </c>
      <c r="J79" s="293" t="str">
        <f t="shared" si="52"/>
        <v/>
      </c>
      <c r="K79" s="293" t="str">
        <f t="shared" si="53"/>
        <v/>
      </c>
      <c r="L79" s="293" t="str">
        <f t="shared" si="54"/>
        <v/>
      </c>
      <c r="M79" s="266"/>
      <c r="N79" s="291" t="str">
        <f t="shared" si="55"/>
        <v/>
      </c>
      <c r="O79" s="291" t="str">
        <f t="shared" si="56"/>
        <v/>
      </c>
      <c r="P79" s="291" t="str">
        <f t="shared" si="57"/>
        <v/>
      </c>
      <c r="Q79" s="324">
        <f t="shared" si="71"/>
        <v>44034</v>
      </c>
      <c r="R79" s="277">
        <v>73</v>
      </c>
      <c r="S79" s="291" t="e">
        <f t="shared" si="58"/>
        <v>#N/A</v>
      </c>
      <c r="T79" s="291"/>
      <c r="U79" s="291" t="e">
        <f t="shared" si="59"/>
        <v>#N/A</v>
      </c>
      <c r="V79" s="291" t="str">
        <f t="shared" si="65"/>
        <v/>
      </c>
      <c r="W79" s="291" t="str">
        <f t="shared" si="66"/>
        <v/>
      </c>
      <c r="X79" s="291" t="str">
        <f t="shared" si="30"/>
        <v/>
      </c>
      <c r="Y79" s="291" t="str">
        <f t="shared" si="31"/>
        <v/>
      </c>
      <c r="Z79" s="276">
        <v>73</v>
      </c>
      <c r="AA79" s="433">
        <v>73</v>
      </c>
      <c r="AB79" s="291">
        <v>82.788063048980263</v>
      </c>
      <c r="AC79" s="279">
        <f t="shared" si="67"/>
        <v>1.9179677217403879</v>
      </c>
      <c r="AD79" s="279">
        <f t="shared" ca="1" si="60"/>
        <v>1.8389831717672944</v>
      </c>
      <c r="AE79" s="279">
        <f t="shared" ca="1" si="70"/>
        <v>69.021305864432776</v>
      </c>
      <c r="AF79" s="279">
        <f t="shared" ca="1" si="68"/>
        <v>0.83371084335669743</v>
      </c>
      <c r="AG79" s="278">
        <f t="shared" ca="1" si="61"/>
        <v>79.816130560249078</v>
      </c>
      <c r="AH79" s="278">
        <f t="shared" ca="1" si="62"/>
        <v>59.686439693233808</v>
      </c>
      <c r="AJ79" s="50"/>
      <c r="AK79" s="55"/>
      <c r="AL79" s="55"/>
      <c r="AM79" s="55"/>
      <c r="AN79" s="55"/>
      <c r="AO79" s="55"/>
      <c r="AP79" s="55"/>
      <c r="AQ79" s="55"/>
      <c r="AR79" s="55"/>
      <c r="AS79" s="55"/>
      <c r="AT79" s="55"/>
      <c r="AU79" s="55"/>
      <c r="AV79" s="55"/>
      <c r="AW79" s="55"/>
      <c r="AX79" s="440">
        <v>1.1572251890559089</v>
      </c>
      <c r="AY79" s="55"/>
      <c r="AZ79" s="55"/>
      <c r="BA79" s="55"/>
      <c r="BB79" s="55"/>
    </row>
    <row r="80" spans="1:54" ht="12.75" customHeight="1">
      <c r="A80" s="80"/>
      <c r="B80" s="264" t="str">
        <f t="shared" si="63"/>
        <v>THU</v>
      </c>
      <c r="C80" s="267">
        <f t="shared" si="64"/>
        <v>44035</v>
      </c>
      <c r="D80" s="430">
        <f t="shared" si="69"/>
        <v>74</v>
      </c>
      <c r="E80" s="473"/>
      <c r="F80" s="483"/>
      <c r="G80" s="472"/>
      <c r="H80" s="472"/>
      <c r="I80" s="292" t="str">
        <f t="shared" si="51"/>
        <v/>
      </c>
      <c r="J80" s="293" t="str">
        <f t="shared" si="52"/>
        <v/>
      </c>
      <c r="K80" s="293" t="str">
        <f t="shared" si="53"/>
        <v/>
      </c>
      <c r="L80" s="293" t="str">
        <f t="shared" si="54"/>
        <v/>
      </c>
      <c r="M80" s="266"/>
      <c r="N80" s="291" t="str">
        <f t="shared" si="55"/>
        <v/>
      </c>
      <c r="O80" s="291" t="str">
        <f t="shared" si="56"/>
        <v/>
      </c>
      <c r="P80" s="291" t="str">
        <f t="shared" si="57"/>
        <v/>
      </c>
      <c r="Q80" s="324">
        <f t="shared" si="71"/>
        <v>44035</v>
      </c>
      <c r="R80" s="277">
        <v>74</v>
      </c>
      <c r="S80" s="291" t="e">
        <f t="shared" si="58"/>
        <v>#N/A</v>
      </c>
      <c r="T80" s="291"/>
      <c r="U80" s="291" t="e">
        <f t="shared" si="59"/>
        <v>#N/A</v>
      </c>
      <c r="V80" s="291" t="str">
        <f t="shared" si="65"/>
        <v/>
      </c>
      <c r="W80" s="291" t="str">
        <f t="shared" si="66"/>
        <v/>
      </c>
      <c r="X80" s="291" t="str">
        <f t="shared" si="30"/>
        <v/>
      </c>
      <c r="Y80" s="291" t="str">
        <f t="shared" si="31"/>
        <v/>
      </c>
      <c r="Z80" s="276">
        <v>74</v>
      </c>
      <c r="AA80" s="433">
        <v>74</v>
      </c>
      <c r="AB80" s="291">
        <v>56.708453138095024</v>
      </c>
      <c r="AC80" s="279">
        <f t="shared" si="67"/>
        <v>1.7536478010022405</v>
      </c>
      <c r="AD80" s="279">
        <f t="shared" ca="1" si="60"/>
        <v>1.8432952862806604</v>
      </c>
      <c r="AE80" s="279">
        <f t="shared" ca="1" si="70"/>
        <v>69.710032671532431</v>
      </c>
      <c r="AF80" s="279">
        <f t="shared" ca="1" si="68"/>
        <v>1.229270572797609</v>
      </c>
      <c r="AG80" s="278">
        <f t="shared" ca="1" si="61"/>
        <v>80.61257316688102</v>
      </c>
      <c r="AH80" s="278">
        <f t="shared" ca="1" si="62"/>
        <v>60.282018848426958</v>
      </c>
      <c r="AJ80" s="50"/>
      <c r="AK80" s="55"/>
      <c r="AL80" s="55"/>
      <c r="AM80" s="55"/>
      <c r="AN80" s="55"/>
      <c r="AO80" s="55"/>
      <c r="AP80" s="55"/>
      <c r="AQ80" s="55"/>
      <c r="AR80" s="55"/>
      <c r="AS80" s="55"/>
      <c r="AT80" s="55"/>
      <c r="AU80" s="55"/>
      <c r="AV80" s="55"/>
      <c r="AW80" s="55"/>
      <c r="AX80" s="442">
        <v>1.1618219511437933</v>
      </c>
      <c r="AY80" s="55"/>
      <c r="AZ80" s="55"/>
      <c r="BA80" s="55"/>
      <c r="BB80" s="55"/>
    </row>
    <row r="81" spans="1:54" ht="12.75" customHeight="1">
      <c r="A81" s="80"/>
      <c r="B81" s="264" t="str">
        <f t="shared" si="63"/>
        <v>FRI</v>
      </c>
      <c r="C81" s="267">
        <f t="shared" si="64"/>
        <v>44036</v>
      </c>
      <c r="D81" s="430">
        <f t="shared" si="69"/>
        <v>75</v>
      </c>
      <c r="E81" s="473"/>
      <c r="F81" s="483"/>
      <c r="G81" s="472"/>
      <c r="H81" s="472"/>
      <c r="I81" s="292" t="str">
        <f t="shared" si="51"/>
        <v/>
      </c>
      <c r="J81" s="293" t="str">
        <f t="shared" si="52"/>
        <v/>
      </c>
      <c r="K81" s="293" t="str">
        <f t="shared" si="53"/>
        <v/>
      </c>
      <c r="L81" s="293" t="str">
        <f t="shared" si="54"/>
        <v/>
      </c>
      <c r="M81" s="266"/>
      <c r="N81" s="291" t="str">
        <f t="shared" si="55"/>
        <v/>
      </c>
      <c r="O81" s="291" t="str">
        <f t="shared" si="56"/>
        <v/>
      </c>
      <c r="P81" s="291" t="str">
        <f t="shared" si="57"/>
        <v/>
      </c>
      <c r="Q81" s="324">
        <f t="shared" si="71"/>
        <v>44036</v>
      </c>
      <c r="R81" s="277">
        <v>75</v>
      </c>
      <c r="S81" s="291" t="e">
        <f t="shared" si="58"/>
        <v>#N/A</v>
      </c>
      <c r="T81" s="291"/>
      <c r="U81" s="291" t="e">
        <f t="shared" si="59"/>
        <v>#N/A</v>
      </c>
      <c r="V81" s="291" t="str">
        <f t="shared" si="65"/>
        <v/>
      </c>
      <c r="W81" s="291" t="str">
        <f t="shared" si="66"/>
        <v/>
      </c>
      <c r="X81" s="291" t="str">
        <f t="shared" si="30"/>
        <v/>
      </c>
      <c r="Y81" s="291" t="str">
        <f t="shared" si="31"/>
        <v/>
      </c>
      <c r="Z81" s="276">
        <v>75</v>
      </c>
      <c r="AA81" s="433">
        <v>75</v>
      </c>
      <c r="AB81" s="291">
        <v>84.64961199760036</v>
      </c>
      <c r="AC81" s="279">
        <f t="shared" si="67"/>
        <v>1.9276249718048204</v>
      </c>
      <c r="AD81" s="279">
        <f t="shared" ca="1" si="60"/>
        <v>1.8476074007940266</v>
      </c>
      <c r="AE81" s="279">
        <f t="shared" ca="1" si="70"/>
        <v>70.40563191619151</v>
      </c>
      <c r="AF81" s="279">
        <f t="shared" ca="1" si="68"/>
        <v>0.83173011966300991</v>
      </c>
      <c r="AG81" s="278">
        <f t="shared" ca="1" si="61"/>
        <v>81.416963049598806</v>
      </c>
      <c r="AH81" s="278">
        <f t="shared" ca="1" si="62"/>
        <v>60.883540970430126</v>
      </c>
      <c r="AJ81" s="50"/>
      <c r="AK81" s="55"/>
      <c r="AL81" s="55"/>
      <c r="AM81" s="55"/>
      <c r="AN81" s="55"/>
      <c r="AO81" s="55"/>
      <c r="AP81" s="55"/>
      <c r="AQ81" s="55"/>
      <c r="AR81" s="55"/>
      <c r="AS81" s="55"/>
      <c r="AT81" s="55"/>
      <c r="AU81" s="55"/>
      <c r="AV81" s="55"/>
      <c r="AW81" s="55"/>
      <c r="AX81" s="442">
        <v>1.1679801498822544</v>
      </c>
      <c r="AY81" s="55"/>
      <c r="AZ81" s="55"/>
      <c r="BA81" s="55"/>
      <c r="BB81" s="55"/>
    </row>
    <row r="82" spans="1:54" ht="12.75" customHeight="1">
      <c r="A82" s="80"/>
      <c r="B82" s="264" t="str">
        <f t="shared" si="63"/>
        <v>SAT</v>
      </c>
      <c r="C82" s="267">
        <f t="shared" si="64"/>
        <v>44037</v>
      </c>
      <c r="D82" s="430">
        <f t="shared" si="69"/>
        <v>76</v>
      </c>
      <c r="E82" s="473"/>
      <c r="F82" s="483"/>
      <c r="G82" s="472"/>
      <c r="H82" s="472"/>
      <c r="I82" s="292" t="str">
        <f t="shared" si="51"/>
        <v/>
      </c>
      <c r="J82" s="293" t="str">
        <f t="shared" si="52"/>
        <v/>
      </c>
      <c r="K82" s="293" t="str">
        <f t="shared" si="53"/>
        <v/>
      </c>
      <c r="L82" s="293" t="str">
        <f t="shared" si="54"/>
        <v/>
      </c>
      <c r="M82" s="266"/>
      <c r="N82" s="291" t="str">
        <f t="shared" si="55"/>
        <v/>
      </c>
      <c r="O82" s="291" t="str">
        <f t="shared" si="56"/>
        <v/>
      </c>
      <c r="P82" s="291" t="str">
        <f t="shared" si="57"/>
        <v/>
      </c>
      <c r="Q82" s="324">
        <f t="shared" si="71"/>
        <v>44037</v>
      </c>
      <c r="R82" s="277">
        <v>76</v>
      </c>
      <c r="S82" s="291" t="e">
        <f t="shared" si="58"/>
        <v>#N/A</v>
      </c>
      <c r="T82" s="291"/>
      <c r="U82" s="291" t="e">
        <f t="shared" si="59"/>
        <v>#N/A</v>
      </c>
      <c r="V82" s="291" t="str">
        <f t="shared" si="65"/>
        <v/>
      </c>
      <c r="W82" s="291" t="str">
        <f t="shared" si="66"/>
        <v/>
      </c>
      <c r="X82" s="291" t="str">
        <f t="shared" si="30"/>
        <v/>
      </c>
      <c r="Y82" s="291" t="str">
        <f t="shared" si="31"/>
        <v/>
      </c>
      <c r="Z82" s="276">
        <v>76</v>
      </c>
      <c r="AA82" s="433">
        <v>76</v>
      </c>
      <c r="AB82" s="291">
        <v>59.612008278591773</v>
      </c>
      <c r="AC82" s="279">
        <f t="shared" si="67"/>
        <v>1.7753337530930036</v>
      </c>
      <c r="AD82" s="279">
        <f t="shared" ca="1" si="60"/>
        <v>1.8519195153073928</v>
      </c>
      <c r="AE82" s="279">
        <f t="shared" ca="1" si="70"/>
        <v>71.108172174799748</v>
      </c>
      <c r="AF82" s="279">
        <f t="shared" ca="1" si="68"/>
        <v>1.1928498003704491</v>
      </c>
      <c r="AG82" s="278">
        <f t="shared" ca="1" si="61"/>
        <v>82.229379510032686</v>
      </c>
      <c r="AH82" s="278">
        <f t="shared" ca="1" si="62"/>
        <v>61.491065360940063</v>
      </c>
      <c r="AJ82" s="50"/>
      <c r="AK82" s="55"/>
      <c r="AL82" s="55"/>
      <c r="AM82" s="55"/>
      <c r="AN82" s="55"/>
      <c r="AO82" s="55"/>
      <c r="AP82" s="55"/>
      <c r="AQ82" s="55"/>
      <c r="AR82" s="55"/>
      <c r="AS82" s="55"/>
      <c r="AT82" s="55"/>
      <c r="AU82" s="55"/>
      <c r="AV82" s="55"/>
      <c r="AW82" s="55"/>
      <c r="AX82" s="440">
        <v>1.1806495269860611</v>
      </c>
      <c r="AY82" s="55"/>
      <c r="AZ82" s="55"/>
      <c r="BA82" s="55"/>
      <c r="BB82" s="55"/>
    </row>
    <row r="83" spans="1:54" ht="12.75" customHeight="1">
      <c r="A83" s="80"/>
      <c r="B83" s="264" t="str">
        <f t="shared" si="63"/>
        <v>SUN</v>
      </c>
      <c r="C83" s="267">
        <f t="shared" si="64"/>
        <v>44038</v>
      </c>
      <c r="D83" s="430">
        <f t="shared" si="69"/>
        <v>77</v>
      </c>
      <c r="E83" s="473"/>
      <c r="F83" s="483"/>
      <c r="G83" s="472"/>
      <c r="H83" s="472"/>
      <c r="I83" s="292" t="str">
        <f t="shared" si="51"/>
        <v/>
      </c>
      <c r="J83" s="293" t="str">
        <f t="shared" si="52"/>
        <v/>
      </c>
      <c r="K83" s="293" t="str">
        <f t="shared" si="53"/>
        <v/>
      </c>
      <c r="L83" s="293" t="str">
        <f t="shared" si="54"/>
        <v/>
      </c>
      <c r="M83" s="266"/>
      <c r="N83" s="291" t="str">
        <f t="shared" si="55"/>
        <v/>
      </c>
      <c r="O83" s="291" t="str">
        <f t="shared" si="56"/>
        <v/>
      </c>
      <c r="P83" s="291" t="str">
        <f t="shared" si="57"/>
        <v/>
      </c>
      <c r="Q83" s="324">
        <f t="shared" si="71"/>
        <v>44038</v>
      </c>
      <c r="R83" s="277">
        <v>77</v>
      </c>
      <c r="S83" s="291">
        <f t="shared" si="58"/>
        <v>100000</v>
      </c>
      <c r="T83" s="291"/>
      <c r="U83" s="291" t="str">
        <f t="shared" si="59"/>
        <v>07/26/20</v>
      </c>
      <c r="V83" s="291" t="str">
        <f t="shared" si="65"/>
        <v/>
      </c>
      <c r="W83" s="291" t="str">
        <f t="shared" si="66"/>
        <v/>
      </c>
      <c r="X83" s="291" t="str">
        <f t="shared" si="30"/>
        <v/>
      </c>
      <c r="Y83" s="291" t="str">
        <f t="shared" si="31"/>
        <v/>
      </c>
      <c r="Z83" s="276">
        <v>77</v>
      </c>
      <c r="AA83" s="433">
        <v>77</v>
      </c>
      <c r="AB83" s="291">
        <v>71.596121207362245</v>
      </c>
      <c r="AC83" s="279">
        <f t="shared" si="67"/>
        <v>1.8548894946001881</v>
      </c>
      <c r="AD83" s="279">
        <f t="shared" ca="1" si="60"/>
        <v>1.8562316298207591</v>
      </c>
      <c r="AE83" s="279">
        <f t="shared" ca="1" si="70"/>
        <v>71.817722708034211</v>
      </c>
      <c r="AF83" s="279">
        <f t="shared" ca="1" si="68"/>
        <v>1.0030951607005378</v>
      </c>
      <c r="AG83" s="278">
        <f t="shared" ca="1" si="61"/>
        <v>83.04990264112169</v>
      </c>
      <c r="AH83" s="278">
        <f t="shared" ca="1" si="62"/>
        <v>62.104651913393631</v>
      </c>
      <c r="AJ83" s="50"/>
      <c r="AK83" s="55"/>
      <c r="AL83" s="55"/>
      <c r="AM83" s="55"/>
      <c r="AN83" s="55"/>
      <c r="AO83" s="55"/>
      <c r="AP83" s="55"/>
      <c r="AQ83" s="55"/>
      <c r="AR83" s="55"/>
      <c r="AS83" s="55"/>
      <c r="AT83" s="55"/>
      <c r="AU83" s="55"/>
      <c r="AV83" s="55"/>
      <c r="AW83" s="55"/>
      <c r="AX83" s="440">
        <v>1.1928498003704491</v>
      </c>
      <c r="AY83" s="55"/>
      <c r="AZ83" s="55"/>
      <c r="BA83" s="55"/>
      <c r="BB83" s="55"/>
    </row>
    <row r="84" spans="1:54" ht="12.75" customHeight="1">
      <c r="A84" s="80"/>
      <c r="B84" s="264" t="str">
        <f t="shared" si="63"/>
        <v>MON</v>
      </c>
      <c r="C84" s="267">
        <f t="shared" si="64"/>
        <v>44039</v>
      </c>
      <c r="D84" s="430">
        <f t="shared" si="69"/>
        <v>78</v>
      </c>
      <c r="E84" s="473"/>
      <c r="F84" s="483"/>
      <c r="G84" s="472"/>
      <c r="H84" s="472"/>
      <c r="I84" s="292" t="str">
        <f t="shared" si="51"/>
        <v/>
      </c>
      <c r="J84" s="293" t="str">
        <f t="shared" si="52"/>
        <v/>
      </c>
      <c r="K84" s="293" t="str">
        <f t="shared" si="53"/>
        <v/>
      </c>
      <c r="L84" s="293" t="str">
        <f t="shared" si="54"/>
        <v/>
      </c>
      <c r="M84" s="266"/>
      <c r="N84" s="291" t="str">
        <f t="shared" si="55"/>
        <v/>
      </c>
      <c r="O84" s="291" t="str">
        <f t="shared" si="56"/>
        <v/>
      </c>
      <c r="P84" s="291" t="str">
        <f t="shared" si="57"/>
        <v/>
      </c>
      <c r="Q84" s="324">
        <f t="shared" si="71"/>
        <v>44039</v>
      </c>
      <c r="R84" s="277">
        <v>78</v>
      </c>
      <c r="S84" s="291" t="e">
        <f t="shared" si="58"/>
        <v>#N/A</v>
      </c>
      <c r="T84" s="291"/>
      <c r="U84" s="291" t="e">
        <f t="shared" si="59"/>
        <v>#N/A</v>
      </c>
      <c r="V84" s="291" t="str">
        <f t="shared" si="65"/>
        <v/>
      </c>
      <c r="W84" s="291" t="str">
        <f t="shared" si="66"/>
        <v/>
      </c>
      <c r="X84" s="291" t="str">
        <f t="shared" si="30"/>
        <v/>
      </c>
      <c r="Y84" s="291" t="str">
        <f t="shared" si="31"/>
        <v/>
      </c>
      <c r="Z84" s="276">
        <v>78</v>
      </c>
      <c r="AA84" s="433">
        <v>78</v>
      </c>
      <c r="AB84" s="291">
        <v>75.602440824033607</v>
      </c>
      <c r="AC84" s="279">
        <f t="shared" si="67"/>
        <v>1.8785358169204827</v>
      </c>
      <c r="AD84" s="279">
        <f t="shared" ca="1" si="60"/>
        <v>1.8605437443341251</v>
      </c>
      <c r="AE84" s="279">
        <f t="shared" ca="1" si="70"/>
        <v>72.534353467687254</v>
      </c>
      <c r="AF84" s="279">
        <f t="shared" ca="1" si="68"/>
        <v>0.95941814413786719</v>
      </c>
      <c r="AG84" s="278">
        <f t="shared" ca="1" si="61"/>
        <v>83.878613335009504</v>
      </c>
      <c r="AH84" s="278">
        <f t="shared" ca="1" si="62"/>
        <v>62.724361118872295</v>
      </c>
      <c r="AJ84" s="50"/>
      <c r="AK84" s="55"/>
      <c r="AL84" s="55"/>
      <c r="AM84" s="55"/>
      <c r="AN84" s="55"/>
      <c r="AO84" s="55"/>
      <c r="AP84" s="55"/>
      <c r="AQ84" s="55"/>
      <c r="AR84" s="55"/>
      <c r="AS84" s="55"/>
      <c r="AT84" s="55"/>
      <c r="AU84" s="55"/>
      <c r="AV84" s="55"/>
      <c r="AW84" s="55"/>
      <c r="AX84" s="114">
        <v>1.1983801894739461</v>
      </c>
      <c r="AY84" s="55"/>
      <c r="AZ84" s="55"/>
      <c r="BA84" s="55"/>
      <c r="BB84" s="55"/>
    </row>
    <row r="85" spans="1:54" ht="12.75" customHeight="1">
      <c r="A85" s="80"/>
      <c r="B85" s="264" t="str">
        <f t="shared" si="63"/>
        <v>TUE</v>
      </c>
      <c r="C85" s="267">
        <f t="shared" si="64"/>
        <v>44040</v>
      </c>
      <c r="D85" s="430">
        <f t="shared" si="69"/>
        <v>79</v>
      </c>
      <c r="E85" s="473"/>
      <c r="F85" s="483"/>
      <c r="G85" s="472"/>
      <c r="H85" s="472"/>
      <c r="I85" s="292" t="str">
        <f t="shared" si="51"/>
        <v/>
      </c>
      <c r="J85" s="293" t="str">
        <f t="shared" si="52"/>
        <v/>
      </c>
      <c r="K85" s="293" t="str">
        <f t="shared" si="53"/>
        <v/>
      </c>
      <c r="L85" s="293" t="str">
        <f t="shared" si="54"/>
        <v/>
      </c>
      <c r="M85" s="266"/>
      <c r="N85" s="291" t="str">
        <f t="shared" si="55"/>
        <v/>
      </c>
      <c r="O85" s="291" t="str">
        <f t="shared" si="56"/>
        <v/>
      </c>
      <c r="P85" s="291" t="str">
        <f t="shared" si="57"/>
        <v/>
      </c>
      <c r="Q85" s="324">
        <f t="shared" si="71"/>
        <v>44040</v>
      </c>
      <c r="R85" s="277">
        <v>79</v>
      </c>
      <c r="S85" s="291" t="e">
        <f t="shared" si="58"/>
        <v>#N/A</v>
      </c>
      <c r="T85" s="291"/>
      <c r="U85" s="291" t="e">
        <f t="shared" si="59"/>
        <v>#N/A</v>
      </c>
      <c r="V85" s="291" t="str">
        <f t="shared" si="65"/>
        <v/>
      </c>
      <c r="W85" s="291" t="str">
        <f t="shared" si="66"/>
        <v/>
      </c>
      <c r="X85" s="291" t="str">
        <f t="shared" si="30"/>
        <v/>
      </c>
      <c r="Y85" s="291" t="str">
        <f t="shared" si="31"/>
        <v/>
      </c>
      <c r="Z85" s="276">
        <v>79</v>
      </c>
      <c r="AA85" s="433">
        <v>79</v>
      </c>
      <c r="AB85" s="291">
        <v>63.631468226572451</v>
      </c>
      <c r="AC85" s="279">
        <f t="shared" si="67"/>
        <v>1.80367194422227</v>
      </c>
      <c r="AD85" s="279">
        <f t="shared" ca="1" si="60"/>
        <v>1.8648558588474913</v>
      </c>
      <c r="AE85" s="279">
        <f t="shared" ca="1" si="70"/>
        <v>73.258135103563063</v>
      </c>
      <c r="AF85" s="279">
        <f t="shared" ca="1" si="68"/>
        <v>1.151287832031676</v>
      </c>
      <c r="AG85" s="278">
        <f t="shared" ca="1" si="61"/>
        <v>84.71559329101963</v>
      </c>
      <c r="AH85" s="278">
        <f t="shared" ca="1" si="62"/>
        <v>63.350254072065944</v>
      </c>
      <c r="AJ85" s="50"/>
      <c r="AK85" s="55"/>
      <c r="AL85" s="55"/>
      <c r="AM85" s="55"/>
      <c r="AN85" s="55"/>
      <c r="AO85" s="55"/>
      <c r="AP85" s="55"/>
      <c r="AQ85" s="55"/>
      <c r="AR85" s="55"/>
      <c r="AS85" s="55"/>
      <c r="AT85" s="55"/>
      <c r="AU85" s="55"/>
      <c r="AV85" s="55"/>
      <c r="AW85" s="55"/>
      <c r="AX85" s="441">
        <v>1.229270572797609</v>
      </c>
      <c r="AY85" s="55"/>
      <c r="AZ85" s="55"/>
      <c r="BA85" s="55"/>
      <c r="BB85" s="55"/>
    </row>
    <row r="86" spans="1:54" ht="12.75" customHeight="1">
      <c r="A86" s="80"/>
      <c r="B86" s="264" t="str">
        <f t="shared" si="63"/>
        <v>WED</v>
      </c>
      <c r="C86" s="267">
        <f t="shared" si="64"/>
        <v>44041</v>
      </c>
      <c r="D86" s="430">
        <f t="shared" si="69"/>
        <v>80</v>
      </c>
      <c r="E86" s="473"/>
      <c r="F86" s="483"/>
      <c r="G86" s="472"/>
      <c r="H86" s="472"/>
      <c r="I86" s="292" t="str">
        <f t="shared" si="51"/>
        <v/>
      </c>
      <c r="J86" s="293" t="str">
        <f t="shared" si="52"/>
        <v/>
      </c>
      <c r="K86" s="293" t="str">
        <f t="shared" si="53"/>
        <v/>
      </c>
      <c r="L86" s="293" t="str">
        <f t="shared" si="54"/>
        <v/>
      </c>
      <c r="M86" s="266"/>
      <c r="N86" s="291" t="str">
        <f t="shared" si="55"/>
        <v/>
      </c>
      <c r="O86" s="291" t="str">
        <f t="shared" si="56"/>
        <v/>
      </c>
      <c r="P86" s="291" t="str">
        <f t="shared" si="57"/>
        <v/>
      </c>
      <c r="Q86" s="324">
        <f t="shared" si="71"/>
        <v>44041</v>
      </c>
      <c r="R86" s="277">
        <v>80</v>
      </c>
      <c r="S86" s="291" t="e">
        <f t="shared" si="58"/>
        <v>#N/A</v>
      </c>
      <c r="T86" s="291"/>
      <c r="U86" s="291" t="e">
        <f t="shared" si="59"/>
        <v>#N/A</v>
      </c>
      <c r="V86" s="291" t="str">
        <f t="shared" si="65"/>
        <v/>
      </c>
      <c r="W86" s="291" t="str">
        <f t="shared" si="66"/>
        <v/>
      </c>
      <c r="X86" s="291" t="str">
        <f t="shared" ref="X86:X146" si="72">IF(O86="","",O86)</f>
        <v/>
      </c>
      <c r="Y86" s="291" t="str">
        <f t="shared" ref="Y86:Y146" si="73">IF(P86="","",P86)</f>
        <v/>
      </c>
      <c r="Z86" s="276">
        <v>80</v>
      </c>
      <c r="AA86" s="433">
        <v>80</v>
      </c>
      <c r="AB86" s="291">
        <v>63.6837158203125</v>
      </c>
      <c r="AC86" s="279">
        <f t="shared" si="67"/>
        <v>1.8040283957028644</v>
      </c>
      <c r="AD86" s="279">
        <f t="shared" ca="1" si="60"/>
        <v>1.8691679733608575</v>
      </c>
      <c r="AE86" s="279">
        <f t="shared" ca="1" si="70"/>
        <v>73.989138970442326</v>
      </c>
      <c r="AF86" s="279">
        <f t="shared" ca="1" si="68"/>
        <v>1.1618219511437933</v>
      </c>
      <c r="AG86" s="278">
        <f t="shared" ca="1" si="61"/>
        <v>85.560925023709274</v>
      </c>
      <c r="AH86" s="278">
        <f t="shared" ca="1" si="62"/>
        <v>63.982392477295583</v>
      </c>
      <c r="AJ86" s="50"/>
      <c r="AK86" s="55"/>
      <c r="AL86" s="55"/>
      <c r="AM86" s="55"/>
      <c r="AN86" s="55"/>
      <c r="AO86" s="55"/>
      <c r="AP86" s="55"/>
      <c r="AQ86" s="55"/>
      <c r="AR86" s="55"/>
      <c r="AS86" s="55"/>
      <c r="AT86" s="55"/>
      <c r="AU86" s="55"/>
      <c r="AV86" s="55"/>
      <c r="AW86" s="55"/>
      <c r="AX86" s="440">
        <v>1.2394420196217701</v>
      </c>
      <c r="AY86" s="55"/>
      <c r="AZ86" s="55"/>
      <c r="BA86" s="55"/>
      <c r="BB86" s="55"/>
    </row>
    <row r="87" spans="1:54" ht="12.75" customHeight="1">
      <c r="A87" s="80"/>
      <c r="B87" s="264" t="str">
        <f t="shared" si="63"/>
        <v>THU</v>
      </c>
      <c r="C87" s="267">
        <f t="shared" si="64"/>
        <v>44042</v>
      </c>
      <c r="D87" s="430">
        <f t="shared" si="69"/>
        <v>81</v>
      </c>
      <c r="E87" s="473"/>
      <c r="F87" s="483"/>
      <c r="G87" s="472"/>
      <c r="H87" s="472"/>
      <c r="I87" s="292" t="str">
        <f t="shared" si="51"/>
        <v/>
      </c>
      <c r="J87" s="293" t="str">
        <f t="shared" si="52"/>
        <v/>
      </c>
      <c r="K87" s="293" t="str">
        <f t="shared" si="53"/>
        <v/>
      </c>
      <c r="L87" s="293" t="str">
        <f t="shared" si="54"/>
        <v/>
      </c>
      <c r="M87" s="266"/>
      <c r="N87" s="291" t="str">
        <f t="shared" si="55"/>
        <v/>
      </c>
      <c r="O87" s="291" t="str">
        <f t="shared" si="56"/>
        <v/>
      </c>
      <c r="P87" s="291" t="str">
        <f t="shared" si="57"/>
        <v/>
      </c>
      <c r="Q87" s="324">
        <f>C87</f>
        <v>44042</v>
      </c>
      <c r="R87" s="277">
        <v>81</v>
      </c>
      <c r="S87" s="291" t="e">
        <f t="shared" si="58"/>
        <v>#N/A</v>
      </c>
      <c r="T87" s="291"/>
      <c r="U87" s="291" t="e">
        <f t="shared" si="59"/>
        <v>#N/A</v>
      </c>
      <c r="V87" s="291" t="str">
        <f t="shared" si="65"/>
        <v/>
      </c>
      <c r="W87" s="291" t="str">
        <f t="shared" si="66"/>
        <v/>
      </c>
      <c r="X87" s="291" t="str">
        <f t="shared" si="72"/>
        <v/>
      </c>
      <c r="Y87" s="291" t="str">
        <f t="shared" si="73"/>
        <v/>
      </c>
      <c r="Z87" s="276">
        <v>81</v>
      </c>
      <c r="AA87" s="433">
        <v>81</v>
      </c>
      <c r="AB87" s="291">
        <v>97.759707573107391</v>
      </c>
      <c r="AC87" s="279">
        <f t="shared" si="67"/>
        <v>1.9901598938029823</v>
      </c>
      <c r="AD87" s="279">
        <f t="shared" ca="1" si="60"/>
        <v>1.8734800878742237</v>
      </c>
      <c r="AE87" s="279">
        <f t="shared" ca="1" si="70"/>
        <v>74.727437135117086</v>
      </c>
      <c r="AF87" s="279">
        <f t="shared" ca="1" si="68"/>
        <v>0.76439914756530813</v>
      </c>
      <c r="AG87" s="278">
        <f t="shared" ca="1" si="61"/>
        <v>86.41469187100445</v>
      </c>
      <c r="AH87" s="278">
        <f t="shared" ca="1" si="62"/>
        <v>64.620838654596795</v>
      </c>
      <c r="AJ87" s="50"/>
      <c r="AK87" s="55"/>
      <c r="AL87" s="55"/>
      <c r="AM87" s="55"/>
      <c r="AN87" s="55"/>
      <c r="AO87" s="55"/>
      <c r="AP87" s="55"/>
      <c r="AQ87" s="55"/>
      <c r="AR87" s="55"/>
      <c r="AS87" s="55"/>
      <c r="AT87" s="55"/>
      <c r="AU87" s="55"/>
      <c r="AV87" s="55"/>
      <c r="AW87" s="55"/>
      <c r="AX87" s="442">
        <v>1.2698545814102671</v>
      </c>
      <c r="AY87" s="55"/>
      <c r="AZ87" s="55"/>
      <c r="BA87" s="55"/>
      <c r="BB87" s="55"/>
    </row>
    <row r="88" spans="1:54" ht="12.75" customHeight="1">
      <c r="A88" s="80"/>
      <c r="B88" s="264" t="str">
        <f t="shared" si="63"/>
        <v>FRI</v>
      </c>
      <c r="C88" s="267">
        <f t="shared" si="64"/>
        <v>44043</v>
      </c>
      <c r="D88" s="430">
        <f t="shared" si="69"/>
        <v>82</v>
      </c>
      <c r="E88" s="473"/>
      <c r="F88" s="483"/>
      <c r="G88" s="472"/>
      <c r="H88" s="472"/>
      <c r="I88" s="292" t="str">
        <f t="shared" si="51"/>
        <v/>
      </c>
      <c r="J88" s="293" t="str">
        <f t="shared" si="52"/>
        <v/>
      </c>
      <c r="K88" s="293" t="str">
        <f t="shared" si="53"/>
        <v/>
      </c>
      <c r="L88" s="293" t="str">
        <f t="shared" si="54"/>
        <v/>
      </c>
      <c r="M88" s="266"/>
      <c r="N88" s="291" t="str">
        <f t="shared" si="55"/>
        <v/>
      </c>
      <c r="O88" s="291" t="str">
        <f t="shared" si="56"/>
        <v/>
      </c>
      <c r="P88" s="291" t="str">
        <f t="shared" si="57"/>
        <v/>
      </c>
      <c r="Q88" s="324">
        <f t="shared" ref="Q88:Q96" si="74">C88</f>
        <v>44043</v>
      </c>
      <c r="R88" s="277">
        <v>82</v>
      </c>
      <c r="S88" s="291" t="e">
        <f t="shared" si="58"/>
        <v>#N/A</v>
      </c>
      <c r="T88" s="291"/>
      <c r="U88" s="291" t="e">
        <f t="shared" si="59"/>
        <v>#N/A</v>
      </c>
      <c r="V88" s="291" t="str">
        <f t="shared" si="65"/>
        <v/>
      </c>
      <c r="W88" s="291" t="str">
        <f t="shared" si="66"/>
        <v/>
      </c>
      <c r="X88" s="291" t="str">
        <f t="shared" si="72"/>
        <v/>
      </c>
      <c r="Y88" s="291" t="str">
        <f t="shared" si="73"/>
        <v/>
      </c>
      <c r="Z88" s="276">
        <v>82</v>
      </c>
      <c r="AA88" s="433">
        <v>82</v>
      </c>
      <c r="AB88" s="291">
        <v>83.859979276241006</v>
      </c>
      <c r="AC88" s="279">
        <f t="shared" si="67"/>
        <v>1.9235547507432555</v>
      </c>
      <c r="AD88" s="279">
        <f t="shared" ca="1" si="60"/>
        <v>1.8777922023875897</v>
      </c>
      <c r="AE88" s="279">
        <f t="shared" ca="1" si="70"/>
        <v>75.473102383495643</v>
      </c>
      <c r="AF88" s="279">
        <f t="shared" ca="1" si="68"/>
        <v>0.89998951865801957</v>
      </c>
      <c r="AG88" s="278">
        <f t="shared" ca="1" si="61"/>
        <v>87.276978002416115</v>
      </c>
      <c r="AH88" s="278">
        <f t="shared" ca="1" si="62"/>
        <v>65.265655545863723</v>
      </c>
      <c r="AJ88" s="50"/>
      <c r="AK88" s="55"/>
      <c r="AL88" s="55"/>
      <c r="AM88" s="55"/>
      <c r="AN88" s="55"/>
      <c r="AO88" s="55"/>
      <c r="AP88" s="55"/>
      <c r="AQ88" s="55"/>
      <c r="AR88" s="55"/>
      <c r="AS88" s="55"/>
      <c r="AT88" s="55"/>
      <c r="AU88" s="55"/>
      <c r="AV88" s="55"/>
      <c r="AW88" s="55"/>
      <c r="AX88" s="114">
        <v>1.297868350475331</v>
      </c>
      <c r="AY88" s="55"/>
      <c r="AZ88" s="55"/>
      <c r="BA88" s="55"/>
      <c r="BB88" s="55"/>
    </row>
    <row r="89" spans="1:54" ht="12.75" customHeight="1">
      <c r="A89" s="80"/>
      <c r="B89" s="264" t="str">
        <f t="shared" si="63"/>
        <v>SAT</v>
      </c>
      <c r="C89" s="267">
        <f t="shared" si="64"/>
        <v>44044</v>
      </c>
      <c r="D89" s="430">
        <f t="shared" si="69"/>
        <v>83</v>
      </c>
      <c r="E89" s="473"/>
      <c r="F89" s="483"/>
      <c r="G89" s="472"/>
      <c r="H89" s="472"/>
      <c r="I89" s="292" t="str">
        <f t="shared" si="51"/>
        <v/>
      </c>
      <c r="J89" s="293" t="str">
        <f t="shared" si="52"/>
        <v/>
      </c>
      <c r="K89" s="293" t="str">
        <f t="shared" si="53"/>
        <v/>
      </c>
      <c r="L89" s="293" t="str">
        <f t="shared" si="54"/>
        <v/>
      </c>
      <c r="M89" s="266"/>
      <c r="N89" s="291" t="str">
        <f t="shared" si="55"/>
        <v/>
      </c>
      <c r="O89" s="291" t="str">
        <f t="shared" si="56"/>
        <v/>
      </c>
      <c r="P89" s="291" t="str">
        <f t="shared" si="57"/>
        <v/>
      </c>
      <c r="Q89" s="324">
        <f t="shared" si="74"/>
        <v>44044</v>
      </c>
      <c r="R89" s="277">
        <v>83</v>
      </c>
      <c r="S89" s="291" t="e">
        <f t="shared" si="58"/>
        <v>#N/A</v>
      </c>
      <c r="T89" s="291"/>
      <c r="U89" s="291" t="e">
        <f t="shared" si="59"/>
        <v>#N/A</v>
      </c>
      <c r="V89" s="291" t="str">
        <f t="shared" si="65"/>
        <v/>
      </c>
      <c r="W89" s="291" t="str">
        <f t="shared" si="66"/>
        <v/>
      </c>
      <c r="X89" s="291" t="str">
        <f t="shared" si="72"/>
        <v/>
      </c>
      <c r="Y89" s="291" t="str">
        <f t="shared" si="73"/>
        <v/>
      </c>
      <c r="Z89" s="276">
        <v>83</v>
      </c>
      <c r="AA89" s="433">
        <v>83</v>
      </c>
      <c r="AB89" s="291">
        <v>79.985078811225335</v>
      </c>
      <c r="AC89" s="279">
        <f t="shared" si="67"/>
        <v>1.9030089770625775</v>
      </c>
      <c r="AD89" s="279">
        <f t="shared" ca="1" si="60"/>
        <v>1.8821043169009559</v>
      </c>
      <c r="AE89" s="279">
        <f t="shared" ca="1" si="70"/>
        <v>76.226208227777818</v>
      </c>
      <c r="AF89" s="279">
        <f t="shared" ca="1" si="68"/>
        <v>0.95300535250682294</v>
      </c>
      <c r="AG89" s="278">
        <f t="shared" ca="1" si="61"/>
        <v>88.147868427337613</v>
      </c>
      <c r="AH89" s="278">
        <f t="shared" ca="1" si="62"/>
        <v>65.916906721053863</v>
      </c>
      <c r="AJ89" s="50"/>
      <c r="AK89" s="55"/>
      <c r="AL89" s="55"/>
      <c r="AM89" s="55"/>
      <c r="AN89" s="55"/>
      <c r="AO89" s="55"/>
      <c r="AP89" s="55"/>
      <c r="AQ89" s="55"/>
      <c r="AR89" s="55"/>
      <c r="AS89" s="55"/>
      <c r="AT89" s="55"/>
      <c r="AU89" s="55"/>
      <c r="AV89" s="55"/>
      <c r="AW89" s="55"/>
      <c r="AX89" s="440">
        <v>1.312863809659184</v>
      </c>
      <c r="AY89" s="55"/>
      <c r="AZ89" s="55"/>
      <c r="BA89" s="55"/>
      <c r="BB89" s="55"/>
    </row>
    <row r="90" spans="1:54" ht="12.75" customHeight="1">
      <c r="A90" s="80"/>
      <c r="B90" s="264" t="str">
        <f t="shared" si="63"/>
        <v>SUN</v>
      </c>
      <c r="C90" s="267">
        <f t="shared" si="64"/>
        <v>44045</v>
      </c>
      <c r="D90" s="430">
        <f t="shared" si="69"/>
        <v>84</v>
      </c>
      <c r="E90" s="473"/>
      <c r="F90" s="483"/>
      <c r="G90" s="472"/>
      <c r="H90" s="472"/>
      <c r="I90" s="292" t="str">
        <f t="shared" si="51"/>
        <v/>
      </c>
      <c r="J90" s="293" t="str">
        <f t="shared" si="52"/>
        <v/>
      </c>
      <c r="K90" s="293" t="str">
        <f t="shared" si="53"/>
        <v/>
      </c>
      <c r="L90" s="293" t="str">
        <f t="shared" si="54"/>
        <v/>
      </c>
      <c r="M90" s="266"/>
      <c r="N90" s="291" t="str">
        <f t="shared" si="55"/>
        <v/>
      </c>
      <c r="O90" s="291" t="str">
        <f t="shared" si="56"/>
        <v/>
      </c>
      <c r="P90" s="291" t="str">
        <f t="shared" si="57"/>
        <v/>
      </c>
      <c r="Q90" s="324">
        <f t="shared" si="74"/>
        <v>44045</v>
      </c>
      <c r="R90" s="277">
        <v>84</v>
      </c>
      <c r="S90" s="291">
        <f t="shared" si="58"/>
        <v>100000</v>
      </c>
      <c r="T90" s="291"/>
      <c r="U90" s="291" t="str">
        <f t="shared" si="59"/>
        <v>08/02/20</v>
      </c>
      <c r="V90" s="291" t="str">
        <f t="shared" si="65"/>
        <v/>
      </c>
      <c r="W90" s="291" t="str">
        <f t="shared" si="66"/>
        <v/>
      </c>
      <c r="X90" s="291" t="str">
        <f t="shared" si="72"/>
        <v/>
      </c>
      <c r="Y90" s="291" t="str">
        <f t="shared" si="73"/>
        <v/>
      </c>
      <c r="Z90" s="276">
        <v>84</v>
      </c>
      <c r="AA90" s="433">
        <v>84</v>
      </c>
      <c r="AB90" s="291">
        <v>89.13556642261878</v>
      </c>
      <c r="AC90" s="279">
        <f t="shared" si="67"/>
        <v>1.9500510286050226</v>
      </c>
      <c r="AD90" s="279">
        <f t="shared" ca="1" si="60"/>
        <v>1.8864164314143221</v>
      </c>
      <c r="AE90" s="279">
        <f t="shared" ca="1" si="70"/>
        <v>76.986828913702695</v>
      </c>
      <c r="AF90" s="279">
        <f t="shared" ca="1" si="68"/>
        <v>0.86370493848308283</v>
      </c>
      <c r="AG90" s="278">
        <f t="shared" ca="1" si="61"/>
        <v>89.027449003425943</v>
      </c>
      <c r="AH90" s="278">
        <f t="shared" ca="1" si="62"/>
        <v>66.574656384455636</v>
      </c>
      <c r="AJ90" s="50"/>
      <c r="AK90" s="55"/>
      <c r="AL90" s="55"/>
      <c r="AM90" s="55"/>
      <c r="AN90" s="55"/>
      <c r="AO90" s="55"/>
      <c r="AP90" s="55"/>
      <c r="AQ90" s="55"/>
      <c r="AR90" s="55"/>
      <c r="AS90" s="55"/>
      <c r="AT90" s="55"/>
      <c r="AU90" s="55"/>
      <c r="AV90" s="55"/>
      <c r="AW90" s="55"/>
      <c r="AX90" s="442">
        <v>1.3370303424413226</v>
      </c>
      <c r="AY90" s="55"/>
      <c r="BB90" s="55"/>
    </row>
    <row r="91" spans="1:54" ht="12.75" customHeight="1">
      <c r="A91" s="80"/>
      <c r="B91" s="264" t="str">
        <f t="shared" si="63"/>
        <v>MON</v>
      </c>
      <c r="C91" s="267">
        <f t="shared" si="64"/>
        <v>44046</v>
      </c>
      <c r="D91" s="430">
        <f t="shared" si="69"/>
        <v>85</v>
      </c>
      <c r="E91" s="473"/>
      <c r="F91" s="483"/>
      <c r="G91" s="472"/>
      <c r="H91" s="472"/>
      <c r="I91" s="292" t="str">
        <f t="shared" si="51"/>
        <v/>
      </c>
      <c r="J91" s="293" t="str">
        <f t="shared" si="52"/>
        <v/>
      </c>
      <c r="K91" s="293" t="str">
        <f t="shared" si="53"/>
        <v/>
      </c>
      <c r="L91" s="293" t="str">
        <f t="shared" si="54"/>
        <v/>
      </c>
      <c r="M91" s="266"/>
      <c r="N91" s="291" t="str">
        <f t="shared" si="55"/>
        <v/>
      </c>
      <c r="O91" s="291" t="str">
        <f t="shared" si="56"/>
        <v/>
      </c>
      <c r="P91" s="291" t="str">
        <f t="shared" si="57"/>
        <v/>
      </c>
      <c r="Q91" s="324">
        <f t="shared" si="74"/>
        <v>44046</v>
      </c>
      <c r="R91" s="277">
        <v>85</v>
      </c>
      <c r="S91" s="291" t="e">
        <f t="shared" si="58"/>
        <v>#N/A</v>
      </c>
      <c r="T91" s="291"/>
      <c r="U91" s="291" t="e">
        <f t="shared" si="59"/>
        <v>#N/A</v>
      </c>
      <c r="V91" s="291" t="str">
        <f t="shared" si="65"/>
        <v/>
      </c>
      <c r="W91" s="291" t="str">
        <f t="shared" si="66"/>
        <v/>
      </c>
      <c r="X91" s="291" t="str">
        <f t="shared" si="72"/>
        <v/>
      </c>
      <c r="Y91" s="291" t="str">
        <f t="shared" si="73"/>
        <v/>
      </c>
      <c r="Z91" s="276">
        <v>85</v>
      </c>
      <c r="AA91" s="433">
        <v>85</v>
      </c>
      <c r="AB91" s="291">
        <v>90.31201499700046</v>
      </c>
      <c r="AC91" s="279">
        <f t="shared" si="67"/>
        <v>1.9557455321493948</v>
      </c>
      <c r="AD91" s="279">
        <f t="shared" ca="1" si="60"/>
        <v>1.8907285459276881</v>
      </c>
      <c r="AE91" s="279">
        <f t="shared" ca="1" si="70"/>
        <v>77.7550394278678</v>
      </c>
      <c r="AF91" s="279">
        <f t="shared" ca="1" si="68"/>
        <v>0.86096007746533265</v>
      </c>
      <c r="AG91" s="278">
        <f t="shared" ca="1" si="61"/>
        <v>89.915806445065627</v>
      </c>
      <c r="AH91" s="278">
        <f t="shared" ca="1" si="62"/>
        <v>67.23896938101764</v>
      </c>
      <c r="AJ91" s="50"/>
      <c r="AK91" s="55"/>
      <c r="AL91" s="55"/>
      <c r="AM91" s="55"/>
      <c r="AN91" s="55"/>
      <c r="AO91" s="55"/>
      <c r="AP91" s="55"/>
      <c r="AQ91" s="55"/>
      <c r="AR91" s="55"/>
      <c r="AS91" s="55"/>
      <c r="AT91" s="55"/>
      <c r="AU91" s="55"/>
      <c r="AV91" s="55"/>
      <c r="AW91" s="55"/>
      <c r="AX91" s="440">
        <v>1.3386958159641202</v>
      </c>
      <c r="AY91" s="55"/>
    </row>
    <row r="92" spans="1:54" ht="12.75" customHeight="1">
      <c r="A92" s="80"/>
      <c r="B92" s="264" t="str">
        <f t="shared" si="63"/>
        <v>TUE</v>
      </c>
      <c r="C92" s="267">
        <f t="shared" si="64"/>
        <v>44047</v>
      </c>
      <c r="D92" s="430">
        <f t="shared" si="69"/>
        <v>86</v>
      </c>
      <c r="E92" s="473"/>
      <c r="F92" s="483"/>
      <c r="G92" s="472"/>
      <c r="H92" s="472"/>
      <c r="I92" s="292" t="str">
        <f t="shared" si="51"/>
        <v/>
      </c>
      <c r="J92" s="293" t="str">
        <f t="shared" si="52"/>
        <v/>
      </c>
      <c r="K92" s="293" t="str">
        <f t="shared" si="53"/>
        <v/>
      </c>
      <c r="L92" s="293" t="str">
        <f t="shared" si="54"/>
        <v/>
      </c>
      <c r="M92" s="266"/>
      <c r="N92" s="291" t="str">
        <f t="shared" si="55"/>
        <v/>
      </c>
      <c r="O92" s="291" t="str">
        <f t="shared" si="56"/>
        <v/>
      </c>
      <c r="P92" s="291" t="str">
        <f t="shared" si="57"/>
        <v/>
      </c>
      <c r="Q92" s="324">
        <f t="shared" si="74"/>
        <v>44047</v>
      </c>
      <c r="R92" s="277">
        <v>86</v>
      </c>
      <c r="S92" s="291" t="e">
        <f t="shared" si="58"/>
        <v>#N/A</v>
      </c>
      <c r="T92" s="291"/>
      <c r="U92" s="291" t="e">
        <f t="shared" si="59"/>
        <v>#N/A</v>
      </c>
      <c r="V92" s="291" t="str">
        <f t="shared" si="65"/>
        <v/>
      </c>
      <c r="W92" s="291" t="str">
        <f t="shared" si="66"/>
        <v/>
      </c>
      <c r="X92" s="291" t="str">
        <f t="shared" si="72"/>
        <v/>
      </c>
      <c r="Y92" s="291" t="str">
        <f t="shared" si="73"/>
        <v/>
      </c>
      <c r="Z92" s="276">
        <v>86</v>
      </c>
      <c r="AA92" s="433">
        <v>86</v>
      </c>
      <c r="AB92" s="291">
        <v>66.515010348239699</v>
      </c>
      <c r="AC92" s="279">
        <f t="shared" si="67"/>
        <v>1.8229196629843054</v>
      </c>
      <c r="AD92" s="279">
        <f t="shared" ca="1" si="60"/>
        <v>1.8950406604410543</v>
      </c>
      <c r="AE92" s="279">
        <f t="shared" ca="1" si="70"/>
        <v>78.530915505122152</v>
      </c>
      <c r="AF92" s="279">
        <f t="shared" ca="1" si="68"/>
        <v>1.1806495269860611</v>
      </c>
      <c r="AG92" s="278">
        <f t="shared" ca="1" si="61"/>
        <v>90.81302833191809</v>
      </c>
      <c r="AH92" s="278">
        <f t="shared" ca="1" si="62"/>
        <v>67.909911202741824</v>
      </c>
      <c r="AJ92" s="50"/>
      <c r="AK92" s="55"/>
      <c r="AL92" s="55"/>
      <c r="AM92" s="55"/>
      <c r="AN92" s="55"/>
      <c r="AO92" s="55"/>
      <c r="AP92" s="55"/>
      <c r="AQ92" s="55"/>
      <c r="AR92" s="55"/>
      <c r="AS92" s="55"/>
      <c r="AT92" s="55"/>
      <c r="AU92" s="55"/>
      <c r="AW92" s="55"/>
      <c r="AX92" s="440">
        <v>1.3394489485853671</v>
      </c>
      <c r="AY92" s="55"/>
    </row>
    <row r="93" spans="1:54" ht="12.75" customHeight="1">
      <c r="A93" s="80"/>
      <c r="B93" s="264" t="str">
        <f t="shared" si="63"/>
        <v>WED</v>
      </c>
      <c r="C93" s="267">
        <f t="shared" si="64"/>
        <v>44048</v>
      </c>
      <c r="D93" s="430">
        <f t="shared" si="69"/>
        <v>87</v>
      </c>
      <c r="E93" s="473"/>
      <c r="F93" s="483"/>
      <c r="G93" s="472"/>
      <c r="H93" s="472"/>
      <c r="I93" s="292" t="str">
        <f t="shared" si="51"/>
        <v/>
      </c>
      <c r="J93" s="293" t="str">
        <f t="shared" si="52"/>
        <v/>
      </c>
      <c r="K93" s="293" t="str">
        <f t="shared" si="53"/>
        <v/>
      </c>
      <c r="L93" s="293" t="str">
        <f t="shared" si="54"/>
        <v/>
      </c>
      <c r="M93" s="266"/>
      <c r="N93" s="291" t="str">
        <f t="shared" si="55"/>
        <v/>
      </c>
      <c r="O93" s="291" t="str">
        <f t="shared" si="56"/>
        <v/>
      </c>
      <c r="P93" s="291" t="str">
        <f t="shared" si="57"/>
        <v/>
      </c>
      <c r="Q93" s="324">
        <f t="shared" si="74"/>
        <v>44048</v>
      </c>
      <c r="R93" s="277">
        <v>87</v>
      </c>
      <c r="S93" s="291" t="e">
        <f t="shared" si="58"/>
        <v>#N/A</v>
      </c>
      <c r="T93" s="291"/>
      <c r="U93" s="291" t="e">
        <f t="shared" si="59"/>
        <v>#N/A</v>
      </c>
      <c r="V93" s="291" t="str">
        <f t="shared" si="65"/>
        <v/>
      </c>
      <c r="W93" s="291" t="str">
        <f t="shared" si="66"/>
        <v/>
      </c>
      <c r="X93" s="291" t="str">
        <f t="shared" si="72"/>
        <v/>
      </c>
      <c r="Y93" s="291" t="str">
        <f t="shared" si="73"/>
        <v/>
      </c>
      <c r="Z93" s="276">
        <v>87</v>
      </c>
      <c r="AA93" s="433">
        <v>87</v>
      </c>
      <c r="AB93" s="291">
        <v>97.745151509202813</v>
      </c>
      <c r="AC93" s="279">
        <f t="shared" si="67"/>
        <v>1.9900952241239436</v>
      </c>
      <c r="AD93" s="279">
        <f t="shared" ca="1" si="60"/>
        <v>1.8993527749544206</v>
      </c>
      <c r="AE93" s="279">
        <f t="shared" ca="1" si="70"/>
        <v>79.314533636032252</v>
      </c>
      <c r="AF93" s="279">
        <f t="shared" ca="1" si="68"/>
        <v>0.81144212691270623</v>
      </c>
      <c r="AG93" s="278">
        <f t="shared" ca="1" si="61"/>
        <v>91.719203117555253</v>
      </c>
      <c r="AH93" s="278">
        <f t="shared" ca="1" si="62"/>
        <v>68.587547995139744</v>
      </c>
      <c r="AJ93" s="50"/>
      <c r="AK93" s="55"/>
      <c r="AL93" s="55"/>
      <c r="AM93" s="55"/>
      <c r="AN93" s="55"/>
      <c r="AO93" s="55"/>
      <c r="AP93" s="55"/>
      <c r="AQ93" s="55"/>
      <c r="AR93" s="55"/>
      <c r="AS93" s="55"/>
      <c r="AT93" s="55"/>
      <c r="AU93" s="55"/>
      <c r="AW93" s="55"/>
      <c r="AX93" s="442">
        <v>1.3591645204096054</v>
      </c>
      <c r="AY93" s="55"/>
    </row>
    <row r="94" spans="1:54" ht="12.75" customHeight="1">
      <c r="A94" s="80"/>
      <c r="B94" s="264" t="str">
        <f t="shared" si="63"/>
        <v>THU</v>
      </c>
      <c r="C94" s="267">
        <f t="shared" si="64"/>
        <v>44049</v>
      </c>
      <c r="D94" s="430">
        <f t="shared" si="69"/>
        <v>88</v>
      </c>
      <c r="E94" s="473"/>
      <c r="F94" s="483"/>
      <c r="G94" s="472"/>
      <c r="H94" s="472"/>
      <c r="I94" s="292" t="str">
        <f t="shared" si="51"/>
        <v/>
      </c>
      <c r="J94" s="293" t="str">
        <f t="shared" si="52"/>
        <v/>
      </c>
      <c r="K94" s="293" t="str">
        <f t="shared" si="53"/>
        <v/>
      </c>
      <c r="L94" s="293" t="str">
        <f t="shared" si="54"/>
        <v/>
      </c>
      <c r="M94" s="266"/>
      <c r="N94" s="291" t="str">
        <f t="shared" si="55"/>
        <v/>
      </c>
      <c r="O94" s="291" t="str">
        <f t="shared" si="56"/>
        <v/>
      </c>
      <c r="P94" s="291" t="str">
        <f t="shared" si="57"/>
        <v/>
      </c>
      <c r="Q94" s="324">
        <f t="shared" si="74"/>
        <v>44049</v>
      </c>
      <c r="R94" s="277">
        <v>88</v>
      </c>
      <c r="S94" s="291" t="e">
        <f t="shared" si="58"/>
        <v>#N/A</v>
      </c>
      <c r="T94" s="291"/>
      <c r="U94" s="291" t="e">
        <f t="shared" si="59"/>
        <v>#N/A</v>
      </c>
      <c r="V94" s="291" t="str">
        <f t="shared" si="65"/>
        <v/>
      </c>
      <c r="W94" s="291" t="str">
        <f t="shared" si="66"/>
        <v/>
      </c>
      <c r="X94" s="291" t="str">
        <f t="shared" si="72"/>
        <v/>
      </c>
      <c r="Y94" s="291" t="str">
        <f t="shared" si="73"/>
        <v/>
      </c>
      <c r="Z94" s="276">
        <v>88</v>
      </c>
      <c r="AA94" s="433">
        <v>88</v>
      </c>
      <c r="AB94" s="291">
        <v>75.003051030042002</v>
      </c>
      <c r="AC94" s="279">
        <f t="shared" si="67"/>
        <v>1.8750789303058388</v>
      </c>
      <c r="AD94" s="279">
        <f t="shared" ca="1" si="60"/>
        <v>1.9036648894677866</v>
      </c>
      <c r="AE94" s="279">
        <f t="shared" ca="1" si="70"/>
        <v>80.105971074423181</v>
      </c>
      <c r="AF94" s="279">
        <f t="shared" ca="1" si="68"/>
        <v>1.0680361661865894</v>
      </c>
      <c r="AG94" s="278">
        <f t="shared" ca="1" si="61"/>
        <v>92.634420138180047</v>
      </c>
      <c r="AH94" s="278">
        <f t="shared" ca="1" si="62"/>
        <v>69.271946563753758</v>
      </c>
      <c r="AJ94" s="50"/>
      <c r="AK94" s="55"/>
      <c r="AL94" s="55"/>
      <c r="AM94" s="55"/>
      <c r="AN94" s="55"/>
      <c r="AO94" s="55"/>
      <c r="AP94" s="55"/>
      <c r="AQ94" s="55"/>
      <c r="AR94" s="55"/>
      <c r="AS94" s="55"/>
      <c r="AT94" s="55"/>
      <c r="AU94" s="55"/>
      <c r="AW94" s="55"/>
      <c r="AX94" s="442">
        <v>1.3613423906145279</v>
      </c>
      <c r="AY94" s="55"/>
    </row>
    <row r="95" spans="1:54" ht="12.75" customHeight="1">
      <c r="A95" s="80"/>
      <c r="B95" s="264" t="str">
        <f t="shared" si="63"/>
        <v>FRI</v>
      </c>
      <c r="C95" s="267">
        <f t="shared" si="64"/>
        <v>44050</v>
      </c>
      <c r="D95" s="430">
        <f t="shared" si="69"/>
        <v>89</v>
      </c>
      <c r="E95" s="473"/>
      <c r="F95" s="483"/>
      <c r="G95" s="472"/>
      <c r="H95" s="472"/>
      <c r="I95" s="292" t="str">
        <f t="shared" si="51"/>
        <v/>
      </c>
      <c r="J95" s="293" t="str">
        <f t="shared" si="52"/>
        <v/>
      </c>
      <c r="K95" s="293" t="str">
        <f t="shared" si="53"/>
        <v/>
      </c>
      <c r="L95" s="293" t="str">
        <f t="shared" si="54"/>
        <v/>
      </c>
      <c r="M95" s="266"/>
      <c r="N95" s="291" t="str">
        <f t="shared" si="55"/>
        <v/>
      </c>
      <c r="O95" s="291" t="str">
        <f t="shared" si="56"/>
        <v/>
      </c>
      <c r="P95" s="291" t="str">
        <f t="shared" si="57"/>
        <v/>
      </c>
      <c r="Q95" s="324">
        <f t="shared" si="74"/>
        <v>44050</v>
      </c>
      <c r="R95" s="277">
        <v>89</v>
      </c>
      <c r="S95" s="291" t="e">
        <f t="shared" si="58"/>
        <v>#N/A</v>
      </c>
      <c r="T95" s="291"/>
      <c r="U95" s="291" t="e">
        <f t="shared" si="59"/>
        <v>#N/A</v>
      </c>
      <c r="V95" s="291" t="str">
        <f t="shared" si="65"/>
        <v/>
      </c>
      <c r="W95" s="291" t="str">
        <f t="shared" si="66"/>
        <v/>
      </c>
      <c r="X95" s="291" t="str">
        <f t="shared" si="72"/>
        <v/>
      </c>
      <c r="Y95" s="291" t="str">
        <f t="shared" si="73"/>
        <v/>
      </c>
      <c r="Z95" s="276">
        <v>89</v>
      </c>
      <c r="AA95" s="433">
        <v>89</v>
      </c>
      <c r="AB95" s="291">
        <v>99.289335283215564</v>
      </c>
      <c r="AC95" s="279">
        <f t="shared" si="67"/>
        <v>1.996902603214572</v>
      </c>
      <c r="AD95" s="279">
        <f t="shared" ca="1" si="60"/>
        <v>1.9079770039811528</v>
      </c>
      <c r="AE95" s="279">
        <f t="shared" ca="1" si="70"/>
        <v>80.905305844994956</v>
      </c>
      <c r="AF95" s="279">
        <f t="shared" ca="1" si="68"/>
        <v>0.81484386630465888</v>
      </c>
      <c r="AG95" s="278">
        <f t="shared" ca="1" si="61"/>
        <v>93.558769621434038</v>
      </c>
      <c r="AH95" s="278">
        <f t="shared" ca="1" si="62"/>
        <v>69.963174380743268</v>
      </c>
      <c r="AJ95" s="50"/>
      <c r="AK95" s="55"/>
      <c r="AL95" s="55"/>
      <c r="AM95" s="55"/>
      <c r="AN95" s="55"/>
      <c r="AO95" s="55"/>
      <c r="AP95" s="55"/>
      <c r="AQ95" s="55"/>
      <c r="AR95" s="55"/>
      <c r="AS95" s="55"/>
      <c r="AT95" s="55"/>
      <c r="AU95" s="55"/>
      <c r="AW95" s="55"/>
      <c r="AX95" s="440">
        <v>1.3829243166193479</v>
      </c>
      <c r="AY95" s="55"/>
      <c r="AZ95" s="43"/>
      <c r="BA95" s="43"/>
    </row>
    <row r="96" spans="1:54" ht="12.75" customHeight="1">
      <c r="A96" s="80"/>
      <c r="B96" s="264" t="str">
        <f t="shared" si="63"/>
        <v>SAT</v>
      </c>
      <c r="C96" s="267">
        <f t="shared" si="64"/>
        <v>44051</v>
      </c>
      <c r="D96" s="430">
        <f t="shared" si="69"/>
        <v>90</v>
      </c>
      <c r="E96" s="473"/>
      <c r="F96" s="483"/>
      <c r="G96" s="472"/>
      <c r="H96" s="472"/>
      <c r="I96" s="292" t="str">
        <f t="shared" si="51"/>
        <v/>
      </c>
      <c r="J96" s="293" t="str">
        <f t="shared" si="52"/>
        <v/>
      </c>
      <c r="K96" s="293" t="str">
        <f t="shared" si="53"/>
        <v/>
      </c>
      <c r="L96" s="293" t="str">
        <f t="shared" si="54"/>
        <v/>
      </c>
      <c r="M96" s="266"/>
      <c r="N96" s="291" t="str">
        <f t="shared" si="55"/>
        <v/>
      </c>
      <c r="O96" s="291" t="str">
        <f t="shared" si="56"/>
        <v/>
      </c>
      <c r="P96" s="291" t="str">
        <f t="shared" si="57"/>
        <v/>
      </c>
      <c r="Q96" s="324">
        <f t="shared" si="74"/>
        <v>44051</v>
      </c>
      <c r="R96" s="277">
        <v>90</v>
      </c>
      <c r="S96" s="291" t="e">
        <f t="shared" si="58"/>
        <v>#N/A</v>
      </c>
      <c r="T96" s="291"/>
      <c r="U96" s="291" t="e">
        <f t="shared" si="59"/>
        <v>#N/A</v>
      </c>
      <c r="V96" s="291" t="str">
        <f t="shared" si="65"/>
        <v/>
      </c>
      <c r="W96" s="291" t="str">
        <f t="shared" si="66"/>
        <v/>
      </c>
      <c r="X96" s="291" t="str">
        <f t="shared" si="72"/>
        <v/>
      </c>
      <c r="Y96" s="291" t="str">
        <f t="shared" si="73"/>
        <v/>
      </c>
      <c r="Z96" s="276">
        <v>90</v>
      </c>
      <c r="AA96" s="433">
        <v>90</v>
      </c>
      <c r="AB96" s="291">
        <v>108.60464477539063</v>
      </c>
      <c r="AC96" s="279">
        <f t="shared" si="67"/>
        <v>2.0358483994442245</v>
      </c>
      <c r="AD96" s="279">
        <f t="shared" ca="1" si="60"/>
        <v>1.912289118494519</v>
      </c>
      <c r="AE96" s="279">
        <f t="shared" ca="1" si="70"/>
        <v>81.712616751014252</v>
      </c>
      <c r="AF96" s="279">
        <f t="shared" ca="1" si="68"/>
        <v>0.75238602289991563</v>
      </c>
      <c r="AG96" s="278">
        <f t="shared" ca="1" si="61"/>
        <v>94.492342695291995</v>
      </c>
      <c r="AH96" s="278">
        <f t="shared" ca="1" si="62"/>
        <v>70.661299591536192</v>
      </c>
      <c r="AJ96" s="50"/>
      <c r="AK96" s="55"/>
      <c r="AL96" s="55"/>
      <c r="AM96" s="55"/>
      <c r="AN96" s="55"/>
      <c r="AO96" s="55"/>
      <c r="AP96" s="55"/>
      <c r="AQ96" s="55"/>
      <c r="AR96" s="55"/>
      <c r="AS96" s="55"/>
      <c r="AT96" s="55"/>
      <c r="AU96" s="55"/>
      <c r="AW96" s="55"/>
      <c r="AX96" s="442">
        <v>1.383239431205076</v>
      </c>
      <c r="AY96" s="55"/>
      <c r="AZ96" s="43"/>
      <c r="BA96" s="43"/>
      <c r="BB96" s="43"/>
    </row>
    <row r="97" spans="1:54" ht="12.75" customHeight="1">
      <c r="A97" s="80"/>
      <c r="B97" s="264" t="str">
        <f t="shared" si="63"/>
        <v>SUN</v>
      </c>
      <c r="C97" s="267">
        <f t="shared" si="64"/>
        <v>44052</v>
      </c>
      <c r="D97" s="430">
        <f t="shared" si="69"/>
        <v>91</v>
      </c>
      <c r="E97" s="473"/>
      <c r="F97" s="483"/>
      <c r="G97" s="472"/>
      <c r="H97" s="472"/>
      <c r="I97" s="292" t="str">
        <f t="shared" si="51"/>
        <v/>
      </c>
      <c r="J97" s="293" t="str">
        <f t="shared" si="52"/>
        <v/>
      </c>
      <c r="K97" s="293" t="str">
        <f t="shared" si="53"/>
        <v/>
      </c>
      <c r="L97" s="293" t="str">
        <f t="shared" si="54"/>
        <v/>
      </c>
      <c r="M97" s="266"/>
      <c r="N97" s="291" t="str">
        <f t="shared" si="55"/>
        <v/>
      </c>
      <c r="O97" s="291" t="str">
        <f t="shared" si="56"/>
        <v/>
      </c>
      <c r="P97" s="291" t="str">
        <f t="shared" si="57"/>
        <v/>
      </c>
      <c r="Q97" s="324">
        <f>C97</f>
        <v>44052</v>
      </c>
      <c r="R97" s="277">
        <v>91</v>
      </c>
      <c r="S97" s="291">
        <f t="shared" si="58"/>
        <v>100000</v>
      </c>
      <c r="T97" s="291"/>
      <c r="U97" s="291" t="str">
        <f t="shared" si="59"/>
        <v>08/09/20</v>
      </c>
      <c r="V97" s="291" t="str">
        <f t="shared" si="65"/>
        <v/>
      </c>
      <c r="W97" s="291" t="str">
        <f t="shared" si="66"/>
        <v/>
      </c>
      <c r="X97" s="291" t="str">
        <f t="shared" si="72"/>
        <v/>
      </c>
      <c r="Y97" s="291" t="str">
        <f t="shared" si="73"/>
        <v/>
      </c>
      <c r="Z97" s="276">
        <v>91</v>
      </c>
      <c r="AA97" s="433">
        <v>91</v>
      </c>
      <c r="AB97" s="291">
        <v>76.949634466384225</v>
      </c>
      <c r="AC97" s="279">
        <f t="shared" si="67"/>
        <v>1.8862065611446341</v>
      </c>
      <c r="AD97" s="279">
        <f t="shared" ca="1" si="60"/>
        <v>1.9166012330078852</v>
      </c>
      <c r="AE97" s="279">
        <f t="shared" ca="1" si="70"/>
        <v>82.527983382083519</v>
      </c>
      <c r="AF97" s="279">
        <f t="shared" ca="1" si="68"/>
        <v>1.0724935076609912</v>
      </c>
      <c r="AG97" s="278">
        <f t="shared" ca="1" si="61"/>
        <v>95.435231397046209</v>
      </c>
      <c r="AH97" s="278">
        <f t="shared" ca="1" si="62"/>
        <v>71.366391021547372</v>
      </c>
      <c r="AJ97" s="50"/>
      <c r="AK97" s="55"/>
      <c r="AL97" s="55"/>
      <c r="AM97" s="55"/>
      <c r="AN97" s="55"/>
      <c r="AO97" s="55"/>
      <c r="AP97" s="55"/>
      <c r="AQ97" s="55"/>
      <c r="AR97" s="55"/>
      <c r="AS97" s="55"/>
      <c r="AT97" s="55"/>
      <c r="AU97" s="55"/>
      <c r="AV97" s="43"/>
      <c r="AW97" s="55"/>
      <c r="AX97" s="442">
        <v>1.4240712328776508</v>
      </c>
      <c r="AY97" s="55"/>
      <c r="AZ97" s="43"/>
      <c r="BA97" s="43"/>
      <c r="BB97" s="43"/>
    </row>
    <row r="98" spans="1:54" ht="12.75" customHeight="1">
      <c r="A98" s="80"/>
      <c r="B98" s="264" t="str">
        <f t="shared" si="63"/>
        <v>MON</v>
      </c>
      <c r="C98" s="267">
        <f t="shared" si="64"/>
        <v>44053</v>
      </c>
      <c r="D98" s="430">
        <f t="shared" si="69"/>
        <v>92</v>
      </c>
      <c r="E98" s="473"/>
      <c r="F98" s="483"/>
      <c r="G98" s="472"/>
      <c r="H98" s="472"/>
      <c r="I98" s="292" t="str">
        <f t="shared" si="51"/>
        <v/>
      </c>
      <c r="J98" s="293" t="str">
        <f t="shared" si="52"/>
        <v/>
      </c>
      <c r="K98" s="293" t="str">
        <f t="shared" si="53"/>
        <v/>
      </c>
      <c r="L98" s="293" t="str">
        <f t="shared" si="54"/>
        <v/>
      </c>
      <c r="M98" s="266"/>
      <c r="N98" s="291" t="str">
        <f t="shared" si="55"/>
        <v/>
      </c>
      <c r="O98" s="291" t="str">
        <f t="shared" si="56"/>
        <v/>
      </c>
      <c r="P98" s="291" t="str">
        <f t="shared" si="57"/>
        <v/>
      </c>
      <c r="Q98" s="324">
        <f t="shared" ref="Q98:Q106" si="75">C98</f>
        <v>44053</v>
      </c>
      <c r="R98" s="277">
        <v>92</v>
      </c>
      <c r="S98" s="291" t="e">
        <f t="shared" si="58"/>
        <v>#N/A</v>
      </c>
      <c r="T98" s="291"/>
      <c r="U98" s="291" t="e">
        <f t="shared" si="59"/>
        <v>#N/A</v>
      </c>
      <c r="V98" s="291" t="str">
        <f t="shared" si="65"/>
        <v/>
      </c>
      <c r="W98" s="291" t="str">
        <f t="shared" si="66"/>
        <v/>
      </c>
      <c r="X98" s="291" t="str">
        <f t="shared" si="72"/>
        <v/>
      </c>
      <c r="Y98" s="291" t="str">
        <f t="shared" si="73"/>
        <v/>
      </c>
      <c r="Z98" s="276">
        <v>92</v>
      </c>
      <c r="AA98" s="433">
        <v>92</v>
      </c>
      <c r="AB98" s="291">
        <v>82.324974095301243</v>
      </c>
      <c r="AC98" s="279">
        <f t="shared" si="67"/>
        <v>1.9155316027271645</v>
      </c>
      <c r="AD98" s="279">
        <f t="shared" ca="1" si="60"/>
        <v>1.9209133475212514</v>
      </c>
      <c r="AE98" s="279">
        <f t="shared" ca="1" si="70"/>
        <v>83.351486121987662</v>
      </c>
      <c r="AF98" s="279">
        <f t="shared" ca="1" si="68"/>
        <v>1.0124690233792009</v>
      </c>
      <c r="AG98" s="278">
        <f t="shared" ca="1" si="61"/>
        <v>96.387528682380278</v>
      </c>
      <c r="AH98" s="278">
        <f t="shared" ca="1" si="62"/>
        <v>72.078518182963904</v>
      </c>
      <c r="AJ98" s="50"/>
      <c r="AK98" s="55"/>
      <c r="AL98" s="55"/>
      <c r="AM98" s="55"/>
      <c r="AN98" s="55"/>
      <c r="AO98" s="55"/>
      <c r="AP98" s="55"/>
      <c r="AQ98" s="55"/>
      <c r="AR98" s="55"/>
      <c r="AS98" s="55"/>
      <c r="AT98" s="55"/>
      <c r="AU98" s="55"/>
      <c r="AV98" s="43"/>
      <c r="AW98" s="55"/>
      <c r="AX98" s="442">
        <v>1.4279610672835741</v>
      </c>
      <c r="AY98" s="55"/>
      <c r="AZ98" s="43"/>
      <c r="BA98" s="43"/>
      <c r="BB98" s="43"/>
    </row>
    <row r="99" spans="1:54" ht="12.75" customHeight="1">
      <c r="A99" s="80"/>
      <c r="B99" s="264" t="str">
        <f t="shared" si="63"/>
        <v>TUE</v>
      </c>
      <c r="C99" s="267">
        <f t="shared" si="64"/>
        <v>44054</v>
      </c>
      <c r="D99" s="430">
        <f t="shared" si="69"/>
        <v>93</v>
      </c>
      <c r="E99" s="473"/>
      <c r="F99" s="483"/>
      <c r="G99" s="472"/>
      <c r="H99" s="472"/>
      <c r="I99" s="292" t="str">
        <f t="shared" si="51"/>
        <v/>
      </c>
      <c r="J99" s="293" t="str">
        <f t="shared" si="52"/>
        <v/>
      </c>
      <c r="K99" s="293" t="str">
        <f t="shared" si="53"/>
        <v/>
      </c>
      <c r="L99" s="293" t="str">
        <f t="shared" si="54"/>
        <v/>
      </c>
      <c r="M99" s="266"/>
      <c r="N99" s="291" t="str">
        <f t="shared" si="55"/>
        <v/>
      </c>
      <c r="O99" s="291" t="str">
        <f t="shared" si="56"/>
        <v/>
      </c>
      <c r="P99" s="291" t="str">
        <f t="shared" si="57"/>
        <v/>
      </c>
      <c r="Q99" s="324">
        <f t="shared" si="75"/>
        <v>44054</v>
      </c>
      <c r="R99" s="277">
        <v>93</v>
      </c>
      <c r="S99" s="291" t="e">
        <f t="shared" si="58"/>
        <v>#N/A</v>
      </c>
      <c r="T99" s="291"/>
      <c r="U99" s="291" t="e">
        <f t="shared" si="59"/>
        <v>#N/A</v>
      </c>
      <c r="V99" s="291" t="str">
        <f t="shared" si="65"/>
        <v/>
      </c>
      <c r="W99" s="291" t="str">
        <f t="shared" si="66"/>
        <v/>
      </c>
      <c r="X99" s="291" t="str">
        <f t="shared" si="72"/>
        <v/>
      </c>
      <c r="Y99" s="291" t="str">
        <f t="shared" si="73"/>
        <v/>
      </c>
      <c r="Z99" s="276">
        <v>93</v>
      </c>
      <c r="AA99" s="433">
        <v>93</v>
      </c>
      <c r="AB99" s="291">
        <v>86.731348514031666</v>
      </c>
      <c r="AC99" s="279">
        <f t="shared" si="67"/>
        <v>1.9381760989286552</v>
      </c>
      <c r="AD99" s="279">
        <f t="shared" ca="1" si="60"/>
        <v>1.9252254620346174</v>
      </c>
      <c r="AE99" s="279">
        <f t="shared" ca="1" si="70"/>
        <v>84.183206156618155</v>
      </c>
      <c r="AF99" s="279">
        <f t="shared" ca="1" si="68"/>
        <v>0.97062028434849867</v>
      </c>
      <c r="AG99" s="278">
        <f t="shared" ca="1" si="61"/>
        <v>97.349328434532623</v>
      </c>
      <c r="AH99" s="278">
        <f t="shared" ca="1" si="62"/>
        <v>72.797751281597712</v>
      </c>
      <c r="AJ99" s="50"/>
      <c r="AK99" s="55"/>
      <c r="AL99" s="55"/>
      <c r="AM99" s="55"/>
      <c r="AN99" s="55"/>
      <c r="AO99" s="55"/>
      <c r="AP99" s="55"/>
      <c r="AQ99" s="55"/>
      <c r="AR99" s="55"/>
      <c r="AS99" s="55"/>
      <c r="AT99" s="55"/>
      <c r="AU99" s="55"/>
      <c r="AV99" s="43"/>
      <c r="AW99" s="55"/>
      <c r="AX99" s="440">
        <v>1.4545257136766967</v>
      </c>
      <c r="AY99" s="55"/>
      <c r="AZ99" s="43"/>
      <c r="BA99" s="43"/>
      <c r="BB99" s="43"/>
    </row>
    <row r="100" spans="1:54" ht="12.75" customHeight="1">
      <c r="A100" s="80"/>
      <c r="B100" s="264" t="str">
        <f t="shared" si="63"/>
        <v>WED</v>
      </c>
      <c r="C100" s="267">
        <f t="shared" si="64"/>
        <v>44055</v>
      </c>
      <c r="D100" s="430">
        <f t="shared" si="69"/>
        <v>94</v>
      </c>
      <c r="E100" s="473"/>
      <c r="F100" s="483"/>
      <c r="G100" s="472"/>
      <c r="H100" s="472"/>
      <c r="I100" s="292" t="str">
        <f t="shared" si="51"/>
        <v/>
      </c>
      <c r="J100" s="293" t="str">
        <f t="shared" si="52"/>
        <v/>
      </c>
      <c r="K100" s="293" t="str">
        <f t="shared" si="53"/>
        <v/>
      </c>
      <c r="L100" s="293" t="str">
        <f t="shared" si="54"/>
        <v/>
      </c>
      <c r="M100" s="266"/>
      <c r="N100" s="291" t="str">
        <f t="shared" si="55"/>
        <v/>
      </c>
      <c r="O100" s="291" t="str">
        <f t="shared" si="56"/>
        <v/>
      </c>
      <c r="P100" s="291" t="str">
        <f t="shared" si="57"/>
        <v/>
      </c>
      <c r="Q100" s="324">
        <f t="shared" si="75"/>
        <v>44055</v>
      </c>
      <c r="R100" s="277">
        <v>94</v>
      </c>
      <c r="S100" s="291" t="e">
        <f t="shared" si="58"/>
        <v>#N/A</v>
      </c>
      <c r="T100" s="291"/>
      <c r="U100" s="291" t="e">
        <f t="shared" si="59"/>
        <v>#N/A</v>
      </c>
      <c r="V100" s="291" t="str">
        <f t="shared" si="65"/>
        <v/>
      </c>
      <c r="W100" s="291" t="str">
        <f t="shared" si="66"/>
        <v/>
      </c>
      <c r="X100" s="291" t="str">
        <f t="shared" si="72"/>
        <v/>
      </c>
      <c r="Y100" s="291" t="str">
        <f t="shared" si="73"/>
        <v/>
      </c>
      <c r="Z100" s="276">
        <v>94</v>
      </c>
      <c r="AA100" s="433">
        <v>94</v>
      </c>
      <c r="AB100" s="291">
        <v>89.169458028273468</v>
      </c>
      <c r="AC100" s="279">
        <f t="shared" si="67"/>
        <v>1.95021612700919</v>
      </c>
      <c r="AD100" s="279">
        <f t="shared" ca="1" si="60"/>
        <v>1.9295375765479836</v>
      </c>
      <c r="AE100" s="279">
        <f t="shared" ca="1" si="70"/>
        <v>85.023225481977562</v>
      </c>
      <c r="AF100" s="279">
        <f t="shared" ca="1" si="68"/>
        <v>0.95350165137281384</v>
      </c>
      <c r="AG100" s="278">
        <f t="shared" ca="1" si="61"/>
        <v>98.320725473552841</v>
      </c>
      <c r="AH100" s="278">
        <f t="shared" ca="1" si="62"/>
        <v>73.524161223807326</v>
      </c>
      <c r="AJ100" s="50"/>
      <c r="AK100" s="55"/>
      <c r="AL100" s="55"/>
      <c r="AM100" s="55"/>
      <c r="AN100" s="55"/>
      <c r="AO100" s="55"/>
      <c r="AP100" s="55"/>
      <c r="AQ100" s="55"/>
      <c r="AR100" s="55"/>
      <c r="AS100" s="55"/>
      <c r="AT100" s="55"/>
      <c r="AU100" s="55"/>
      <c r="AV100" s="43"/>
      <c r="AW100" s="55"/>
      <c r="AX100" s="440">
        <v>1.4818876192017147</v>
      </c>
      <c r="AY100" s="55"/>
      <c r="AZ100" s="43"/>
      <c r="BA100" s="43"/>
      <c r="BB100" s="43"/>
    </row>
    <row r="101" spans="1:54" ht="12.75" customHeight="1">
      <c r="A101" s="80"/>
      <c r="B101" s="264" t="str">
        <f t="shared" si="63"/>
        <v>THU</v>
      </c>
      <c r="C101" s="267">
        <f t="shared" si="64"/>
        <v>44056</v>
      </c>
      <c r="D101" s="430">
        <f t="shared" si="69"/>
        <v>95</v>
      </c>
      <c r="E101" s="473"/>
      <c r="F101" s="483"/>
      <c r="G101" s="472"/>
      <c r="H101" s="472"/>
      <c r="I101" s="292" t="str">
        <f t="shared" si="51"/>
        <v/>
      </c>
      <c r="J101" s="293" t="str">
        <f t="shared" si="52"/>
        <v/>
      </c>
      <c r="K101" s="293" t="str">
        <f t="shared" si="53"/>
        <v/>
      </c>
      <c r="L101" s="293" t="str">
        <f t="shared" si="54"/>
        <v/>
      </c>
      <c r="M101" s="266"/>
      <c r="N101" s="291" t="str">
        <f t="shared" si="55"/>
        <v/>
      </c>
      <c r="O101" s="291" t="str">
        <f t="shared" si="56"/>
        <v/>
      </c>
      <c r="P101" s="291" t="str">
        <f t="shared" si="57"/>
        <v/>
      </c>
      <c r="Q101" s="324">
        <f t="shared" si="75"/>
        <v>44056</v>
      </c>
      <c r="R101" s="277">
        <v>95</v>
      </c>
      <c r="S101" s="291" t="e">
        <f t="shared" si="58"/>
        <v>#N/A</v>
      </c>
      <c r="T101" s="291"/>
      <c r="U101" s="291" t="e">
        <f t="shared" si="59"/>
        <v>#N/A</v>
      </c>
      <c r="V101" s="291" t="str">
        <f t="shared" si="65"/>
        <v/>
      </c>
      <c r="W101" s="291" t="str">
        <f t="shared" si="66"/>
        <v/>
      </c>
      <c r="X101" s="291" t="str">
        <f t="shared" si="72"/>
        <v/>
      </c>
      <c r="Y101" s="291" t="str">
        <f t="shared" si="73"/>
        <v/>
      </c>
      <c r="Z101" s="276">
        <v>95</v>
      </c>
      <c r="AA101" s="433">
        <v>95</v>
      </c>
      <c r="AB101" s="291">
        <v>81.640018746250561</v>
      </c>
      <c r="AC101" s="279">
        <f t="shared" si="67"/>
        <v>1.9119030957671128</v>
      </c>
      <c r="AD101" s="279">
        <f t="shared" ca="1" si="60"/>
        <v>1.9338496910613499</v>
      </c>
      <c r="AE101" s="279">
        <f t="shared" ca="1" si="70"/>
        <v>85.871626912262556</v>
      </c>
      <c r="AF101" s="279">
        <f t="shared" ca="1" si="68"/>
        <v>1.0518325232036567</v>
      </c>
      <c r="AG101" s="278">
        <f t="shared" ca="1" si="61"/>
        <v>99.301815565648937</v>
      </c>
      <c r="AH101" s="278">
        <f t="shared" ca="1" si="62"/>
        <v>74.257819623487833</v>
      </c>
      <c r="AJ101" s="50"/>
      <c r="AK101" s="55"/>
      <c r="AL101" s="55"/>
      <c r="AM101" s="55"/>
      <c r="AN101" s="55"/>
      <c r="AO101" s="55"/>
      <c r="AP101" s="55"/>
      <c r="AQ101" s="55"/>
      <c r="AR101" s="55"/>
      <c r="AS101" s="55"/>
      <c r="AT101" s="55"/>
      <c r="AU101" s="55"/>
      <c r="AV101" s="43"/>
      <c r="AW101" s="55"/>
      <c r="AX101" s="442">
        <v>1.4826967257736172</v>
      </c>
      <c r="AY101" s="55"/>
      <c r="AZ101" s="43"/>
      <c r="BA101" s="43"/>
      <c r="BB101" s="43"/>
    </row>
    <row r="102" spans="1:54" ht="12.75" customHeight="1">
      <c r="A102" s="80"/>
      <c r="B102" s="264" t="str">
        <f t="shared" si="63"/>
        <v>FRI</v>
      </c>
      <c r="C102" s="267">
        <f t="shared" si="64"/>
        <v>44057</v>
      </c>
      <c r="D102" s="430">
        <f t="shared" si="69"/>
        <v>96</v>
      </c>
      <c r="E102" s="473"/>
      <c r="F102" s="483"/>
      <c r="G102" s="472"/>
      <c r="H102" s="472"/>
      <c r="I102" s="292" t="str">
        <f t="shared" ref="I102:I133" si="76">IF(E102="","",IF(Y_AxisLabel="Count Per Minute",1/(HOUR(E102)*60+MINUTE(E102)+SECOND(E102)/60),1/E102))</f>
        <v/>
      </c>
      <c r="J102" s="293" t="str">
        <f t="shared" si="52"/>
        <v/>
      </c>
      <c r="K102" s="293" t="str">
        <f t="shared" ref="K102:K133" si="77">IF(OR(G102=Blank,$E102=Blank),Blank,IF(G102&gt;0,G102*$I102,ZeroCount*$I102))</f>
        <v/>
      </c>
      <c r="L102" s="293" t="str">
        <f t="shared" ref="L102:L133" si="78">IF(OR(H102=Blank,$E102=Blank),Blank,IF(H102&gt;0,H102*$I102,ZeroCount*$I102))</f>
        <v/>
      </c>
      <c r="M102" s="266"/>
      <c r="N102" s="291" t="str">
        <f t="shared" ref="N102:N133" si="79">IF(F102="","",IF(F102=0,IF(NOT(ZeroFlag),"",ZeroCount*$I102),J102))</f>
        <v/>
      </c>
      <c r="O102" s="291" t="str">
        <f t="shared" ref="O102:O133" si="80">IF(G102="","",IF(G102=0,IF(NOT(ZeroFlag),"",ZeroCount*$I102),K102))</f>
        <v/>
      </c>
      <c r="P102" s="291" t="str">
        <f t="shared" ref="P102:P133" si="81">IF(H102="","",IF(H102=0,IF(NOT(ZeroFlag),"",ZeroCount*$I102),L102))</f>
        <v/>
      </c>
      <c r="Q102" s="324">
        <f t="shared" si="75"/>
        <v>44057</v>
      </c>
      <c r="R102" s="277">
        <v>96</v>
      </c>
      <c r="S102" s="291" t="e">
        <f t="shared" ref="S102:S133" si="82">IF((R102/Scalar)-INT(R102/Scalar)=0,Ymax,NA())</f>
        <v>#N/A</v>
      </c>
      <c r="T102" s="291"/>
      <c r="U102" s="291" t="e">
        <f t="shared" ref="U102:U133" si="83">IF(ISNA(S102),NA(),TEXT(C102,DateFormat))</f>
        <v>#N/A</v>
      </c>
      <c r="V102" s="291" t="str">
        <f t="shared" si="65"/>
        <v/>
      </c>
      <c r="W102" s="291" t="str">
        <f t="shared" si="66"/>
        <v/>
      </c>
      <c r="X102" s="291" t="str">
        <f t="shared" si="72"/>
        <v/>
      </c>
      <c r="Y102" s="291" t="str">
        <f t="shared" si="73"/>
        <v/>
      </c>
      <c r="Z102" s="276">
        <v>96</v>
      </c>
      <c r="AA102" s="433">
        <v>96</v>
      </c>
      <c r="AB102" s="291">
        <v>111.14376293529965</v>
      </c>
      <c r="AC102" s="279">
        <f t="shared" si="67"/>
        <v>2.0458850963756841</v>
      </c>
      <c r="AD102" s="279">
        <f t="shared" ca="1" si="60"/>
        <v>1.9381618055747158</v>
      </c>
      <c r="AE102" s="279">
        <f t="shared" ca="1" si="70"/>
        <v>86.728494088028526</v>
      </c>
      <c r="AF102" s="279">
        <f t="shared" ca="1" si="68"/>
        <v>0.78032713485250604</v>
      </c>
      <c r="AG102" s="278">
        <f t="shared" ca="1" si="61"/>
        <v>100.29269543262883</v>
      </c>
      <c r="AH102" s="278">
        <f t="shared" ca="1" si="62"/>
        <v>74.998798809131173</v>
      </c>
      <c r="AJ102" s="50"/>
      <c r="AK102" s="55"/>
      <c r="AL102" s="55"/>
      <c r="AM102" s="55"/>
      <c r="AN102" s="55"/>
      <c r="AO102" s="55"/>
      <c r="AP102" s="55"/>
      <c r="AQ102" s="55"/>
      <c r="AR102" s="55"/>
      <c r="AS102" s="55"/>
      <c r="AT102" s="55"/>
      <c r="AU102" s="55"/>
      <c r="AV102" s="43"/>
      <c r="AX102" s="441">
        <v>1.483315890194151</v>
      </c>
      <c r="AZ102" s="43"/>
      <c r="BA102" s="43"/>
      <c r="BB102" s="43"/>
    </row>
    <row r="103" spans="1:54" ht="12.75" customHeight="1">
      <c r="A103" s="80"/>
      <c r="B103" s="264" t="str">
        <f t="shared" si="63"/>
        <v>SAT</v>
      </c>
      <c r="C103" s="267">
        <f t="shared" ref="C103:C134" si="84">IF($C$6&gt;0,IF(MDY="Y",DATE(YEAR(C102)+1,MONTH(1),DAY(1)),IF(MDY="M",DATE(YEAR(C102),MONTH(C102)+1,DAY(1)),IF(MDY="W",DATE(YEAR(C102),MONTH(C102),DAY(C102)+7),DATE(YEAR(C102),MONTH(C102),DAY(C102)+1)))),"")</f>
        <v>44058</v>
      </c>
      <c r="D103" s="430">
        <f t="shared" si="69"/>
        <v>97</v>
      </c>
      <c r="E103" s="473"/>
      <c r="F103" s="483"/>
      <c r="G103" s="472"/>
      <c r="H103" s="472"/>
      <c r="I103" s="292" t="str">
        <f t="shared" si="76"/>
        <v/>
      </c>
      <c r="J103" s="293" t="str">
        <f t="shared" si="52"/>
        <v/>
      </c>
      <c r="K103" s="293" t="str">
        <f t="shared" si="77"/>
        <v/>
      </c>
      <c r="L103" s="293" t="str">
        <f t="shared" si="78"/>
        <v/>
      </c>
      <c r="M103" s="266"/>
      <c r="N103" s="291" t="str">
        <f t="shared" si="79"/>
        <v/>
      </c>
      <c r="O103" s="291" t="str">
        <f t="shared" si="80"/>
        <v/>
      </c>
      <c r="P103" s="291" t="str">
        <f t="shared" si="81"/>
        <v/>
      </c>
      <c r="Q103" s="324">
        <f t="shared" si="75"/>
        <v>44058</v>
      </c>
      <c r="R103" s="277">
        <v>97</v>
      </c>
      <c r="S103" s="291" t="e">
        <f t="shared" si="82"/>
        <v>#N/A</v>
      </c>
      <c r="T103" s="291"/>
      <c r="U103" s="291" t="e">
        <f t="shared" si="83"/>
        <v>#N/A</v>
      </c>
      <c r="V103" s="291" t="str">
        <f t="shared" si="65"/>
        <v/>
      </c>
      <c r="W103" s="291" t="str">
        <f t="shared" si="66"/>
        <v/>
      </c>
      <c r="X103" s="291" t="str">
        <f t="shared" si="72"/>
        <v/>
      </c>
      <c r="Y103" s="291" t="str">
        <f t="shared" si="73"/>
        <v/>
      </c>
      <c r="Z103" s="276">
        <v>97</v>
      </c>
      <c r="AA103" s="433">
        <v>97</v>
      </c>
      <c r="AB103" s="291">
        <v>86.681439386503513</v>
      </c>
      <c r="AC103" s="279">
        <f t="shared" si="67"/>
        <v>1.9379261143739639</v>
      </c>
      <c r="AD103" s="279">
        <f t="shared" ca="1" si="60"/>
        <v>1.9424739200880821</v>
      </c>
      <c r="AE103" s="279">
        <f t="shared" ca="1" si="70"/>
        <v>87.593911484435623</v>
      </c>
      <c r="AF103" s="279">
        <f t="shared" ca="1" si="68"/>
        <v>1.0105267298788556</v>
      </c>
      <c r="AG103" s="278">
        <f t="shared" ca="1" si="61"/>
        <v>101.29346276143613</v>
      </c>
      <c r="AH103" s="278">
        <f t="shared" ca="1" si="62"/>
        <v>75.747171830956958</v>
      </c>
      <c r="AJ103" s="50"/>
      <c r="AK103" s="55"/>
      <c r="AL103" s="55"/>
      <c r="AM103" s="55"/>
      <c r="AN103" s="55"/>
      <c r="AO103" s="55"/>
      <c r="AP103" s="55"/>
      <c r="AQ103" s="55"/>
      <c r="AR103" s="55"/>
      <c r="AS103" s="55"/>
      <c r="AT103" s="55"/>
      <c r="AU103" s="55"/>
      <c r="AV103" s="43"/>
      <c r="AX103" s="440">
        <v>1.5839054708323244</v>
      </c>
      <c r="AZ103" s="43"/>
      <c r="BA103" s="43"/>
      <c r="BB103" s="43"/>
    </row>
    <row r="104" spans="1:54" ht="12.75" customHeight="1">
      <c r="A104" s="80"/>
      <c r="B104" s="264" t="str">
        <f t="shared" si="63"/>
        <v>SUN</v>
      </c>
      <c r="C104" s="267">
        <f t="shared" si="84"/>
        <v>44059</v>
      </c>
      <c r="D104" s="430">
        <f t="shared" si="69"/>
        <v>98</v>
      </c>
      <c r="E104" s="473"/>
      <c r="F104" s="483"/>
      <c r="G104" s="472"/>
      <c r="H104" s="472"/>
      <c r="I104" s="292" t="str">
        <f t="shared" si="76"/>
        <v/>
      </c>
      <c r="J104" s="293" t="str">
        <f t="shared" si="52"/>
        <v/>
      </c>
      <c r="K104" s="293" t="str">
        <f t="shared" si="77"/>
        <v/>
      </c>
      <c r="L104" s="293" t="str">
        <f t="shared" si="78"/>
        <v/>
      </c>
      <c r="M104" s="266"/>
      <c r="N104" s="291" t="str">
        <f t="shared" si="79"/>
        <v/>
      </c>
      <c r="O104" s="291" t="str">
        <f t="shared" si="80"/>
        <v/>
      </c>
      <c r="P104" s="291" t="str">
        <f t="shared" si="81"/>
        <v/>
      </c>
      <c r="Q104" s="324">
        <f t="shared" si="75"/>
        <v>44059</v>
      </c>
      <c r="R104" s="277">
        <v>98</v>
      </c>
      <c r="S104" s="291">
        <f t="shared" si="82"/>
        <v>100000</v>
      </c>
      <c r="T104" s="291"/>
      <c r="U104" s="291" t="str">
        <f t="shared" si="83"/>
        <v>08/16/20</v>
      </c>
      <c r="V104" s="291" t="str">
        <f t="shared" si="65"/>
        <v/>
      </c>
      <c r="W104" s="291" t="str">
        <f t="shared" si="66"/>
        <v/>
      </c>
      <c r="X104" s="291" t="str">
        <f t="shared" si="72"/>
        <v/>
      </c>
      <c r="Y104" s="291" t="str">
        <f t="shared" si="73"/>
        <v/>
      </c>
      <c r="Z104" s="276">
        <v>98</v>
      </c>
      <c r="AA104" s="433">
        <v>100</v>
      </c>
      <c r="AB104" s="291"/>
      <c r="AC104" s="279" t="str">
        <f t="shared" si="67"/>
        <v/>
      </c>
      <c r="AD104" s="279">
        <f t="shared" ca="1" si="60"/>
        <v>1.9554102636281805</v>
      </c>
      <c r="AE104" s="279">
        <f t="shared" ca="1" si="70"/>
        <v>90.242322443642536</v>
      </c>
      <c r="AF104" s="279" t="str">
        <f t="shared" si="68"/>
        <v/>
      </c>
      <c r="AG104" s="278">
        <f t="shared" ca="1" si="61"/>
        <v>104.35608106820135</v>
      </c>
      <c r="AH104" s="278">
        <f t="shared" ca="1" si="62"/>
        <v>78.037395393375249</v>
      </c>
      <c r="AJ104" s="50"/>
      <c r="AK104" s="55"/>
      <c r="AL104" s="55"/>
      <c r="AM104" s="55"/>
      <c r="AN104" s="55"/>
      <c r="AO104" s="55"/>
      <c r="AP104" s="55"/>
      <c r="AQ104" s="55"/>
      <c r="AR104" s="55"/>
      <c r="AS104" s="55"/>
      <c r="AT104" s="55"/>
      <c r="AU104" s="55"/>
      <c r="AV104" s="43"/>
      <c r="AZ104" s="43"/>
      <c r="BA104" s="43"/>
      <c r="BB104" s="43"/>
    </row>
    <row r="105" spans="1:54" ht="12.75" customHeight="1">
      <c r="A105" s="80"/>
      <c r="B105" s="264" t="str">
        <f t="shared" si="63"/>
        <v>MON</v>
      </c>
      <c r="C105" s="267">
        <f t="shared" si="84"/>
        <v>44060</v>
      </c>
      <c r="D105" s="430">
        <f t="shared" si="69"/>
        <v>99</v>
      </c>
      <c r="E105" s="473"/>
      <c r="F105" s="483"/>
      <c r="G105" s="472"/>
      <c r="H105" s="472"/>
      <c r="I105" s="292" t="str">
        <f t="shared" si="76"/>
        <v/>
      </c>
      <c r="J105" s="293" t="str">
        <f t="shared" si="52"/>
        <v/>
      </c>
      <c r="K105" s="293" t="str">
        <f t="shared" si="77"/>
        <v/>
      </c>
      <c r="L105" s="293" t="str">
        <f t="shared" si="78"/>
        <v/>
      </c>
      <c r="M105" s="268"/>
      <c r="N105" s="291" t="str">
        <f t="shared" si="79"/>
        <v/>
      </c>
      <c r="O105" s="291" t="str">
        <f t="shared" si="80"/>
        <v/>
      </c>
      <c r="P105" s="291" t="str">
        <f t="shared" si="81"/>
        <v/>
      </c>
      <c r="Q105" s="324">
        <f t="shared" si="75"/>
        <v>44060</v>
      </c>
      <c r="R105" s="277">
        <v>99</v>
      </c>
      <c r="S105" s="291" t="e">
        <f t="shared" si="82"/>
        <v>#N/A</v>
      </c>
      <c r="T105" s="291"/>
      <c r="U105" s="291" t="e">
        <f t="shared" si="83"/>
        <v>#N/A</v>
      </c>
      <c r="V105" s="291" t="str">
        <f t="shared" si="65"/>
        <v/>
      </c>
      <c r="W105" s="291" t="str">
        <f t="shared" si="66"/>
        <v/>
      </c>
      <c r="X105" s="291" t="str">
        <f t="shared" si="72"/>
        <v/>
      </c>
      <c r="Y105" s="291" t="str">
        <f t="shared" si="73"/>
        <v/>
      </c>
      <c r="Z105" s="276">
        <v>99</v>
      </c>
      <c r="AA105" s="433"/>
      <c r="AB105" s="291"/>
      <c r="AC105" s="279" t="str">
        <f t="shared" si="67"/>
        <v/>
      </c>
      <c r="AD105" s="279" t="str">
        <f t="shared" si="60"/>
        <v/>
      </c>
      <c r="AE105" s="279" t="str">
        <f t="shared" si="70"/>
        <v/>
      </c>
      <c r="AF105" s="279" t="str">
        <f t="shared" si="68"/>
        <v/>
      </c>
      <c r="AG105" s="278" t="str">
        <f t="shared" si="61"/>
        <v/>
      </c>
      <c r="AH105" s="278" t="str">
        <f t="shared" si="62"/>
        <v/>
      </c>
      <c r="AJ105" s="50"/>
      <c r="AK105" s="55"/>
      <c r="AL105" s="55"/>
      <c r="AM105" s="55"/>
      <c r="AN105" s="55"/>
      <c r="AO105" s="55"/>
      <c r="AP105" s="55"/>
      <c r="AQ105" s="55"/>
      <c r="AR105" s="55"/>
      <c r="AS105" s="55"/>
      <c r="AT105" s="55"/>
      <c r="AU105" s="55"/>
      <c r="AV105" s="43"/>
      <c r="AZ105" s="43"/>
      <c r="BA105" s="43"/>
      <c r="BB105" s="43"/>
    </row>
    <row r="106" spans="1:54" ht="12.75" customHeight="1">
      <c r="A106" s="80"/>
      <c r="B106" s="264" t="str">
        <f t="shared" si="63"/>
        <v>TUE</v>
      </c>
      <c r="C106" s="267">
        <f t="shared" si="84"/>
        <v>44061</v>
      </c>
      <c r="D106" s="429">
        <f t="shared" si="69"/>
        <v>100</v>
      </c>
      <c r="E106" s="473"/>
      <c r="F106" s="483"/>
      <c r="G106" s="472"/>
      <c r="H106" s="472"/>
      <c r="I106" s="292" t="str">
        <f t="shared" si="76"/>
        <v/>
      </c>
      <c r="J106" s="293" t="str">
        <f t="shared" si="52"/>
        <v/>
      </c>
      <c r="K106" s="293" t="str">
        <f t="shared" si="77"/>
        <v/>
      </c>
      <c r="L106" s="293" t="str">
        <f t="shared" si="78"/>
        <v/>
      </c>
      <c r="M106" s="265"/>
      <c r="N106" s="291" t="str">
        <f t="shared" si="79"/>
        <v/>
      </c>
      <c r="O106" s="291" t="str">
        <f t="shared" si="80"/>
        <v/>
      </c>
      <c r="P106" s="291" t="str">
        <f t="shared" si="81"/>
        <v/>
      </c>
      <c r="Q106" s="324">
        <f t="shared" si="75"/>
        <v>44061</v>
      </c>
      <c r="R106" s="277">
        <v>100</v>
      </c>
      <c r="S106" s="291" t="e">
        <f t="shared" si="82"/>
        <v>#N/A</v>
      </c>
      <c r="T106" s="291"/>
      <c r="U106" s="291" t="e">
        <f t="shared" si="83"/>
        <v>#N/A</v>
      </c>
      <c r="V106" s="291" t="str">
        <f t="shared" si="65"/>
        <v/>
      </c>
      <c r="W106" s="291" t="str">
        <f t="shared" si="66"/>
        <v/>
      </c>
      <c r="X106" s="291" t="str">
        <f t="shared" si="72"/>
        <v/>
      </c>
      <c r="Y106" s="291" t="str">
        <f t="shared" si="73"/>
        <v/>
      </c>
      <c r="Z106" s="276">
        <v>100</v>
      </c>
      <c r="AA106" s="433"/>
      <c r="AB106" s="291"/>
      <c r="AC106" s="279" t="str">
        <f t="shared" si="67"/>
        <v/>
      </c>
      <c r="AD106" s="279" t="str">
        <f t="shared" si="60"/>
        <v/>
      </c>
      <c r="AE106" s="279" t="str">
        <f t="shared" si="70"/>
        <v/>
      </c>
      <c r="AF106" s="279" t="str">
        <f t="shared" si="68"/>
        <v/>
      </c>
      <c r="AG106" s="278" t="str">
        <f t="shared" si="61"/>
        <v/>
      </c>
      <c r="AH106" s="278" t="str">
        <f t="shared" si="62"/>
        <v/>
      </c>
      <c r="AJ106" s="50"/>
      <c r="AK106" s="25"/>
      <c r="AL106" s="25"/>
      <c r="AM106" s="25"/>
      <c r="AN106" s="25"/>
      <c r="AO106" s="25"/>
      <c r="AP106" s="25"/>
      <c r="AQ106" s="25"/>
      <c r="AR106" s="25"/>
      <c r="AS106" s="25"/>
      <c r="AT106" s="25"/>
      <c r="AU106" s="25"/>
      <c r="AV106" s="43"/>
      <c r="AZ106" s="43"/>
      <c r="BA106" s="43"/>
      <c r="BB106" s="43"/>
    </row>
    <row r="107" spans="1:54" ht="12.75" customHeight="1">
      <c r="A107" s="80"/>
      <c r="B107" s="264" t="str">
        <f t="shared" si="63"/>
        <v>WED</v>
      </c>
      <c r="C107" s="267">
        <f t="shared" si="84"/>
        <v>44062</v>
      </c>
      <c r="D107" s="430">
        <f t="shared" si="69"/>
        <v>101</v>
      </c>
      <c r="E107" s="473"/>
      <c r="F107" s="483"/>
      <c r="G107" s="472"/>
      <c r="H107" s="472"/>
      <c r="I107" s="292" t="str">
        <f t="shared" si="76"/>
        <v/>
      </c>
      <c r="J107" s="293" t="str">
        <f t="shared" si="52"/>
        <v/>
      </c>
      <c r="K107" s="293" t="str">
        <f t="shared" si="77"/>
        <v/>
      </c>
      <c r="L107" s="293" t="str">
        <f t="shared" si="78"/>
        <v/>
      </c>
      <c r="M107" s="268"/>
      <c r="N107" s="291" t="str">
        <f t="shared" si="79"/>
        <v/>
      </c>
      <c r="O107" s="291" t="str">
        <f t="shared" si="80"/>
        <v/>
      </c>
      <c r="P107" s="291" t="str">
        <f t="shared" si="81"/>
        <v/>
      </c>
      <c r="Q107" s="324">
        <f t="shared" ref="Q107:Q146" si="85">C107</f>
        <v>44062</v>
      </c>
      <c r="R107" s="277">
        <v>101</v>
      </c>
      <c r="S107" s="291" t="e">
        <f t="shared" si="82"/>
        <v>#N/A</v>
      </c>
      <c r="T107" s="291"/>
      <c r="U107" s="291" t="e">
        <f t="shared" si="83"/>
        <v>#N/A</v>
      </c>
      <c r="V107" s="291" t="str">
        <f t="shared" si="65"/>
        <v/>
      </c>
      <c r="W107" s="291" t="str">
        <f t="shared" si="66"/>
        <v/>
      </c>
      <c r="X107" s="291" t="str">
        <f t="shared" si="72"/>
        <v/>
      </c>
      <c r="Y107" s="291" t="str">
        <f t="shared" si="73"/>
        <v/>
      </c>
      <c r="Z107" s="276">
        <v>101</v>
      </c>
      <c r="AA107" s="433"/>
      <c r="AB107" s="291"/>
      <c r="AC107" s="279" t="str">
        <f t="shared" si="67"/>
        <v/>
      </c>
      <c r="AD107" s="279" t="str">
        <f t="shared" si="60"/>
        <v/>
      </c>
      <c r="AE107" s="279" t="str">
        <f t="shared" si="70"/>
        <v/>
      </c>
      <c r="AF107" s="279" t="str">
        <f t="shared" si="68"/>
        <v/>
      </c>
      <c r="AG107" s="278" t="str">
        <f t="shared" si="61"/>
        <v/>
      </c>
      <c r="AH107" s="278" t="str">
        <f t="shared" si="62"/>
        <v/>
      </c>
      <c r="AK107" s="25"/>
      <c r="AL107" s="25"/>
      <c r="AM107" s="25"/>
      <c r="AN107" s="25"/>
      <c r="AO107" s="25"/>
      <c r="AP107" s="25"/>
      <c r="AQ107" s="25"/>
      <c r="AR107" s="25"/>
      <c r="AS107" s="25"/>
      <c r="AT107" s="25"/>
      <c r="AU107" s="25"/>
      <c r="AV107" s="43"/>
      <c r="AW107" s="43"/>
      <c r="AY107" s="43"/>
      <c r="AZ107" s="43"/>
      <c r="BA107" s="43"/>
      <c r="BB107" s="43"/>
    </row>
    <row r="108" spans="1:54" ht="12.75" customHeight="1">
      <c r="A108" s="80"/>
      <c r="B108" s="264" t="str">
        <f t="shared" si="63"/>
        <v>THU</v>
      </c>
      <c r="C108" s="267">
        <f t="shared" si="84"/>
        <v>44063</v>
      </c>
      <c r="D108" s="430">
        <f t="shared" si="69"/>
        <v>102</v>
      </c>
      <c r="E108" s="473"/>
      <c r="F108" s="483"/>
      <c r="G108" s="472"/>
      <c r="H108" s="472"/>
      <c r="I108" s="292" t="str">
        <f t="shared" si="76"/>
        <v/>
      </c>
      <c r="J108" s="293" t="str">
        <f t="shared" si="52"/>
        <v/>
      </c>
      <c r="K108" s="293" t="str">
        <f t="shared" si="77"/>
        <v/>
      </c>
      <c r="L108" s="293" t="str">
        <f t="shared" si="78"/>
        <v/>
      </c>
      <c r="M108" s="268"/>
      <c r="N108" s="291" t="str">
        <f t="shared" si="79"/>
        <v/>
      </c>
      <c r="O108" s="291" t="str">
        <f t="shared" si="80"/>
        <v/>
      </c>
      <c r="P108" s="291" t="str">
        <f t="shared" si="81"/>
        <v/>
      </c>
      <c r="Q108" s="324">
        <f t="shared" si="85"/>
        <v>44063</v>
      </c>
      <c r="R108" s="277">
        <v>102</v>
      </c>
      <c r="S108" s="291" t="e">
        <f t="shared" si="82"/>
        <v>#N/A</v>
      </c>
      <c r="T108" s="291"/>
      <c r="U108" s="291" t="e">
        <f t="shared" si="83"/>
        <v>#N/A</v>
      </c>
      <c r="V108" s="291" t="str">
        <f t="shared" si="65"/>
        <v/>
      </c>
      <c r="W108" s="291" t="str">
        <f t="shared" si="66"/>
        <v/>
      </c>
      <c r="X108" s="291" t="str">
        <f t="shared" si="72"/>
        <v/>
      </c>
      <c r="Y108" s="291" t="str">
        <f t="shared" si="73"/>
        <v/>
      </c>
      <c r="Z108" s="276">
        <v>102</v>
      </c>
      <c r="AA108" s="433"/>
      <c r="AB108" s="291"/>
      <c r="AC108" s="279" t="str">
        <f t="shared" si="67"/>
        <v/>
      </c>
      <c r="AD108" s="279" t="str">
        <f t="shared" si="60"/>
        <v/>
      </c>
      <c r="AE108" s="279" t="str">
        <f t="shared" si="70"/>
        <v/>
      </c>
      <c r="AF108" s="279" t="str">
        <f t="shared" si="68"/>
        <v/>
      </c>
      <c r="AG108" s="278" t="str">
        <f t="shared" si="61"/>
        <v/>
      </c>
      <c r="AH108" s="278" t="str">
        <f t="shared" si="62"/>
        <v/>
      </c>
      <c r="AK108" s="25"/>
      <c r="AL108" s="25"/>
      <c r="AM108" s="25"/>
      <c r="AN108" s="25"/>
      <c r="AO108" s="25"/>
      <c r="AP108" s="25"/>
      <c r="AQ108" s="25"/>
      <c r="AR108" s="25"/>
      <c r="AS108" s="25"/>
      <c r="AT108" s="25"/>
      <c r="AU108" s="25"/>
      <c r="AV108" s="43"/>
      <c r="AW108" s="43"/>
      <c r="AY108" s="43"/>
      <c r="AZ108" s="43"/>
      <c r="BA108" s="43"/>
      <c r="BB108" s="43"/>
    </row>
    <row r="109" spans="1:54" ht="12.75" customHeight="1">
      <c r="A109" s="80"/>
      <c r="B109" s="264" t="str">
        <f t="shared" si="63"/>
        <v>FRI</v>
      </c>
      <c r="C109" s="267">
        <f t="shared" si="84"/>
        <v>44064</v>
      </c>
      <c r="D109" s="430">
        <f t="shared" si="69"/>
        <v>103</v>
      </c>
      <c r="E109" s="473"/>
      <c r="F109" s="483"/>
      <c r="G109" s="472"/>
      <c r="H109" s="472"/>
      <c r="I109" s="292" t="str">
        <f t="shared" si="76"/>
        <v/>
      </c>
      <c r="J109" s="293" t="str">
        <f t="shared" si="52"/>
        <v/>
      </c>
      <c r="K109" s="293" t="str">
        <f t="shared" si="77"/>
        <v/>
      </c>
      <c r="L109" s="293" t="str">
        <f t="shared" si="78"/>
        <v/>
      </c>
      <c r="M109" s="268"/>
      <c r="N109" s="291" t="str">
        <f t="shared" si="79"/>
        <v/>
      </c>
      <c r="O109" s="291" t="str">
        <f t="shared" si="80"/>
        <v/>
      </c>
      <c r="P109" s="291" t="str">
        <f t="shared" si="81"/>
        <v/>
      </c>
      <c r="Q109" s="324">
        <f t="shared" si="85"/>
        <v>44064</v>
      </c>
      <c r="R109" s="277">
        <v>103</v>
      </c>
      <c r="S109" s="291" t="e">
        <f t="shared" si="82"/>
        <v>#N/A</v>
      </c>
      <c r="T109" s="291"/>
      <c r="U109" s="291" t="e">
        <f t="shared" si="83"/>
        <v>#N/A</v>
      </c>
      <c r="V109" s="291" t="str">
        <f t="shared" si="65"/>
        <v/>
      </c>
      <c r="W109" s="291" t="str">
        <f t="shared" si="66"/>
        <v/>
      </c>
      <c r="X109" s="291" t="str">
        <f t="shared" si="72"/>
        <v/>
      </c>
      <c r="Y109" s="291" t="str">
        <f t="shared" si="73"/>
        <v/>
      </c>
      <c r="Z109" s="276">
        <v>103</v>
      </c>
      <c r="AA109" s="433"/>
      <c r="AB109" s="291"/>
      <c r="AC109" s="279" t="str">
        <f t="shared" si="67"/>
        <v/>
      </c>
      <c r="AD109" s="279" t="str">
        <f t="shared" si="60"/>
        <v/>
      </c>
      <c r="AE109" s="279" t="str">
        <f t="shared" si="70"/>
        <v/>
      </c>
      <c r="AF109" s="279" t="str">
        <f t="shared" si="68"/>
        <v/>
      </c>
      <c r="AG109" s="278" t="str">
        <f t="shared" si="61"/>
        <v/>
      </c>
      <c r="AH109" s="278" t="str">
        <f t="shared" si="62"/>
        <v/>
      </c>
      <c r="AK109" s="25"/>
      <c r="AL109" s="25"/>
      <c r="AM109" s="25"/>
      <c r="AN109" s="25"/>
      <c r="AO109" s="25"/>
      <c r="AP109" s="25"/>
      <c r="AQ109" s="25"/>
      <c r="AR109" s="25"/>
      <c r="AS109" s="25"/>
      <c r="AT109" s="25"/>
      <c r="AU109" s="25"/>
      <c r="AV109" s="43"/>
      <c r="AW109" s="43"/>
      <c r="AY109" s="43"/>
      <c r="AZ109" s="43"/>
      <c r="BA109" s="43"/>
      <c r="BB109" s="43"/>
    </row>
    <row r="110" spans="1:54" ht="12.75" customHeight="1">
      <c r="A110" s="80"/>
      <c r="B110" s="264" t="str">
        <f t="shared" si="63"/>
        <v>SAT</v>
      </c>
      <c r="C110" s="267">
        <f t="shared" si="84"/>
        <v>44065</v>
      </c>
      <c r="D110" s="430">
        <f t="shared" si="69"/>
        <v>104</v>
      </c>
      <c r="E110" s="473"/>
      <c r="F110" s="483"/>
      <c r="G110" s="472"/>
      <c r="H110" s="472"/>
      <c r="I110" s="292" t="str">
        <f t="shared" si="76"/>
        <v/>
      </c>
      <c r="J110" s="293" t="str">
        <f t="shared" si="52"/>
        <v/>
      </c>
      <c r="K110" s="293" t="str">
        <f t="shared" si="77"/>
        <v/>
      </c>
      <c r="L110" s="293" t="str">
        <f t="shared" si="78"/>
        <v/>
      </c>
      <c r="M110" s="268"/>
      <c r="N110" s="291" t="str">
        <f t="shared" si="79"/>
        <v/>
      </c>
      <c r="O110" s="291" t="str">
        <f t="shared" si="80"/>
        <v/>
      </c>
      <c r="P110" s="291" t="str">
        <f t="shared" si="81"/>
        <v/>
      </c>
      <c r="Q110" s="324">
        <f t="shared" si="85"/>
        <v>44065</v>
      </c>
      <c r="R110" s="277">
        <v>104</v>
      </c>
      <c r="S110" s="291" t="e">
        <f t="shared" si="82"/>
        <v>#N/A</v>
      </c>
      <c r="T110" s="291"/>
      <c r="U110" s="291" t="e">
        <f t="shared" si="83"/>
        <v>#N/A</v>
      </c>
      <c r="V110" s="291" t="str">
        <f t="shared" si="65"/>
        <v/>
      </c>
      <c r="W110" s="291" t="str">
        <f t="shared" si="66"/>
        <v/>
      </c>
      <c r="X110" s="291" t="str">
        <f t="shared" si="72"/>
        <v/>
      </c>
      <c r="Y110" s="291" t="str">
        <f t="shared" si="73"/>
        <v/>
      </c>
      <c r="Z110" s="276">
        <v>104</v>
      </c>
      <c r="AA110" s="433"/>
      <c r="AB110" s="291"/>
      <c r="AC110" s="279" t="str">
        <f t="shared" si="67"/>
        <v/>
      </c>
      <c r="AD110" s="279" t="str">
        <f t="shared" si="60"/>
        <v/>
      </c>
      <c r="AE110" s="279" t="str">
        <f t="shared" si="70"/>
        <v/>
      </c>
      <c r="AF110" s="279" t="str">
        <f t="shared" si="68"/>
        <v/>
      </c>
      <c r="AG110" s="278" t="str">
        <f t="shared" si="61"/>
        <v/>
      </c>
      <c r="AH110" s="278" t="str">
        <f t="shared" si="62"/>
        <v/>
      </c>
      <c r="AK110" s="25"/>
      <c r="AL110" s="25"/>
      <c r="AM110" s="25"/>
      <c r="AN110" s="25"/>
      <c r="AO110" s="25"/>
      <c r="AP110" s="25"/>
      <c r="AQ110" s="25"/>
      <c r="AR110" s="25"/>
      <c r="AS110" s="25"/>
      <c r="AT110" s="25"/>
      <c r="AU110" s="25"/>
      <c r="AV110" s="43"/>
      <c r="AW110" s="43"/>
      <c r="AY110" s="43"/>
      <c r="AZ110" s="43"/>
      <c r="BA110" s="43"/>
      <c r="BB110" s="43"/>
    </row>
    <row r="111" spans="1:54" ht="12.75" customHeight="1">
      <c r="A111" s="80"/>
      <c r="B111" s="264" t="str">
        <f t="shared" si="63"/>
        <v>SUN</v>
      </c>
      <c r="C111" s="267">
        <f t="shared" si="84"/>
        <v>44066</v>
      </c>
      <c r="D111" s="430">
        <f t="shared" si="69"/>
        <v>105</v>
      </c>
      <c r="E111" s="473"/>
      <c r="F111" s="483"/>
      <c r="G111" s="472"/>
      <c r="H111" s="472"/>
      <c r="I111" s="292" t="str">
        <f t="shared" si="76"/>
        <v/>
      </c>
      <c r="J111" s="293" t="str">
        <f t="shared" si="52"/>
        <v/>
      </c>
      <c r="K111" s="293" t="str">
        <f t="shared" si="77"/>
        <v/>
      </c>
      <c r="L111" s="293" t="str">
        <f t="shared" si="78"/>
        <v/>
      </c>
      <c r="M111" s="268"/>
      <c r="N111" s="291" t="str">
        <f t="shared" si="79"/>
        <v/>
      </c>
      <c r="O111" s="291" t="str">
        <f t="shared" si="80"/>
        <v/>
      </c>
      <c r="P111" s="291" t="str">
        <f t="shared" si="81"/>
        <v/>
      </c>
      <c r="Q111" s="324">
        <f t="shared" si="85"/>
        <v>44066</v>
      </c>
      <c r="R111" s="277">
        <v>105</v>
      </c>
      <c r="S111" s="291">
        <f t="shared" si="82"/>
        <v>100000</v>
      </c>
      <c r="T111" s="291"/>
      <c r="U111" s="291" t="str">
        <f t="shared" si="83"/>
        <v>08/23/20</v>
      </c>
      <c r="V111" s="291" t="str">
        <f t="shared" si="65"/>
        <v/>
      </c>
      <c r="W111" s="291" t="str">
        <f t="shared" si="66"/>
        <v/>
      </c>
      <c r="X111" s="291" t="str">
        <f t="shared" si="72"/>
        <v/>
      </c>
      <c r="Y111" s="291" t="str">
        <f t="shared" si="73"/>
        <v/>
      </c>
      <c r="Z111" s="276">
        <v>105</v>
      </c>
      <c r="AA111" s="433"/>
      <c r="AB111" s="291"/>
      <c r="AC111" s="279" t="str">
        <f t="shared" si="67"/>
        <v/>
      </c>
      <c r="AD111" s="279" t="str">
        <f t="shared" si="60"/>
        <v/>
      </c>
      <c r="AE111" s="279" t="str">
        <f t="shared" si="70"/>
        <v/>
      </c>
      <c r="AF111" s="279" t="str">
        <f t="shared" si="68"/>
        <v/>
      </c>
      <c r="AG111" s="278" t="str">
        <f t="shared" si="61"/>
        <v/>
      </c>
      <c r="AH111" s="278" t="str">
        <f t="shared" si="62"/>
        <v/>
      </c>
      <c r="AK111" s="25"/>
      <c r="AL111" s="25"/>
      <c r="AM111" s="25"/>
      <c r="AN111" s="25"/>
      <c r="AO111" s="25"/>
      <c r="AP111" s="25"/>
      <c r="AQ111" s="25"/>
      <c r="AR111" s="25"/>
      <c r="AS111" s="25"/>
      <c r="AT111" s="25"/>
      <c r="AU111" s="25"/>
      <c r="AV111" s="43"/>
      <c r="AW111" s="43"/>
      <c r="AY111" s="43"/>
      <c r="AZ111" s="43"/>
      <c r="BA111" s="43"/>
      <c r="BB111" s="43"/>
    </row>
    <row r="112" spans="1:54" ht="12.75" customHeight="1">
      <c r="A112" s="80"/>
      <c r="B112" s="264" t="str">
        <f t="shared" si="63"/>
        <v>MON</v>
      </c>
      <c r="C112" s="267">
        <f t="shared" si="84"/>
        <v>44067</v>
      </c>
      <c r="D112" s="430">
        <f t="shared" si="69"/>
        <v>106</v>
      </c>
      <c r="E112" s="473"/>
      <c r="F112" s="483"/>
      <c r="G112" s="472"/>
      <c r="H112" s="472"/>
      <c r="I112" s="292" t="str">
        <f t="shared" si="76"/>
        <v/>
      </c>
      <c r="J112" s="293" t="str">
        <f t="shared" si="52"/>
        <v/>
      </c>
      <c r="K112" s="293" t="str">
        <f t="shared" si="77"/>
        <v/>
      </c>
      <c r="L112" s="293" t="str">
        <f t="shared" si="78"/>
        <v/>
      </c>
      <c r="M112" s="268"/>
      <c r="N112" s="291" t="str">
        <f t="shared" si="79"/>
        <v/>
      </c>
      <c r="O112" s="291" t="str">
        <f t="shared" si="80"/>
        <v/>
      </c>
      <c r="P112" s="291" t="str">
        <f t="shared" si="81"/>
        <v/>
      </c>
      <c r="Q112" s="324">
        <f t="shared" si="85"/>
        <v>44067</v>
      </c>
      <c r="R112" s="277">
        <v>106</v>
      </c>
      <c r="S112" s="291" t="e">
        <f t="shared" si="82"/>
        <v>#N/A</v>
      </c>
      <c r="T112" s="291"/>
      <c r="U112" s="291" t="e">
        <f t="shared" si="83"/>
        <v>#N/A</v>
      </c>
      <c r="V112" s="291" t="str">
        <f t="shared" si="65"/>
        <v/>
      </c>
      <c r="W112" s="291" t="str">
        <f t="shared" si="66"/>
        <v/>
      </c>
      <c r="X112" s="291" t="str">
        <f t="shared" si="72"/>
        <v/>
      </c>
      <c r="Y112" s="291" t="str">
        <f t="shared" si="73"/>
        <v/>
      </c>
      <c r="Z112" s="276">
        <v>106</v>
      </c>
      <c r="AA112" s="433"/>
      <c r="AB112" s="291"/>
      <c r="AC112" s="279" t="str">
        <f t="shared" si="67"/>
        <v/>
      </c>
      <c r="AD112" s="279" t="str">
        <f t="shared" si="60"/>
        <v/>
      </c>
      <c r="AE112" s="279" t="str">
        <f t="shared" si="70"/>
        <v/>
      </c>
      <c r="AF112" s="279" t="str">
        <f t="shared" si="68"/>
        <v/>
      </c>
      <c r="AG112" s="278" t="str">
        <f t="shared" si="61"/>
        <v/>
      </c>
      <c r="AH112" s="278" t="str">
        <f t="shared" si="62"/>
        <v/>
      </c>
      <c r="AK112" s="25"/>
      <c r="AL112" s="25"/>
      <c r="AM112" s="25"/>
      <c r="AN112" s="25"/>
      <c r="AO112" s="25"/>
      <c r="AP112" s="25"/>
      <c r="AQ112" s="25"/>
      <c r="AR112" s="25"/>
      <c r="AS112" s="25"/>
      <c r="AT112" s="25"/>
      <c r="AU112" s="25"/>
      <c r="AV112" s="43"/>
      <c r="AW112" s="43"/>
      <c r="AY112" s="43"/>
      <c r="AZ112" s="43"/>
      <c r="BA112" s="43"/>
      <c r="BB112" s="43"/>
    </row>
    <row r="113" spans="1:54" ht="12.75" customHeight="1">
      <c r="A113" s="80"/>
      <c r="B113" s="264" t="str">
        <f t="shared" si="63"/>
        <v>TUE</v>
      </c>
      <c r="C113" s="267">
        <f t="shared" si="84"/>
        <v>44068</v>
      </c>
      <c r="D113" s="430">
        <f t="shared" si="69"/>
        <v>107</v>
      </c>
      <c r="E113" s="473"/>
      <c r="F113" s="483"/>
      <c r="G113" s="472"/>
      <c r="H113" s="472"/>
      <c r="I113" s="292" t="str">
        <f t="shared" si="76"/>
        <v/>
      </c>
      <c r="J113" s="293" t="str">
        <f t="shared" si="52"/>
        <v/>
      </c>
      <c r="K113" s="293" t="str">
        <f t="shared" si="77"/>
        <v/>
      </c>
      <c r="L113" s="293" t="str">
        <f t="shared" si="78"/>
        <v/>
      </c>
      <c r="M113" s="268"/>
      <c r="N113" s="291" t="str">
        <f t="shared" si="79"/>
        <v/>
      </c>
      <c r="O113" s="291" t="str">
        <f t="shared" si="80"/>
        <v/>
      </c>
      <c r="P113" s="291" t="str">
        <f t="shared" si="81"/>
        <v/>
      </c>
      <c r="Q113" s="324">
        <f t="shared" si="85"/>
        <v>44068</v>
      </c>
      <c r="R113" s="277">
        <v>107</v>
      </c>
      <c r="S113" s="291" t="e">
        <f t="shared" si="82"/>
        <v>#N/A</v>
      </c>
      <c r="T113" s="291"/>
      <c r="U113" s="291" t="e">
        <f t="shared" si="83"/>
        <v>#N/A</v>
      </c>
      <c r="V113" s="291" t="str">
        <f t="shared" si="65"/>
        <v/>
      </c>
      <c r="W113" s="291" t="str">
        <f t="shared" si="66"/>
        <v/>
      </c>
      <c r="X113" s="291" t="str">
        <f t="shared" si="72"/>
        <v/>
      </c>
      <c r="Y113" s="291" t="str">
        <f t="shared" si="73"/>
        <v/>
      </c>
      <c r="Z113" s="276">
        <v>107</v>
      </c>
      <c r="AA113" s="433"/>
      <c r="AB113" s="291"/>
      <c r="AC113" s="279" t="str">
        <f t="shared" si="67"/>
        <v/>
      </c>
      <c r="AD113" s="279" t="str">
        <f t="shared" si="60"/>
        <v/>
      </c>
      <c r="AE113" s="279" t="str">
        <f t="shared" si="70"/>
        <v/>
      </c>
      <c r="AF113" s="279" t="str">
        <f t="shared" si="68"/>
        <v/>
      </c>
      <c r="AG113" s="278" t="str">
        <f t="shared" si="61"/>
        <v/>
      </c>
      <c r="AH113" s="278" t="str">
        <f t="shared" si="62"/>
        <v/>
      </c>
      <c r="AK113" s="25"/>
      <c r="AL113" s="25"/>
      <c r="AM113" s="25"/>
      <c r="AN113" s="25"/>
      <c r="AO113" s="25"/>
      <c r="AP113" s="25"/>
      <c r="AQ113" s="25"/>
      <c r="AR113" s="25"/>
      <c r="AS113" s="25"/>
      <c r="AT113" s="25"/>
      <c r="AU113" s="25"/>
      <c r="AV113" s="43"/>
      <c r="AW113" s="43"/>
      <c r="AY113" s="43"/>
      <c r="AZ113" s="43"/>
      <c r="BA113" s="43"/>
      <c r="BB113" s="43"/>
    </row>
    <row r="114" spans="1:54" ht="12.75" customHeight="1">
      <c r="A114" s="80"/>
      <c r="B114" s="264" t="str">
        <f t="shared" si="63"/>
        <v>WED</v>
      </c>
      <c r="C114" s="267">
        <f t="shared" si="84"/>
        <v>44069</v>
      </c>
      <c r="D114" s="430">
        <f t="shared" si="69"/>
        <v>108</v>
      </c>
      <c r="E114" s="473"/>
      <c r="F114" s="483"/>
      <c r="G114" s="472"/>
      <c r="H114" s="472"/>
      <c r="I114" s="292" t="str">
        <f t="shared" si="76"/>
        <v/>
      </c>
      <c r="J114" s="293" t="str">
        <f t="shared" si="52"/>
        <v/>
      </c>
      <c r="K114" s="293" t="str">
        <f t="shared" si="77"/>
        <v/>
      </c>
      <c r="L114" s="293" t="str">
        <f t="shared" si="78"/>
        <v/>
      </c>
      <c r="M114" s="268"/>
      <c r="N114" s="291" t="str">
        <f t="shared" si="79"/>
        <v/>
      </c>
      <c r="O114" s="291" t="str">
        <f t="shared" si="80"/>
        <v/>
      </c>
      <c r="P114" s="291" t="str">
        <f t="shared" si="81"/>
        <v/>
      </c>
      <c r="Q114" s="324">
        <f t="shared" si="85"/>
        <v>44069</v>
      </c>
      <c r="R114" s="277">
        <v>108</v>
      </c>
      <c r="S114" s="291" t="e">
        <f t="shared" si="82"/>
        <v>#N/A</v>
      </c>
      <c r="T114" s="291"/>
      <c r="U114" s="291" t="e">
        <f t="shared" si="83"/>
        <v>#N/A</v>
      </c>
      <c r="V114" s="291" t="str">
        <f t="shared" si="65"/>
        <v/>
      </c>
      <c r="W114" s="291" t="str">
        <f t="shared" si="66"/>
        <v/>
      </c>
      <c r="X114" s="291" t="str">
        <f t="shared" si="72"/>
        <v/>
      </c>
      <c r="Y114" s="291" t="str">
        <f t="shared" si="73"/>
        <v/>
      </c>
      <c r="Z114" s="276">
        <v>108</v>
      </c>
      <c r="AA114" s="433"/>
      <c r="AB114" s="291"/>
      <c r="AC114" s="279" t="str">
        <f t="shared" si="67"/>
        <v/>
      </c>
      <c r="AD114" s="279" t="str">
        <f t="shared" si="60"/>
        <v/>
      </c>
      <c r="AE114" s="279" t="str">
        <f t="shared" si="70"/>
        <v/>
      </c>
      <c r="AF114" s="279" t="str">
        <f t="shared" si="68"/>
        <v/>
      </c>
      <c r="AG114" s="278" t="str">
        <f t="shared" si="61"/>
        <v/>
      </c>
      <c r="AH114" s="278" t="str">
        <f t="shared" si="62"/>
        <v/>
      </c>
      <c r="AK114" s="25"/>
      <c r="AL114" s="25"/>
      <c r="AM114" s="25"/>
      <c r="AN114" s="25"/>
      <c r="AO114" s="25"/>
      <c r="AP114" s="25"/>
      <c r="AQ114" s="25"/>
      <c r="AR114" s="25"/>
      <c r="AS114" s="25"/>
      <c r="AT114" s="25"/>
      <c r="AU114" s="25"/>
      <c r="AV114" s="43"/>
      <c r="AW114" s="43"/>
      <c r="AY114" s="43"/>
      <c r="AZ114" s="43"/>
      <c r="BA114" s="43"/>
      <c r="BB114" s="43"/>
    </row>
    <row r="115" spans="1:54" ht="12.75" customHeight="1">
      <c r="A115" s="80"/>
      <c r="B115" s="264" t="str">
        <f t="shared" si="63"/>
        <v>THU</v>
      </c>
      <c r="C115" s="267">
        <f t="shared" si="84"/>
        <v>44070</v>
      </c>
      <c r="D115" s="430">
        <f t="shared" si="69"/>
        <v>109</v>
      </c>
      <c r="E115" s="473"/>
      <c r="F115" s="483"/>
      <c r="G115" s="472"/>
      <c r="H115" s="472"/>
      <c r="I115" s="292" t="str">
        <f t="shared" si="76"/>
        <v/>
      </c>
      <c r="J115" s="293" t="str">
        <f t="shared" si="52"/>
        <v/>
      </c>
      <c r="K115" s="293" t="str">
        <f t="shared" si="77"/>
        <v/>
      </c>
      <c r="L115" s="293" t="str">
        <f t="shared" si="78"/>
        <v/>
      </c>
      <c r="M115" s="268"/>
      <c r="N115" s="291" t="str">
        <f t="shared" si="79"/>
        <v/>
      </c>
      <c r="O115" s="291" t="str">
        <f t="shared" si="80"/>
        <v/>
      </c>
      <c r="P115" s="291" t="str">
        <f t="shared" si="81"/>
        <v/>
      </c>
      <c r="Q115" s="324">
        <f t="shared" si="85"/>
        <v>44070</v>
      </c>
      <c r="R115" s="277">
        <v>109</v>
      </c>
      <c r="S115" s="291" t="e">
        <f t="shared" si="82"/>
        <v>#N/A</v>
      </c>
      <c r="T115" s="291"/>
      <c r="U115" s="291" t="e">
        <f t="shared" si="83"/>
        <v>#N/A</v>
      </c>
      <c r="V115" s="291" t="str">
        <f t="shared" si="65"/>
        <v/>
      </c>
      <c r="W115" s="291" t="str">
        <f t="shared" si="66"/>
        <v/>
      </c>
      <c r="X115" s="291" t="str">
        <f t="shared" si="72"/>
        <v/>
      </c>
      <c r="Y115" s="291" t="str">
        <f t="shared" si="73"/>
        <v/>
      </c>
      <c r="Z115" s="276">
        <v>109</v>
      </c>
      <c r="AA115" s="433"/>
      <c r="AB115" s="291"/>
      <c r="AC115" s="279" t="str">
        <f t="shared" si="67"/>
        <v/>
      </c>
      <c r="AD115" s="279" t="str">
        <f t="shared" si="60"/>
        <v/>
      </c>
      <c r="AE115" s="279" t="str">
        <f t="shared" si="70"/>
        <v/>
      </c>
      <c r="AF115" s="279" t="str">
        <f t="shared" si="68"/>
        <v/>
      </c>
      <c r="AG115" s="278" t="str">
        <f t="shared" si="61"/>
        <v/>
      </c>
      <c r="AH115" s="278" t="str">
        <f t="shared" si="62"/>
        <v/>
      </c>
      <c r="AK115" s="25"/>
      <c r="AL115" s="25"/>
      <c r="AM115" s="25"/>
      <c r="AN115" s="25"/>
      <c r="AO115" s="25"/>
      <c r="AP115" s="25"/>
      <c r="AQ115" s="25"/>
      <c r="AR115" s="25"/>
      <c r="AS115" s="25"/>
      <c r="AT115" s="25"/>
      <c r="AU115" s="25"/>
      <c r="AV115" s="43"/>
      <c r="AW115" s="43"/>
      <c r="AY115" s="43"/>
      <c r="AZ115" s="43"/>
      <c r="BA115" s="43"/>
      <c r="BB115" s="43"/>
    </row>
    <row r="116" spans="1:54" ht="12.75" customHeight="1">
      <c r="A116" s="80"/>
      <c r="B116" s="264" t="str">
        <f t="shared" si="63"/>
        <v>FRI</v>
      </c>
      <c r="C116" s="267">
        <f t="shared" si="84"/>
        <v>44071</v>
      </c>
      <c r="D116" s="430">
        <f t="shared" si="69"/>
        <v>110</v>
      </c>
      <c r="E116" s="473"/>
      <c r="F116" s="483"/>
      <c r="G116" s="472"/>
      <c r="H116" s="472"/>
      <c r="I116" s="292" t="str">
        <f t="shared" si="76"/>
        <v/>
      </c>
      <c r="J116" s="293" t="str">
        <f t="shared" si="52"/>
        <v/>
      </c>
      <c r="K116" s="293" t="str">
        <f t="shared" si="77"/>
        <v/>
      </c>
      <c r="L116" s="293" t="str">
        <f t="shared" si="78"/>
        <v/>
      </c>
      <c r="M116" s="268"/>
      <c r="N116" s="291" t="str">
        <f t="shared" si="79"/>
        <v/>
      </c>
      <c r="O116" s="291" t="str">
        <f t="shared" si="80"/>
        <v/>
      </c>
      <c r="P116" s="291" t="str">
        <f t="shared" si="81"/>
        <v/>
      </c>
      <c r="Q116" s="324">
        <f t="shared" si="85"/>
        <v>44071</v>
      </c>
      <c r="R116" s="277">
        <v>110</v>
      </c>
      <c r="S116" s="291" t="e">
        <f t="shared" si="82"/>
        <v>#N/A</v>
      </c>
      <c r="T116" s="291"/>
      <c r="U116" s="291" t="e">
        <f t="shared" si="83"/>
        <v>#N/A</v>
      </c>
      <c r="V116" s="291" t="str">
        <f t="shared" si="65"/>
        <v/>
      </c>
      <c r="W116" s="291" t="str">
        <f t="shared" si="66"/>
        <v/>
      </c>
      <c r="X116" s="291" t="str">
        <f t="shared" si="72"/>
        <v/>
      </c>
      <c r="Y116" s="291" t="str">
        <f t="shared" si="73"/>
        <v/>
      </c>
      <c r="Z116" s="276">
        <v>110</v>
      </c>
      <c r="AA116" s="433"/>
      <c r="AB116" s="291"/>
      <c r="AC116" s="279" t="str">
        <f t="shared" si="67"/>
        <v/>
      </c>
      <c r="AD116" s="279" t="str">
        <f t="shared" si="60"/>
        <v/>
      </c>
      <c r="AE116" s="279" t="str">
        <f t="shared" si="70"/>
        <v/>
      </c>
      <c r="AF116" s="279" t="str">
        <f t="shared" si="68"/>
        <v/>
      </c>
      <c r="AG116" s="278" t="str">
        <f t="shared" si="61"/>
        <v/>
      </c>
      <c r="AH116" s="278" t="str">
        <f t="shared" si="62"/>
        <v/>
      </c>
      <c r="AK116" s="25"/>
      <c r="AL116" s="25"/>
      <c r="AM116" s="25"/>
      <c r="AN116" s="25"/>
      <c r="AO116" s="25"/>
      <c r="AP116" s="25"/>
      <c r="AQ116" s="25"/>
      <c r="AR116" s="25"/>
      <c r="AS116" s="25"/>
      <c r="AT116" s="25"/>
      <c r="AU116" s="25"/>
      <c r="AV116" s="43"/>
      <c r="AW116" s="43"/>
      <c r="AY116" s="43"/>
      <c r="AZ116" s="43"/>
      <c r="BA116" s="43"/>
      <c r="BB116" s="43"/>
    </row>
    <row r="117" spans="1:54" ht="12.75" customHeight="1">
      <c r="A117" s="80"/>
      <c r="B117" s="264" t="str">
        <f t="shared" si="63"/>
        <v>SAT</v>
      </c>
      <c r="C117" s="267">
        <f t="shared" si="84"/>
        <v>44072</v>
      </c>
      <c r="D117" s="430">
        <f t="shared" si="69"/>
        <v>111</v>
      </c>
      <c r="E117" s="473"/>
      <c r="F117" s="483"/>
      <c r="G117" s="472"/>
      <c r="H117" s="472"/>
      <c r="I117" s="292" t="str">
        <f t="shared" si="76"/>
        <v/>
      </c>
      <c r="J117" s="293" t="str">
        <f t="shared" si="52"/>
        <v/>
      </c>
      <c r="K117" s="293" t="str">
        <f t="shared" si="77"/>
        <v/>
      </c>
      <c r="L117" s="293" t="str">
        <f t="shared" si="78"/>
        <v/>
      </c>
      <c r="M117" s="268"/>
      <c r="N117" s="291" t="str">
        <f t="shared" si="79"/>
        <v/>
      </c>
      <c r="O117" s="291" t="str">
        <f t="shared" si="80"/>
        <v/>
      </c>
      <c r="P117" s="291" t="str">
        <f t="shared" si="81"/>
        <v/>
      </c>
      <c r="Q117" s="324">
        <f t="shared" si="85"/>
        <v>44072</v>
      </c>
      <c r="R117" s="277">
        <v>111</v>
      </c>
      <c r="S117" s="291" t="e">
        <f t="shared" si="82"/>
        <v>#N/A</v>
      </c>
      <c r="T117" s="291"/>
      <c r="U117" s="291" t="e">
        <f t="shared" si="83"/>
        <v>#N/A</v>
      </c>
      <c r="V117" s="291" t="str">
        <f t="shared" si="65"/>
        <v/>
      </c>
      <c r="W117" s="291" t="str">
        <f t="shared" si="66"/>
        <v/>
      </c>
      <c r="X117" s="291" t="str">
        <f t="shared" si="72"/>
        <v/>
      </c>
      <c r="Y117" s="291" t="str">
        <f t="shared" si="73"/>
        <v/>
      </c>
      <c r="Z117" s="276">
        <v>111</v>
      </c>
      <c r="AA117" s="433"/>
      <c r="AB117" s="291"/>
      <c r="AC117" s="279" t="str">
        <f t="shared" si="67"/>
        <v/>
      </c>
      <c r="AD117" s="279" t="str">
        <f t="shared" si="60"/>
        <v/>
      </c>
      <c r="AE117" s="279" t="str">
        <f t="shared" si="70"/>
        <v/>
      </c>
      <c r="AF117" s="279" t="str">
        <f t="shared" si="68"/>
        <v/>
      </c>
      <c r="AG117" s="278" t="str">
        <f t="shared" si="61"/>
        <v/>
      </c>
      <c r="AH117" s="278" t="str">
        <f t="shared" si="62"/>
        <v/>
      </c>
      <c r="AK117" s="25"/>
      <c r="AL117" s="25"/>
      <c r="AM117" s="25"/>
      <c r="AN117" s="25"/>
      <c r="AO117" s="25"/>
      <c r="AP117" s="25"/>
      <c r="AQ117" s="25"/>
      <c r="AR117" s="25"/>
      <c r="AS117" s="25"/>
      <c r="AT117" s="25"/>
      <c r="AU117" s="25"/>
      <c r="AV117" s="43"/>
      <c r="AW117" s="43"/>
      <c r="AY117" s="43"/>
      <c r="AZ117" s="43"/>
      <c r="BA117" s="43"/>
      <c r="BB117" s="43"/>
    </row>
    <row r="118" spans="1:54" ht="12.75" customHeight="1">
      <c r="A118" s="80"/>
      <c r="B118" s="264" t="str">
        <f t="shared" si="63"/>
        <v>SUN</v>
      </c>
      <c r="C118" s="267">
        <f t="shared" si="84"/>
        <v>44073</v>
      </c>
      <c r="D118" s="430">
        <f t="shared" si="69"/>
        <v>112</v>
      </c>
      <c r="E118" s="473"/>
      <c r="F118" s="483"/>
      <c r="G118" s="472"/>
      <c r="H118" s="472"/>
      <c r="I118" s="292" t="str">
        <f t="shared" si="76"/>
        <v/>
      </c>
      <c r="J118" s="293" t="str">
        <f t="shared" si="52"/>
        <v/>
      </c>
      <c r="K118" s="293" t="str">
        <f t="shared" si="77"/>
        <v/>
      </c>
      <c r="L118" s="293" t="str">
        <f t="shared" si="78"/>
        <v/>
      </c>
      <c r="M118" s="268"/>
      <c r="N118" s="291" t="str">
        <f t="shared" si="79"/>
        <v/>
      </c>
      <c r="O118" s="291" t="str">
        <f t="shared" si="80"/>
        <v/>
      </c>
      <c r="P118" s="291" t="str">
        <f t="shared" si="81"/>
        <v/>
      </c>
      <c r="Q118" s="324">
        <f t="shared" si="85"/>
        <v>44073</v>
      </c>
      <c r="R118" s="277">
        <v>112</v>
      </c>
      <c r="S118" s="291">
        <f t="shared" si="82"/>
        <v>100000</v>
      </c>
      <c r="T118" s="291"/>
      <c r="U118" s="291" t="str">
        <f t="shared" si="83"/>
        <v>08/30/20</v>
      </c>
      <c r="V118" s="291" t="str">
        <f t="shared" si="65"/>
        <v/>
      </c>
      <c r="W118" s="291" t="str">
        <f t="shared" si="66"/>
        <v/>
      </c>
      <c r="X118" s="291" t="str">
        <f t="shared" si="72"/>
        <v/>
      </c>
      <c r="Y118" s="291" t="str">
        <f t="shared" si="73"/>
        <v/>
      </c>
      <c r="Z118" s="276">
        <v>112</v>
      </c>
      <c r="AA118" s="433"/>
      <c r="AB118" s="291"/>
      <c r="AC118" s="279" t="str">
        <f t="shared" si="67"/>
        <v/>
      </c>
      <c r="AD118" s="279" t="str">
        <f t="shared" si="60"/>
        <v/>
      </c>
      <c r="AE118" s="279" t="str">
        <f t="shared" si="70"/>
        <v/>
      </c>
      <c r="AF118" s="279" t="str">
        <f t="shared" si="68"/>
        <v/>
      </c>
      <c r="AG118" s="278" t="str">
        <f t="shared" si="61"/>
        <v/>
      </c>
      <c r="AH118" s="278" t="str">
        <f t="shared" si="62"/>
        <v/>
      </c>
      <c r="AK118" s="25"/>
      <c r="AL118" s="25"/>
      <c r="AM118" s="25"/>
      <c r="AN118" s="25"/>
      <c r="AO118" s="25"/>
      <c r="AP118" s="25"/>
      <c r="AQ118" s="25"/>
      <c r="AR118" s="25"/>
      <c r="AS118" s="25"/>
      <c r="AT118" s="25"/>
      <c r="AU118" s="25"/>
      <c r="AV118" s="43"/>
      <c r="AW118" s="43"/>
      <c r="AY118" s="43"/>
      <c r="AZ118" s="43"/>
      <c r="BA118" s="43"/>
      <c r="BB118" s="43"/>
    </row>
    <row r="119" spans="1:54" ht="12.75" customHeight="1">
      <c r="A119" s="80"/>
      <c r="B119" s="264" t="str">
        <f t="shared" si="63"/>
        <v>MON</v>
      </c>
      <c r="C119" s="267">
        <f t="shared" si="84"/>
        <v>44074</v>
      </c>
      <c r="D119" s="430">
        <f t="shared" si="69"/>
        <v>113</v>
      </c>
      <c r="E119" s="473"/>
      <c r="F119" s="483"/>
      <c r="G119" s="472"/>
      <c r="H119" s="472"/>
      <c r="I119" s="292" t="str">
        <f t="shared" si="76"/>
        <v/>
      </c>
      <c r="J119" s="293" t="str">
        <f t="shared" si="52"/>
        <v/>
      </c>
      <c r="K119" s="293" t="str">
        <f t="shared" si="77"/>
        <v/>
      </c>
      <c r="L119" s="293" t="str">
        <f t="shared" si="78"/>
        <v/>
      </c>
      <c r="M119" s="268"/>
      <c r="N119" s="291" t="str">
        <f t="shared" si="79"/>
        <v/>
      </c>
      <c r="O119" s="291" t="str">
        <f t="shared" si="80"/>
        <v/>
      </c>
      <c r="P119" s="291" t="str">
        <f t="shared" si="81"/>
        <v/>
      </c>
      <c r="Q119" s="324">
        <f t="shared" si="85"/>
        <v>44074</v>
      </c>
      <c r="R119" s="277">
        <v>113</v>
      </c>
      <c r="S119" s="291" t="e">
        <f t="shared" si="82"/>
        <v>#N/A</v>
      </c>
      <c r="T119" s="291"/>
      <c r="U119" s="291" t="e">
        <f t="shared" si="83"/>
        <v>#N/A</v>
      </c>
      <c r="V119" s="291" t="str">
        <f t="shared" si="65"/>
        <v/>
      </c>
      <c r="W119" s="291" t="str">
        <f t="shared" si="66"/>
        <v/>
      </c>
      <c r="X119" s="291" t="str">
        <f t="shared" si="72"/>
        <v/>
      </c>
      <c r="Y119" s="291" t="str">
        <f t="shared" si="73"/>
        <v/>
      </c>
      <c r="Z119" s="276">
        <v>113</v>
      </c>
      <c r="AA119" s="433"/>
      <c r="AB119" s="291"/>
      <c r="AC119" s="279" t="str">
        <f t="shared" si="67"/>
        <v/>
      </c>
      <c r="AD119" s="279" t="str">
        <f t="shared" si="60"/>
        <v/>
      </c>
      <c r="AE119" s="279" t="str">
        <f t="shared" si="70"/>
        <v/>
      </c>
      <c r="AF119" s="279" t="str">
        <f t="shared" si="68"/>
        <v/>
      </c>
      <c r="AG119" s="278" t="str">
        <f t="shared" si="61"/>
        <v/>
      </c>
      <c r="AH119" s="278" t="str">
        <f t="shared" si="62"/>
        <v/>
      </c>
      <c r="AK119" s="25"/>
      <c r="AL119" s="25"/>
      <c r="AM119" s="25"/>
      <c r="AN119" s="25"/>
      <c r="AO119" s="25"/>
      <c r="AP119" s="25"/>
      <c r="AQ119" s="25"/>
      <c r="AR119" s="25"/>
      <c r="AS119" s="25"/>
      <c r="AT119" s="25"/>
      <c r="AU119" s="25"/>
      <c r="AV119" s="43"/>
      <c r="AW119" s="43"/>
      <c r="AY119" s="43"/>
      <c r="AZ119" s="43"/>
      <c r="BA119" s="43"/>
      <c r="BB119" s="43"/>
    </row>
    <row r="120" spans="1:54" ht="12.75" customHeight="1">
      <c r="A120" s="80"/>
      <c r="B120" s="264" t="str">
        <f t="shared" si="63"/>
        <v>TUE</v>
      </c>
      <c r="C120" s="267">
        <f t="shared" si="84"/>
        <v>44075</v>
      </c>
      <c r="D120" s="430">
        <f t="shared" si="69"/>
        <v>114</v>
      </c>
      <c r="E120" s="473"/>
      <c r="F120" s="483"/>
      <c r="G120" s="472"/>
      <c r="H120" s="472"/>
      <c r="I120" s="292" t="str">
        <f t="shared" si="76"/>
        <v/>
      </c>
      <c r="J120" s="293" t="str">
        <f t="shared" si="52"/>
        <v/>
      </c>
      <c r="K120" s="293" t="str">
        <f t="shared" si="77"/>
        <v/>
      </c>
      <c r="L120" s="293" t="str">
        <f t="shared" si="78"/>
        <v/>
      </c>
      <c r="M120" s="268"/>
      <c r="N120" s="291" t="str">
        <f t="shared" si="79"/>
        <v/>
      </c>
      <c r="O120" s="291" t="str">
        <f t="shared" si="80"/>
        <v/>
      </c>
      <c r="P120" s="291" t="str">
        <f t="shared" si="81"/>
        <v/>
      </c>
      <c r="Q120" s="324">
        <f t="shared" si="85"/>
        <v>44075</v>
      </c>
      <c r="R120" s="277">
        <v>114</v>
      </c>
      <c r="S120" s="291" t="e">
        <f t="shared" si="82"/>
        <v>#N/A</v>
      </c>
      <c r="T120" s="291"/>
      <c r="U120" s="291" t="e">
        <f t="shared" si="83"/>
        <v>#N/A</v>
      </c>
      <c r="V120" s="291" t="str">
        <f t="shared" si="65"/>
        <v/>
      </c>
      <c r="W120" s="291" t="str">
        <f t="shared" si="66"/>
        <v/>
      </c>
      <c r="X120" s="291" t="str">
        <f t="shared" si="72"/>
        <v/>
      </c>
      <c r="Y120" s="291" t="str">
        <f t="shared" si="73"/>
        <v/>
      </c>
      <c r="Z120" s="276">
        <v>114</v>
      </c>
      <c r="AA120" s="433"/>
      <c r="AB120" s="291"/>
      <c r="AC120" s="279" t="str">
        <f t="shared" si="67"/>
        <v/>
      </c>
      <c r="AD120" s="279" t="str">
        <f t="shared" si="60"/>
        <v/>
      </c>
      <c r="AE120" s="279" t="str">
        <f t="shared" si="70"/>
        <v/>
      </c>
      <c r="AF120" s="279" t="str">
        <f t="shared" si="68"/>
        <v/>
      </c>
      <c r="AG120" s="278" t="str">
        <f t="shared" si="61"/>
        <v/>
      </c>
      <c r="AH120" s="278" t="str">
        <f t="shared" si="62"/>
        <v/>
      </c>
      <c r="AK120" s="25"/>
      <c r="AL120" s="25"/>
      <c r="AM120" s="25"/>
      <c r="AN120" s="25"/>
      <c r="AO120" s="25"/>
      <c r="AP120" s="25"/>
      <c r="AQ120" s="25"/>
      <c r="AR120" s="25"/>
      <c r="AS120" s="25"/>
      <c r="AT120" s="25"/>
      <c r="AU120" s="25"/>
      <c r="AV120" s="43"/>
      <c r="AW120" s="43"/>
      <c r="AY120" s="43"/>
      <c r="AZ120" s="43"/>
      <c r="BA120" s="43"/>
      <c r="BB120" s="43"/>
    </row>
    <row r="121" spans="1:54" ht="12.75" customHeight="1">
      <c r="A121" s="80"/>
      <c r="B121" s="264" t="str">
        <f t="shared" si="63"/>
        <v>WED</v>
      </c>
      <c r="C121" s="267">
        <f t="shared" si="84"/>
        <v>44076</v>
      </c>
      <c r="D121" s="430">
        <f t="shared" si="69"/>
        <v>115</v>
      </c>
      <c r="E121" s="473"/>
      <c r="F121" s="483"/>
      <c r="G121" s="472"/>
      <c r="H121" s="472"/>
      <c r="I121" s="292" t="str">
        <f t="shared" si="76"/>
        <v/>
      </c>
      <c r="J121" s="293" t="str">
        <f t="shared" si="52"/>
        <v/>
      </c>
      <c r="K121" s="293" t="str">
        <f t="shared" si="77"/>
        <v/>
      </c>
      <c r="L121" s="293" t="str">
        <f t="shared" si="78"/>
        <v/>
      </c>
      <c r="M121" s="268"/>
      <c r="N121" s="291" t="str">
        <f t="shared" si="79"/>
        <v/>
      </c>
      <c r="O121" s="291" t="str">
        <f t="shared" si="80"/>
        <v/>
      </c>
      <c r="P121" s="291" t="str">
        <f t="shared" si="81"/>
        <v/>
      </c>
      <c r="Q121" s="324">
        <f t="shared" si="85"/>
        <v>44076</v>
      </c>
      <c r="R121" s="277">
        <v>115</v>
      </c>
      <c r="S121" s="291" t="e">
        <f t="shared" si="82"/>
        <v>#N/A</v>
      </c>
      <c r="T121" s="291"/>
      <c r="U121" s="291" t="e">
        <f t="shared" si="83"/>
        <v>#N/A</v>
      </c>
      <c r="V121" s="291" t="str">
        <f t="shared" si="65"/>
        <v/>
      </c>
      <c r="W121" s="291" t="str">
        <f t="shared" si="66"/>
        <v/>
      </c>
      <c r="X121" s="291" t="str">
        <f t="shared" si="72"/>
        <v/>
      </c>
      <c r="Y121" s="291" t="str">
        <f t="shared" si="73"/>
        <v/>
      </c>
      <c r="Z121" s="276">
        <v>115</v>
      </c>
      <c r="AA121" s="433"/>
      <c r="AB121" s="291"/>
      <c r="AC121" s="279" t="str">
        <f t="shared" si="67"/>
        <v/>
      </c>
      <c r="AD121" s="279" t="str">
        <f t="shared" si="60"/>
        <v/>
      </c>
      <c r="AE121" s="279" t="str">
        <f t="shared" si="70"/>
        <v/>
      </c>
      <c r="AF121" s="279" t="str">
        <f t="shared" si="68"/>
        <v/>
      </c>
      <c r="AG121" s="278" t="str">
        <f t="shared" si="61"/>
        <v/>
      </c>
      <c r="AH121" s="278" t="str">
        <f t="shared" si="62"/>
        <v/>
      </c>
      <c r="AK121" s="25"/>
      <c r="AL121" s="25"/>
      <c r="AM121" s="25"/>
      <c r="AN121" s="25"/>
      <c r="AO121" s="25"/>
      <c r="AP121" s="25"/>
      <c r="AQ121" s="25"/>
      <c r="AR121" s="25"/>
      <c r="AS121" s="25"/>
      <c r="AT121" s="25"/>
      <c r="AU121" s="25"/>
      <c r="AV121" s="43"/>
      <c r="AW121" s="43"/>
      <c r="AY121" s="43"/>
      <c r="AZ121" s="43"/>
      <c r="BA121" s="43"/>
      <c r="BB121" s="43"/>
    </row>
    <row r="122" spans="1:54" ht="12.75" customHeight="1">
      <c r="A122" s="80"/>
      <c r="B122" s="264" t="str">
        <f t="shared" si="63"/>
        <v>THU</v>
      </c>
      <c r="C122" s="267">
        <f t="shared" si="84"/>
        <v>44077</v>
      </c>
      <c r="D122" s="430">
        <f t="shared" si="69"/>
        <v>116</v>
      </c>
      <c r="E122" s="473"/>
      <c r="F122" s="483"/>
      <c r="G122" s="472"/>
      <c r="H122" s="472"/>
      <c r="I122" s="292" t="str">
        <f t="shared" si="76"/>
        <v/>
      </c>
      <c r="J122" s="293" t="str">
        <f t="shared" si="52"/>
        <v/>
      </c>
      <c r="K122" s="293" t="str">
        <f t="shared" si="77"/>
        <v/>
      </c>
      <c r="L122" s="293" t="str">
        <f t="shared" si="78"/>
        <v/>
      </c>
      <c r="M122" s="268"/>
      <c r="N122" s="291" t="str">
        <f t="shared" si="79"/>
        <v/>
      </c>
      <c r="O122" s="291" t="str">
        <f t="shared" si="80"/>
        <v/>
      </c>
      <c r="P122" s="291" t="str">
        <f t="shared" si="81"/>
        <v/>
      </c>
      <c r="Q122" s="324">
        <f t="shared" si="85"/>
        <v>44077</v>
      </c>
      <c r="R122" s="277">
        <v>116</v>
      </c>
      <c r="S122" s="291" t="e">
        <f t="shared" si="82"/>
        <v>#N/A</v>
      </c>
      <c r="T122" s="291"/>
      <c r="U122" s="291" t="e">
        <f t="shared" si="83"/>
        <v>#N/A</v>
      </c>
      <c r="V122" s="291" t="str">
        <f t="shared" si="65"/>
        <v/>
      </c>
      <c r="W122" s="291" t="str">
        <f t="shared" si="66"/>
        <v/>
      </c>
      <c r="X122" s="291" t="str">
        <f t="shared" si="72"/>
        <v/>
      </c>
      <c r="Y122" s="291" t="str">
        <f t="shared" si="73"/>
        <v/>
      </c>
      <c r="Z122" s="276">
        <v>116</v>
      </c>
      <c r="AA122" s="433"/>
      <c r="AB122" s="291"/>
      <c r="AC122" s="279" t="str">
        <f t="shared" si="67"/>
        <v/>
      </c>
      <c r="AD122" s="279" t="str">
        <f t="shared" si="60"/>
        <v/>
      </c>
      <c r="AE122" s="279" t="str">
        <f t="shared" si="70"/>
        <v/>
      </c>
      <c r="AF122" s="279" t="str">
        <f t="shared" si="68"/>
        <v/>
      </c>
      <c r="AG122" s="278" t="str">
        <f t="shared" si="61"/>
        <v/>
      </c>
      <c r="AH122" s="278" t="str">
        <f t="shared" si="62"/>
        <v/>
      </c>
      <c r="AK122" s="25"/>
      <c r="AL122" s="25"/>
      <c r="AM122" s="25"/>
      <c r="AN122" s="25"/>
      <c r="AO122" s="25"/>
      <c r="AP122" s="25"/>
      <c r="AQ122" s="25"/>
      <c r="AR122" s="25"/>
      <c r="AS122" s="25"/>
      <c r="AT122" s="25"/>
      <c r="AU122" s="25"/>
      <c r="AV122" s="43"/>
      <c r="AW122" s="43"/>
      <c r="AY122" s="43"/>
      <c r="AZ122" s="43"/>
      <c r="BA122" s="43"/>
      <c r="BB122" s="43"/>
    </row>
    <row r="123" spans="1:54" ht="12.75" customHeight="1">
      <c r="A123" s="80"/>
      <c r="B123" s="264" t="str">
        <f t="shared" si="63"/>
        <v>FRI</v>
      </c>
      <c r="C123" s="267">
        <f t="shared" si="84"/>
        <v>44078</v>
      </c>
      <c r="D123" s="430">
        <f t="shared" si="69"/>
        <v>117</v>
      </c>
      <c r="E123" s="473"/>
      <c r="F123" s="483"/>
      <c r="G123" s="472"/>
      <c r="H123" s="472"/>
      <c r="I123" s="292" t="str">
        <f t="shared" si="76"/>
        <v/>
      </c>
      <c r="J123" s="293" t="str">
        <f t="shared" si="52"/>
        <v/>
      </c>
      <c r="K123" s="293" t="str">
        <f t="shared" si="77"/>
        <v/>
      </c>
      <c r="L123" s="293" t="str">
        <f t="shared" si="78"/>
        <v/>
      </c>
      <c r="M123" s="268"/>
      <c r="N123" s="291" t="str">
        <f t="shared" si="79"/>
        <v/>
      </c>
      <c r="O123" s="291" t="str">
        <f t="shared" si="80"/>
        <v/>
      </c>
      <c r="P123" s="291" t="str">
        <f t="shared" si="81"/>
        <v/>
      </c>
      <c r="Q123" s="324">
        <f t="shared" si="85"/>
        <v>44078</v>
      </c>
      <c r="R123" s="277">
        <v>117</v>
      </c>
      <c r="S123" s="291" t="e">
        <f t="shared" si="82"/>
        <v>#N/A</v>
      </c>
      <c r="T123" s="291"/>
      <c r="U123" s="291" t="e">
        <f t="shared" si="83"/>
        <v>#N/A</v>
      </c>
      <c r="V123" s="291" t="str">
        <f t="shared" si="65"/>
        <v/>
      </c>
      <c r="W123" s="291" t="str">
        <f t="shared" si="66"/>
        <v/>
      </c>
      <c r="X123" s="291" t="str">
        <f t="shared" si="72"/>
        <v/>
      </c>
      <c r="Y123" s="291" t="str">
        <f t="shared" si="73"/>
        <v/>
      </c>
      <c r="Z123" s="276">
        <v>117</v>
      </c>
      <c r="AA123" s="433"/>
      <c r="AB123" s="291"/>
      <c r="AC123" s="279" t="str">
        <f t="shared" si="67"/>
        <v/>
      </c>
      <c r="AD123" s="279" t="str">
        <f t="shared" si="60"/>
        <v/>
      </c>
      <c r="AE123" s="279" t="str">
        <f t="shared" si="70"/>
        <v/>
      </c>
      <c r="AF123" s="279" t="str">
        <f t="shared" si="68"/>
        <v/>
      </c>
      <c r="AG123" s="278" t="str">
        <f t="shared" si="61"/>
        <v/>
      </c>
      <c r="AH123" s="278" t="str">
        <f t="shared" si="62"/>
        <v/>
      </c>
      <c r="AK123" s="25"/>
      <c r="AL123" s="25"/>
      <c r="AM123" s="25"/>
      <c r="AN123" s="25"/>
      <c r="AO123" s="25"/>
      <c r="AP123" s="25"/>
      <c r="AQ123" s="25"/>
      <c r="AR123" s="25"/>
      <c r="AS123" s="25"/>
      <c r="AT123" s="25"/>
      <c r="AU123" s="25"/>
      <c r="AV123" s="43"/>
      <c r="AW123" s="43"/>
      <c r="AY123" s="43"/>
      <c r="AZ123" s="43"/>
      <c r="BA123" s="43"/>
      <c r="BB123" s="43"/>
    </row>
    <row r="124" spans="1:54" ht="12.75" customHeight="1">
      <c r="A124" s="80"/>
      <c r="B124" s="264" t="str">
        <f t="shared" si="63"/>
        <v>SAT</v>
      </c>
      <c r="C124" s="267">
        <f t="shared" si="84"/>
        <v>44079</v>
      </c>
      <c r="D124" s="430">
        <f t="shared" si="69"/>
        <v>118</v>
      </c>
      <c r="E124" s="473"/>
      <c r="F124" s="483"/>
      <c r="G124" s="472"/>
      <c r="H124" s="472"/>
      <c r="I124" s="292" t="str">
        <f t="shared" si="76"/>
        <v/>
      </c>
      <c r="J124" s="293" t="str">
        <f t="shared" si="52"/>
        <v/>
      </c>
      <c r="K124" s="293" t="str">
        <f t="shared" si="77"/>
        <v/>
      </c>
      <c r="L124" s="293" t="str">
        <f t="shared" si="78"/>
        <v/>
      </c>
      <c r="M124" s="268"/>
      <c r="N124" s="291" t="str">
        <f t="shared" si="79"/>
        <v/>
      </c>
      <c r="O124" s="291" t="str">
        <f t="shared" si="80"/>
        <v/>
      </c>
      <c r="P124" s="291" t="str">
        <f t="shared" si="81"/>
        <v/>
      </c>
      <c r="Q124" s="324">
        <f t="shared" si="85"/>
        <v>44079</v>
      </c>
      <c r="R124" s="277">
        <v>118</v>
      </c>
      <c r="S124" s="291" t="e">
        <f t="shared" si="82"/>
        <v>#N/A</v>
      </c>
      <c r="T124" s="291"/>
      <c r="U124" s="291" t="e">
        <f t="shared" si="83"/>
        <v>#N/A</v>
      </c>
      <c r="V124" s="291" t="str">
        <f t="shared" si="65"/>
        <v/>
      </c>
      <c r="W124" s="291" t="str">
        <f t="shared" si="66"/>
        <v/>
      </c>
      <c r="X124" s="291" t="str">
        <f t="shared" si="72"/>
        <v/>
      </c>
      <c r="Y124" s="291" t="str">
        <f t="shared" si="73"/>
        <v/>
      </c>
      <c r="Z124" s="276">
        <v>118</v>
      </c>
      <c r="AA124" s="433"/>
      <c r="AB124" s="291"/>
      <c r="AC124" s="279" t="str">
        <f t="shared" si="67"/>
        <v/>
      </c>
      <c r="AD124" s="279" t="str">
        <f t="shared" si="60"/>
        <v/>
      </c>
      <c r="AE124" s="279" t="str">
        <f t="shared" si="70"/>
        <v/>
      </c>
      <c r="AF124" s="279" t="str">
        <f t="shared" si="68"/>
        <v/>
      </c>
      <c r="AG124" s="278" t="str">
        <f t="shared" si="61"/>
        <v/>
      </c>
      <c r="AH124" s="278" t="str">
        <f t="shared" si="62"/>
        <v/>
      </c>
      <c r="AK124" s="25"/>
      <c r="AL124" s="25"/>
      <c r="AM124" s="25"/>
      <c r="AN124" s="25"/>
      <c r="AO124" s="25"/>
      <c r="AP124" s="25"/>
      <c r="AQ124" s="25"/>
      <c r="AR124" s="25"/>
      <c r="AS124" s="25"/>
      <c r="AT124" s="25"/>
      <c r="AU124" s="25"/>
      <c r="AV124" s="43"/>
      <c r="AW124" s="43"/>
      <c r="AY124" s="43"/>
      <c r="AZ124" s="43"/>
      <c r="BA124" s="43"/>
      <c r="BB124" s="43"/>
    </row>
    <row r="125" spans="1:54" ht="12.75" customHeight="1">
      <c r="A125" s="80"/>
      <c r="B125" s="264" t="str">
        <f t="shared" si="63"/>
        <v>SUN</v>
      </c>
      <c r="C125" s="267">
        <f t="shared" si="84"/>
        <v>44080</v>
      </c>
      <c r="D125" s="430">
        <f t="shared" si="69"/>
        <v>119</v>
      </c>
      <c r="E125" s="473"/>
      <c r="F125" s="483"/>
      <c r="G125" s="472"/>
      <c r="H125" s="472"/>
      <c r="I125" s="292" t="str">
        <f t="shared" si="76"/>
        <v/>
      </c>
      <c r="J125" s="293" t="str">
        <f t="shared" si="52"/>
        <v/>
      </c>
      <c r="K125" s="293" t="str">
        <f t="shared" si="77"/>
        <v/>
      </c>
      <c r="L125" s="293" t="str">
        <f t="shared" si="78"/>
        <v/>
      </c>
      <c r="M125" s="268"/>
      <c r="N125" s="291" t="str">
        <f t="shared" si="79"/>
        <v/>
      </c>
      <c r="O125" s="291" t="str">
        <f t="shared" si="80"/>
        <v/>
      </c>
      <c r="P125" s="291" t="str">
        <f t="shared" si="81"/>
        <v/>
      </c>
      <c r="Q125" s="324">
        <f t="shared" si="85"/>
        <v>44080</v>
      </c>
      <c r="R125" s="277">
        <v>119</v>
      </c>
      <c r="S125" s="291">
        <f t="shared" si="82"/>
        <v>100000</v>
      </c>
      <c r="T125" s="291"/>
      <c r="U125" s="291" t="str">
        <f t="shared" si="83"/>
        <v>09/06/20</v>
      </c>
      <c r="V125" s="291" t="str">
        <f t="shared" si="65"/>
        <v/>
      </c>
      <c r="W125" s="291" t="str">
        <f t="shared" si="66"/>
        <v/>
      </c>
      <c r="X125" s="291" t="str">
        <f t="shared" si="72"/>
        <v/>
      </c>
      <c r="Y125" s="291" t="str">
        <f t="shared" si="73"/>
        <v/>
      </c>
      <c r="Z125" s="276">
        <v>119</v>
      </c>
      <c r="AA125" s="433"/>
      <c r="AB125" s="291"/>
      <c r="AC125" s="279" t="str">
        <f t="shared" si="67"/>
        <v/>
      </c>
      <c r="AD125" s="279" t="str">
        <f t="shared" si="60"/>
        <v/>
      </c>
      <c r="AE125" s="279" t="str">
        <f t="shared" si="70"/>
        <v/>
      </c>
      <c r="AF125" s="279" t="str">
        <f t="shared" si="68"/>
        <v/>
      </c>
      <c r="AG125" s="278" t="str">
        <f t="shared" si="61"/>
        <v/>
      </c>
      <c r="AH125" s="278" t="str">
        <f t="shared" si="62"/>
        <v/>
      </c>
      <c r="AK125" s="25"/>
      <c r="AL125" s="25"/>
      <c r="AM125" s="25"/>
      <c r="AN125" s="25"/>
      <c r="AO125" s="25"/>
      <c r="AP125" s="25"/>
      <c r="AQ125" s="25"/>
      <c r="AR125" s="25"/>
      <c r="AS125" s="25"/>
      <c r="AT125" s="25"/>
      <c r="AU125" s="25"/>
      <c r="AV125" s="43"/>
      <c r="AW125" s="43"/>
      <c r="AY125" s="43"/>
      <c r="AZ125" s="43"/>
      <c r="BA125" s="43"/>
      <c r="BB125" s="43"/>
    </row>
    <row r="126" spans="1:54" ht="12.75" customHeight="1">
      <c r="A126" s="80"/>
      <c r="B126" s="264" t="str">
        <f t="shared" si="63"/>
        <v>MON</v>
      </c>
      <c r="C126" s="267">
        <f t="shared" si="84"/>
        <v>44081</v>
      </c>
      <c r="D126" s="429">
        <f t="shared" si="69"/>
        <v>120</v>
      </c>
      <c r="E126" s="473"/>
      <c r="F126" s="483"/>
      <c r="G126" s="472"/>
      <c r="H126" s="472"/>
      <c r="I126" s="292" t="str">
        <f t="shared" si="76"/>
        <v/>
      </c>
      <c r="J126" s="293" t="str">
        <f t="shared" si="52"/>
        <v/>
      </c>
      <c r="K126" s="293" t="str">
        <f t="shared" si="77"/>
        <v/>
      </c>
      <c r="L126" s="293" t="str">
        <f t="shared" si="78"/>
        <v/>
      </c>
      <c r="M126" s="269"/>
      <c r="N126" s="291" t="str">
        <f t="shared" si="79"/>
        <v/>
      </c>
      <c r="O126" s="291" t="str">
        <f t="shared" si="80"/>
        <v/>
      </c>
      <c r="P126" s="291" t="str">
        <f t="shared" si="81"/>
        <v/>
      </c>
      <c r="Q126" s="324">
        <f t="shared" si="85"/>
        <v>44081</v>
      </c>
      <c r="R126" s="277">
        <v>120</v>
      </c>
      <c r="S126" s="291" t="e">
        <f t="shared" si="82"/>
        <v>#N/A</v>
      </c>
      <c r="T126" s="291"/>
      <c r="U126" s="291" t="e">
        <f t="shared" si="83"/>
        <v>#N/A</v>
      </c>
      <c r="V126" s="291" t="str">
        <f t="shared" si="65"/>
        <v/>
      </c>
      <c r="W126" s="291" t="str">
        <f t="shared" si="66"/>
        <v/>
      </c>
      <c r="X126" s="291" t="str">
        <f t="shared" si="72"/>
        <v/>
      </c>
      <c r="Y126" s="291" t="str">
        <f t="shared" si="73"/>
        <v/>
      </c>
      <c r="Z126" s="276">
        <v>120</v>
      </c>
      <c r="AA126" s="433"/>
      <c r="AB126" s="291"/>
      <c r="AC126" s="279" t="str">
        <f t="shared" si="67"/>
        <v/>
      </c>
      <c r="AD126" s="279" t="str">
        <f t="shared" si="60"/>
        <v/>
      </c>
      <c r="AE126" s="279" t="str">
        <f t="shared" si="70"/>
        <v/>
      </c>
      <c r="AF126" s="279" t="str">
        <f t="shared" si="68"/>
        <v/>
      </c>
      <c r="AG126" s="278" t="str">
        <f t="shared" si="61"/>
        <v/>
      </c>
      <c r="AH126" s="278" t="str">
        <f t="shared" si="62"/>
        <v/>
      </c>
      <c r="AK126" s="25"/>
      <c r="AL126" s="25"/>
      <c r="AM126" s="25"/>
      <c r="AN126" s="25"/>
      <c r="AO126" s="25"/>
      <c r="AP126" s="25"/>
      <c r="AQ126" s="25"/>
      <c r="AR126" s="25"/>
      <c r="AS126" s="25"/>
      <c r="AT126" s="25"/>
      <c r="AU126" s="25"/>
      <c r="AV126" s="43"/>
      <c r="AW126" s="43"/>
      <c r="AY126" s="43"/>
      <c r="AZ126" s="43"/>
      <c r="BA126" s="43"/>
      <c r="BB126" s="43"/>
    </row>
    <row r="127" spans="1:54" ht="12.75" customHeight="1">
      <c r="A127" s="80"/>
      <c r="B127" s="264" t="str">
        <f t="shared" si="63"/>
        <v>TUE</v>
      </c>
      <c r="C127" s="267">
        <f t="shared" si="84"/>
        <v>44082</v>
      </c>
      <c r="D127" s="430">
        <f t="shared" si="69"/>
        <v>121</v>
      </c>
      <c r="E127" s="473"/>
      <c r="F127" s="483"/>
      <c r="G127" s="472"/>
      <c r="H127" s="472"/>
      <c r="I127" s="292" t="str">
        <f t="shared" si="76"/>
        <v/>
      </c>
      <c r="J127" s="293" t="str">
        <f t="shared" si="52"/>
        <v/>
      </c>
      <c r="K127" s="293" t="str">
        <f t="shared" si="77"/>
        <v/>
      </c>
      <c r="L127" s="293" t="str">
        <f t="shared" si="78"/>
        <v/>
      </c>
      <c r="M127" s="268"/>
      <c r="N127" s="291" t="str">
        <f t="shared" si="79"/>
        <v/>
      </c>
      <c r="O127" s="291" t="str">
        <f t="shared" si="80"/>
        <v/>
      </c>
      <c r="P127" s="291" t="str">
        <f t="shared" si="81"/>
        <v/>
      </c>
      <c r="Q127" s="324">
        <f t="shared" si="85"/>
        <v>44082</v>
      </c>
      <c r="R127" s="277">
        <v>121</v>
      </c>
      <c r="S127" s="291" t="e">
        <f t="shared" si="82"/>
        <v>#N/A</v>
      </c>
      <c r="T127" s="291"/>
      <c r="U127" s="291" t="e">
        <f t="shared" si="83"/>
        <v>#N/A</v>
      </c>
      <c r="V127" s="291" t="str">
        <f t="shared" si="65"/>
        <v/>
      </c>
      <c r="W127" s="291" t="str">
        <f t="shared" si="66"/>
        <v/>
      </c>
      <c r="X127" s="291" t="str">
        <f t="shared" si="72"/>
        <v/>
      </c>
      <c r="Y127" s="291" t="str">
        <f t="shared" si="73"/>
        <v/>
      </c>
      <c r="Z127" s="276">
        <v>121</v>
      </c>
      <c r="AA127" s="433"/>
      <c r="AB127" s="291"/>
      <c r="AC127" s="279" t="str">
        <f t="shared" si="67"/>
        <v/>
      </c>
      <c r="AD127" s="279" t="str">
        <f t="shared" si="60"/>
        <v/>
      </c>
      <c r="AE127" s="279" t="str">
        <f t="shared" si="70"/>
        <v/>
      </c>
      <c r="AF127" s="279" t="str">
        <f t="shared" si="68"/>
        <v/>
      </c>
      <c r="AG127" s="278" t="str">
        <f t="shared" si="61"/>
        <v/>
      </c>
      <c r="AH127" s="278" t="str">
        <f t="shared" si="62"/>
        <v/>
      </c>
      <c r="AK127" s="25"/>
      <c r="AL127" s="25"/>
      <c r="AM127" s="25"/>
      <c r="AN127" s="25"/>
      <c r="AO127" s="25"/>
      <c r="AP127" s="25"/>
      <c r="AQ127" s="25"/>
      <c r="AR127" s="25"/>
      <c r="AS127" s="25"/>
      <c r="AT127" s="25"/>
      <c r="AU127" s="25"/>
      <c r="AV127" s="43"/>
      <c r="AW127" s="43"/>
      <c r="AY127" s="43"/>
      <c r="AZ127" s="43"/>
      <c r="BA127" s="43"/>
      <c r="BB127" s="43"/>
    </row>
    <row r="128" spans="1:54" ht="12.75" customHeight="1">
      <c r="A128" s="80"/>
      <c r="B128" s="264" t="str">
        <f t="shared" si="63"/>
        <v>WED</v>
      </c>
      <c r="C128" s="267">
        <f t="shared" si="84"/>
        <v>44083</v>
      </c>
      <c r="D128" s="430">
        <f t="shared" si="69"/>
        <v>122</v>
      </c>
      <c r="E128" s="473"/>
      <c r="F128" s="483"/>
      <c r="G128" s="472"/>
      <c r="H128" s="472"/>
      <c r="I128" s="292" t="str">
        <f t="shared" si="76"/>
        <v/>
      </c>
      <c r="J128" s="293" t="str">
        <f t="shared" si="52"/>
        <v/>
      </c>
      <c r="K128" s="293" t="str">
        <f t="shared" si="77"/>
        <v/>
      </c>
      <c r="L128" s="293" t="str">
        <f t="shared" si="78"/>
        <v/>
      </c>
      <c r="M128" s="268"/>
      <c r="N128" s="291" t="str">
        <f t="shared" si="79"/>
        <v/>
      </c>
      <c r="O128" s="291" t="str">
        <f t="shared" si="80"/>
        <v/>
      </c>
      <c r="P128" s="291" t="str">
        <f t="shared" si="81"/>
        <v/>
      </c>
      <c r="Q128" s="324">
        <f t="shared" si="85"/>
        <v>44083</v>
      </c>
      <c r="R128" s="277">
        <v>122</v>
      </c>
      <c r="S128" s="291" t="e">
        <f t="shared" si="82"/>
        <v>#N/A</v>
      </c>
      <c r="T128" s="291"/>
      <c r="U128" s="291" t="e">
        <f t="shared" si="83"/>
        <v>#N/A</v>
      </c>
      <c r="V128" s="291" t="str">
        <f t="shared" si="65"/>
        <v/>
      </c>
      <c r="W128" s="291" t="str">
        <f t="shared" si="66"/>
        <v/>
      </c>
      <c r="X128" s="291" t="str">
        <f t="shared" si="72"/>
        <v/>
      </c>
      <c r="Y128" s="291" t="str">
        <f t="shared" si="73"/>
        <v/>
      </c>
      <c r="Z128" s="276">
        <v>122</v>
      </c>
      <c r="AA128" s="433"/>
      <c r="AB128" s="291"/>
      <c r="AC128" s="279" t="str">
        <f t="shared" si="67"/>
        <v/>
      </c>
      <c r="AD128" s="279" t="str">
        <f t="shared" si="60"/>
        <v/>
      </c>
      <c r="AE128" s="279" t="str">
        <f t="shared" si="70"/>
        <v/>
      </c>
      <c r="AF128" s="279" t="str">
        <f t="shared" si="68"/>
        <v/>
      </c>
      <c r="AG128" s="278" t="str">
        <f t="shared" si="61"/>
        <v/>
      </c>
      <c r="AH128" s="278" t="str">
        <f t="shared" si="62"/>
        <v/>
      </c>
      <c r="AK128" s="25"/>
      <c r="AL128" s="25"/>
      <c r="AM128" s="25"/>
      <c r="AN128" s="25"/>
      <c r="AO128" s="25"/>
      <c r="AP128" s="25"/>
      <c r="AQ128" s="25"/>
      <c r="AR128" s="25"/>
      <c r="AS128" s="25"/>
      <c r="AT128" s="25"/>
      <c r="AU128" s="25"/>
      <c r="AV128" s="43"/>
      <c r="AW128" s="43"/>
      <c r="AY128" s="43"/>
      <c r="AZ128" s="43"/>
      <c r="BA128" s="43"/>
      <c r="BB128" s="43"/>
    </row>
    <row r="129" spans="1:54" ht="12.75" customHeight="1">
      <c r="A129" s="80"/>
      <c r="B129" s="264" t="str">
        <f t="shared" si="63"/>
        <v>THU</v>
      </c>
      <c r="C129" s="267">
        <f t="shared" si="84"/>
        <v>44084</v>
      </c>
      <c r="D129" s="430">
        <f t="shared" si="69"/>
        <v>123</v>
      </c>
      <c r="E129" s="473"/>
      <c r="F129" s="483"/>
      <c r="G129" s="472"/>
      <c r="H129" s="472"/>
      <c r="I129" s="292" t="str">
        <f t="shared" si="76"/>
        <v/>
      </c>
      <c r="J129" s="293" t="str">
        <f t="shared" si="52"/>
        <v/>
      </c>
      <c r="K129" s="293" t="str">
        <f t="shared" si="77"/>
        <v/>
      </c>
      <c r="L129" s="293" t="str">
        <f t="shared" si="78"/>
        <v/>
      </c>
      <c r="M129" s="268"/>
      <c r="N129" s="291" t="str">
        <f t="shared" si="79"/>
        <v/>
      </c>
      <c r="O129" s="291" t="str">
        <f t="shared" si="80"/>
        <v/>
      </c>
      <c r="P129" s="291" t="str">
        <f t="shared" si="81"/>
        <v/>
      </c>
      <c r="Q129" s="324">
        <f t="shared" si="85"/>
        <v>44084</v>
      </c>
      <c r="R129" s="277">
        <v>123</v>
      </c>
      <c r="S129" s="291" t="e">
        <f t="shared" si="82"/>
        <v>#N/A</v>
      </c>
      <c r="T129" s="291"/>
      <c r="U129" s="291" t="e">
        <f t="shared" si="83"/>
        <v>#N/A</v>
      </c>
      <c r="V129" s="291" t="str">
        <f t="shared" si="65"/>
        <v/>
      </c>
      <c r="W129" s="291" t="str">
        <f t="shared" si="66"/>
        <v/>
      </c>
      <c r="X129" s="291" t="str">
        <f t="shared" si="72"/>
        <v/>
      </c>
      <c r="Y129" s="291" t="str">
        <f t="shared" si="73"/>
        <v/>
      </c>
      <c r="Z129" s="276">
        <v>123</v>
      </c>
      <c r="AA129" s="433"/>
      <c r="AB129" s="291"/>
      <c r="AC129" s="279" t="str">
        <f t="shared" si="67"/>
        <v/>
      </c>
      <c r="AD129" s="279" t="str">
        <f t="shared" si="60"/>
        <v/>
      </c>
      <c r="AE129" s="279" t="str">
        <f t="shared" si="70"/>
        <v/>
      </c>
      <c r="AF129" s="279" t="str">
        <f t="shared" si="68"/>
        <v/>
      </c>
      <c r="AG129" s="278" t="str">
        <f t="shared" si="61"/>
        <v/>
      </c>
      <c r="AH129" s="278" t="str">
        <f t="shared" si="62"/>
        <v/>
      </c>
      <c r="AK129" s="25"/>
      <c r="AL129" s="25"/>
      <c r="AM129" s="25"/>
      <c r="AN129" s="25"/>
      <c r="AO129" s="25"/>
      <c r="AP129" s="25"/>
      <c r="AQ129" s="25"/>
      <c r="AR129" s="25"/>
      <c r="AS129" s="25"/>
      <c r="AT129" s="25"/>
      <c r="AU129" s="25"/>
      <c r="AV129" s="43"/>
      <c r="AW129" s="43"/>
      <c r="AY129" s="43"/>
      <c r="AZ129" s="43"/>
      <c r="BA129" s="43"/>
      <c r="BB129" s="43"/>
    </row>
    <row r="130" spans="1:54" ht="12.75" customHeight="1">
      <c r="A130" s="80"/>
      <c r="B130" s="264" t="str">
        <f t="shared" si="63"/>
        <v>FRI</v>
      </c>
      <c r="C130" s="267">
        <f t="shared" si="84"/>
        <v>44085</v>
      </c>
      <c r="D130" s="430">
        <f t="shared" si="69"/>
        <v>124</v>
      </c>
      <c r="E130" s="473"/>
      <c r="F130" s="483"/>
      <c r="G130" s="472"/>
      <c r="H130" s="472"/>
      <c r="I130" s="292" t="str">
        <f t="shared" si="76"/>
        <v/>
      </c>
      <c r="J130" s="293" t="str">
        <f t="shared" si="52"/>
        <v/>
      </c>
      <c r="K130" s="293" t="str">
        <f t="shared" si="77"/>
        <v/>
      </c>
      <c r="L130" s="293" t="str">
        <f t="shared" si="78"/>
        <v/>
      </c>
      <c r="M130" s="268"/>
      <c r="N130" s="291" t="str">
        <f t="shared" si="79"/>
        <v/>
      </c>
      <c r="O130" s="291" t="str">
        <f t="shared" si="80"/>
        <v/>
      </c>
      <c r="P130" s="291" t="str">
        <f t="shared" si="81"/>
        <v/>
      </c>
      <c r="Q130" s="324">
        <f t="shared" si="85"/>
        <v>44085</v>
      </c>
      <c r="R130" s="277">
        <v>124</v>
      </c>
      <c r="S130" s="291" t="e">
        <f t="shared" si="82"/>
        <v>#N/A</v>
      </c>
      <c r="T130" s="291"/>
      <c r="U130" s="291" t="e">
        <f t="shared" si="83"/>
        <v>#N/A</v>
      </c>
      <c r="V130" s="291" t="str">
        <f t="shared" si="65"/>
        <v/>
      </c>
      <c r="W130" s="291" t="str">
        <f t="shared" si="66"/>
        <v/>
      </c>
      <c r="X130" s="291" t="str">
        <f t="shared" si="72"/>
        <v/>
      </c>
      <c r="Y130" s="291" t="str">
        <f t="shared" si="73"/>
        <v/>
      </c>
      <c r="Z130" s="276">
        <v>124</v>
      </c>
      <c r="AA130" s="433"/>
      <c r="AB130" s="291"/>
      <c r="AC130" s="279" t="str">
        <f t="shared" si="67"/>
        <v/>
      </c>
      <c r="AD130" s="279" t="str">
        <f t="shared" si="60"/>
        <v/>
      </c>
      <c r="AE130" s="279" t="str">
        <f t="shared" si="70"/>
        <v/>
      </c>
      <c r="AF130" s="279" t="str">
        <f t="shared" si="68"/>
        <v/>
      </c>
      <c r="AG130" s="278" t="str">
        <f t="shared" si="61"/>
        <v/>
      </c>
      <c r="AH130" s="278" t="str">
        <f t="shared" si="62"/>
        <v/>
      </c>
      <c r="AK130" s="25"/>
      <c r="AL130" s="25"/>
      <c r="AM130" s="25"/>
      <c r="AN130" s="25"/>
      <c r="AO130" s="25"/>
      <c r="AP130" s="25"/>
      <c r="AQ130" s="25"/>
      <c r="AR130" s="25"/>
      <c r="AS130" s="25"/>
      <c r="AT130" s="25"/>
      <c r="AU130" s="25"/>
      <c r="AV130" s="43"/>
      <c r="AW130" s="43"/>
      <c r="AY130" s="43"/>
      <c r="AZ130" s="43"/>
      <c r="BA130" s="43"/>
      <c r="BB130" s="43"/>
    </row>
    <row r="131" spans="1:54" ht="12.75" customHeight="1">
      <c r="A131" s="80"/>
      <c r="B131" s="264" t="str">
        <f t="shared" si="63"/>
        <v>SAT</v>
      </c>
      <c r="C131" s="267">
        <f t="shared" si="84"/>
        <v>44086</v>
      </c>
      <c r="D131" s="430">
        <f t="shared" si="69"/>
        <v>125</v>
      </c>
      <c r="E131" s="473"/>
      <c r="F131" s="483"/>
      <c r="G131" s="472"/>
      <c r="H131" s="472"/>
      <c r="I131" s="292" t="str">
        <f t="shared" si="76"/>
        <v/>
      </c>
      <c r="J131" s="293" t="str">
        <f t="shared" si="52"/>
        <v/>
      </c>
      <c r="K131" s="293" t="str">
        <f t="shared" si="77"/>
        <v/>
      </c>
      <c r="L131" s="293" t="str">
        <f t="shared" si="78"/>
        <v/>
      </c>
      <c r="M131" s="268"/>
      <c r="N131" s="291" t="str">
        <f t="shared" si="79"/>
        <v/>
      </c>
      <c r="O131" s="291" t="str">
        <f t="shared" si="80"/>
        <v/>
      </c>
      <c r="P131" s="291" t="str">
        <f t="shared" si="81"/>
        <v/>
      </c>
      <c r="Q131" s="324">
        <f t="shared" si="85"/>
        <v>44086</v>
      </c>
      <c r="R131" s="277">
        <v>125</v>
      </c>
      <c r="S131" s="291" t="e">
        <f t="shared" si="82"/>
        <v>#N/A</v>
      </c>
      <c r="T131" s="291"/>
      <c r="U131" s="291" t="e">
        <f t="shared" si="83"/>
        <v>#N/A</v>
      </c>
      <c r="V131" s="291" t="str">
        <f t="shared" si="65"/>
        <v/>
      </c>
      <c r="W131" s="291" t="str">
        <f t="shared" si="66"/>
        <v/>
      </c>
      <c r="X131" s="291" t="str">
        <f t="shared" si="72"/>
        <v/>
      </c>
      <c r="Y131" s="291" t="str">
        <f t="shared" si="73"/>
        <v/>
      </c>
      <c r="Z131" s="276">
        <v>125</v>
      </c>
      <c r="AA131" s="433"/>
      <c r="AB131" s="291"/>
      <c r="AC131" s="279" t="str">
        <f t="shared" si="67"/>
        <v/>
      </c>
      <c r="AD131" s="279" t="str">
        <f t="shared" si="60"/>
        <v/>
      </c>
      <c r="AE131" s="279" t="str">
        <f t="shared" si="70"/>
        <v/>
      </c>
      <c r="AF131" s="279" t="str">
        <f t="shared" si="68"/>
        <v/>
      </c>
      <c r="AG131" s="278" t="str">
        <f t="shared" si="61"/>
        <v/>
      </c>
      <c r="AH131" s="278" t="str">
        <f t="shared" si="62"/>
        <v/>
      </c>
      <c r="AK131" s="25"/>
      <c r="AL131" s="25"/>
      <c r="AM131" s="25"/>
      <c r="AN131" s="25"/>
      <c r="AO131" s="25"/>
      <c r="AP131" s="25"/>
      <c r="AQ131" s="25"/>
      <c r="AR131" s="25"/>
      <c r="AS131" s="25"/>
      <c r="AT131" s="25"/>
      <c r="AU131" s="25"/>
      <c r="AV131" s="43"/>
      <c r="AW131" s="43"/>
      <c r="AY131" s="43"/>
      <c r="AZ131" s="43"/>
      <c r="BA131" s="43"/>
      <c r="BB131" s="43"/>
    </row>
    <row r="132" spans="1:54" ht="12.75" customHeight="1">
      <c r="A132" s="80"/>
      <c r="B132" s="264" t="str">
        <f t="shared" si="63"/>
        <v>SUN</v>
      </c>
      <c r="C132" s="267">
        <f t="shared" si="84"/>
        <v>44087</v>
      </c>
      <c r="D132" s="430">
        <f t="shared" si="69"/>
        <v>126</v>
      </c>
      <c r="E132" s="473"/>
      <c r="F132" s="483"/>
      <c r="G132" s="472"/>
      <c r="H132" s="472"/>
      <c r="I132" s="292" t="str">
        <f t="shared" si="76"/>
        <v/>
      </c>
      <c r="J132" s="293" t="str">
        <f t="shared" si="52"/>
        <v/>
      </c>
      <c r="K132" s="293" t="str">
        <f t="shared" si="77"/>
        <v/>
      </c>
      <c r="L132" s="293" t="str">
        <f t="shared" si="78"/>
        <v/>
      </c>
      <c r="M132" s="268"/>
      <c r="N132" s="291" t="str">
        <f t="shared" si="79"/>
        <v/>
      </c>
      <c r="O132" s="291" t="str">
        <f t="shared" si="80"/>
        <v/>
      </c>
      <c r="P132" s="291" t="str">
        <f t="shared" si="81"/>
        <v/>
      </c>
      <c r="Q132" s="324">
        <f t="shared" si="85"/>
        <v>44087</v>
      </c>
      <c r="R132" s="277">
        <v>126</v>
      </c>
      <c r="S132" s="291">
        <f t="shared" si="82"/>
        <v>100000</v>
      </c>
      <c r="T132" s="291"/>
      <c r="U132" s="291" t="str">
        <f t="shared" si="83"/>
        <v>09/13/20</v>
      </c>
      <c r="V132" s="291" t="str">
        <f t="shared" si="65"/>
        <v/>
      </c>
      <c r="W132" s="291" t="str">
        <f t="shared" si="66"/>
        <v/>
      </c>
      <c r="X132" s="291" t="str">
        <f t="shared" si="72"/>
        <v/>
      </c>
      <c r="Y132" s="291" t="str">
        <f t="shared" si="73"/>
        <v/>
      </c>
      <c r="Z132" s="276">
        <v>126</v>
      </c>
      <c r="AA132" s="433"/>
      <c r="AB132" s="291"/>
      <c r="AC132" s="279" t="str">
        <f t="shared" si="67"/>
        <v/>
      </c>
      <c r="AD132" s="279" t="str">
        <f t="shared" si="60"/>
        <v/>
      </c>
      <c r="AE132" s="279" t="str">
        <f t="shared" si="70"/>
        <v/>
      </c>
      <c r="AF132" s="279" t="str">
        <f t="shared" si="68"/>
        <v/>
      </c>
      <c r="AG132" s="278" t="str">
        <f t="shared" si="61"/>
        <v/>
      </c>
      <c r="AH132" s="278" t="str">
        <f t="shared" si="62"/>
        <v/>
      </c>
      <c r="AK132" s="25"/>
      <c r="AL132" s="25"/>
      <c r="AM132" s="25"/>
      <c r="AN132" s="25"/>
      <c r="AO132" s="25"/>
      <c r="AP132" s="25"/>
      <c r="AQ132" s="25"/>
      <c r="AR132" s="25"/>
      <c r="AS132" s="25"/>
      <c r="AT132" s="25"/>
      <c r="AU132" s="25"/>
      <c r="AV132" s="43"/>
      <c r="AW132" s="43"/>
      <c r="AY132" s="43"/>
      <c r="AZ132" s="43"/>
      <c r="BA132" s="43"/>
      <c r="BB132" s="43"/>
    </row>
    <row r="133" spans="1:54" ht="12.75" customHeight="1">
      <c r="A133" s="80"/>
      <c r="B133" s="264" t="str">
        <f t="shared" si="63"/>
        <v>MON</v>
      </c>
      <c r="C133" s="267">
        <f t="shared" si="84"/>
        <v>44088</v>
      </c>
      <c r="D133" s="430">
        <f t="shared" si="69"/>
        <v>127</v>
      </c>
      <c r="E133" s="473"/>
      <c r="F133" s="483"/>
      <c r="G133" s="472"/>
      <c r="H133" s="472"/>
      <c r="I133" s="292" t="str">
        <f t="shared" si="76"/>
        <v/>
      </c>
      <c r="J133" s="293" t="str">
        <f t="shared" si="52"/>
        <v/>
      </c>
      <c r="K133" s="293" t="str">
        <f t="shared" si="77"/>
        <v/>
      </c>
      <c r="L133" s="293" t="str">
        <f t="shared" si="78"/>
        <v/>
      </c>
      <c r="M133" s="268"/>
      <c r="N133" s="291" t="str">
        <f t="shared" si="79"/>
        <v/>
      </c>
      <c r="O133" s="291" t="str">
        <f t="shared" si="80"/>
        <v/>
      </c>
      <c r="P133" s="291" t="str">
        <f t="shared" si="81"/>
        <v/>
      </c>
      <c r="Q133" s="324">
        <f t="shared" si="85"/>
        <v>44088</v>
      </c>
      <c r="R133" s="277">
        <v>127</v>
      </c>
      <c r="S133" s="291" t="e">
        <f t="shared" si="82"/>
        <v>#N/A</v>
      </c>
      <c r="T133" s="291"/>
      <c r="U133" s="291" t="e">
        <f t="shared" si="83"/>
        <v>#N/A</v>
      </c>
      <c r="V133" s="291" t="str">
        <f t="shared" si="65"/>
        <v/>
      </c>
      <c r="W133" s="291" t="str">
        <f t="shared" si="66"/>
        <v/>
      </c>
      <c r="X133" s="291" t="str">
        <f t="shared" si="72"/>
        <v/>
      </c>
      <c r="Y133" s="291" t="str">
        <f t="shared" si="73"/>
        <v/>
      </c>
      <c r="Z133" s="276">
        <v>127</v>
      </c>
      <c r="AA133" s="433"/>
      <c r="AB133" s="291"/>
      <c r="AC133" s="279" t="str">
        <f t="shared" si="67"/>
        <v/>
      </c>
      <c r="AD133" s="279" t="str">
        <f t="shared" si="60"/>
        <v/>
      </c>
      <c r="AE133" s="279" t="str">
        <f t="shared" si="70"/>
        <v/>
      </c>
      <c r="AF133" s="279" t="str">
        <f t="shared" si="68"/>
        <v/>
      </c>
      <c r="AG133" s="278" t="str">
        <f t="shared" si="61"/>
        <v/>
      </c>
      <c r="AH133" s="278" t="str">
        <f t="shared" si="62"/>
        <v/>
      </c>
      <c r="AK133" s="25"/>
      <c r="AL133" s="25"/>
      <c r="AM133" s="25"/>
      <c r="AN133" s="25"/>
      <c r="AO133" s="25"/>
      <c r="AP133" s="25"/>
      <c r="AQ133" s="25"/>
      <c r="AR133" s="25"/>
      <c r="AS133" s="25"/>
      <c r="AT133" s="25"/>
      <c r="AU133" s="25"/>
      <c r="AV133" s="43"/>
      <c r="AW133" s="43"/>
      <c r="AY133" s="43"/>
      <c r="AZ133" s="43"/>
      <c r="BA133" s="43"/>
      <c r="BB133" s="43"/>
    </row>
    <row r="134" spans="1:54" ht="12.75" customHeight="1">
      <c r="A134" s="80"/>
      <c r="B134" s="264" t="str">
        <f t="shared" si="63"/>
        <v>TUE</v>
      </c>
      <c r="C134" s="267">
        <f t="shared" si="84"/>
        <v>44089</v>
      </c>
      <c r="D134" s="430">
        <f t="shared" si="69"/>
        <v>128</v>
      </c>
      <c r="E134" s="473"/>
      <c r="F134" s="483"/>
      <c r="G134" s="472"/>
      <c r="H134" s="472"/>
      <c r="I134" s="292" t="str">
        <f t="shared" ref="I134:I146" si="86">IF(E134="","",IF(Y_AxisLabel="Count Per Minute",1/(HOUR(E134)*60+MINUTE(E134)+SECOND(E134)/60),1/E134))</f>
        <v/>
      </c>
      <c r="J134" s="293" t="str">
        <f t="shared" ref="J134:J146" si="87">IF(OR(F134=Blank,$E134=Blank),Blank,IF(F134&gt;0,F134*$I134,ZeroCount*$I134))</f>
        <v/>
      </c>
      <c r="K134" s="293" t="str">
        <f t="shared" ref="K134:K146" si="88">IF(OR(G134=Blank,$E134=Blank),Blank,IF(G134&gt;0,G134*$I134,ZeroCount*$I134))</f>
        <v/>
      </c>
      <c r="L134" s="293" t="str">
        <f t="shared" ref="L134:L146" si="89">IF(OR(H134=Blank,$E134=Blank),Blank,IF(H134&gt;0,H134*$I134,ZeroCount*$I134))</f>
        <v/>
      </c>
      <c r="M134" s="268"/>
      <c r="N134" s="291" t="str">
        <f t="shared" ref="N134:N146" si="90">IF(F134="","",IF(F134=0,IF(NOT(ZeroFlag),"",ZeroCount*$I134),J134))</f>
        <v/>
      </c>
      <c r="O134" s="291" t="str">
        <f t="shared" ref="O134:O146" si="91">IF(G134="","",IF(G134=0,IF(NOT(ZeroFlag),"",ZeroCount*$I134),K134))</f>
        <v/>
      </c>
      <c r="P134" s="291" t="str">
        <f t="shared" ref="P134:P146" si="92">IF(H134="","",IF(H134=0,IF(NOT(ZeroFlag),"",ZeroCount*$I134),L134))</f>
        <v/>
      </c>
      <c r="Q134" s="324">
        <f t="shared" si="85"/>
        <v>44089</v>
      </c>
      <c r="R134" s="277">
        <v>128</v>
      </c>
      <c r="S134" s="291" t="e">
        <f t="shared" ref="S134:S146" si="93">IF((R134/Scalar)-INT(R134/Scalar)=0,Ymax,NA())</f>
        <v>#N/A</v>
      </c>
      <c r="T134" s="291"/>
      <c r="U134" s="291" t="e">
        <f t="shared" ref="U134:U146" si="94">IF(ISNA(S134),NA(),TEXT(C134,DateFormat))</f>
        <v>#N/A</v>
      </c>
      <c r="V134" s="291" t="str">
        <f t="shared" si="65"/>
        <v/>
      </c>
      <c r="W134" s="291" t="str">
        <f t="shared" si="66"/>
        <v/>
      </c>
      <c r="X134" s="291" t="str">
        <f t="shared" si="72"/>
        <v/>
      </c>
      <c r="Y134" s="291" t="str">
        <f t="shared" si="73"/>
        <v/>
      </c>
      <c r="Z134" s="276">
        <v>128</v>
      </c>
      <c r="AA134" s="433"/>
      <c r="AB134" s="291"/>
      <c r="AC134" s="279" t="str">
        <f t="shared" si="67"/>
        <v/>
      </c>
      <c r="AD134" s="279" t="str">
        <f t="shared" ref="AD134:AD146" si="95">IF(AND(AA134="",AC134=""),"",m*AA134+b)</f>
        <v/>
      </c>
      <c r="AE134" s="279" t="str">
        <f t="shared" si="70"/>
        <v/>
      </c>
      <c r="AF134" s="279" t="str">
        <f t="shared" si="68"/>
        <v/>
      </c>
      <c r="AG134" s="278" t="str">
        <f t="shared" ref="AG134:AG146" si="96">IF(AE134="","",AE134*AltBounce)</f>
        <v/>
      </c>
      <c r="AH134" s="278" t="str">
        <f t="shared" ref="AH134:AH146" si="97">IF(AA134="","",AE134*(1/AltBounce))</f>
        <v/>
      </c>
      <c r="AK134" s="25"/>
      <c r="AL134" s="25"/>
      <c r="AM134" s="25"/>
      <c r="AN134" s="25"/>
      <c r="AO134" s="25"/>
      <c r="AP134" s="25"/>
      <c r="AQ134" s="25"/>
      <c r="AR134" s="25"/>
      <c r="AS134" s="25"/>
      <c r="AT134" s="25"/>
      <c r="AU134" s="25"/>
      <c r="AV134" s="43"/>
      <c r="AW134" s="43"/>
      <c r="AY134" s="43"/>
      <c r="AZ134" s="43"/>
      <c r="BA134" s="43"/>
      <c r="BB134" s="43"/>
    </row>
    <row r="135" spans="1:54" ht="12.75" customHeight="1">
      <c r="A135" s="80"/>
      <c r="B135" s="264" t="str">
        <f t="shared" ref="B135:B146" si="98">CHOOSE(WEEKDAY(C135),"SUN","MON","TUE","WED","THU","FRI","SAT")</f>
        <v>WED</v>
      </c>
      <c r="C135" s="267">
        <f t="shared" ref="C135:C146" si="99">IF($C$6&gt;0,IF(MDY="Y",DATE(YEAR(C134)+1,MONTH(1),DAY(1)),IF(MDY="M",DATE(YEAR(C134),MONTH(C134)+1,DAY(1)),IF(MDY="W",DATE(YEAR(C134),MONTH(C134),DAY(C134)+7),DATE(YEAR(C134),MONTH(C134),DAY(C134)+1)))),"")</f>
        <v>44090</v>
      </c>
      <c r="D135" s="430">
        <f t="shared" si="69"/>
        <v>129</v>
      </c>
      <c r="E135" s="473"/>
      <c r="F135" s="483"/>
      <c r="G135" s="472"/>
      <c r="H135" s="472"/>
      <c r="I135" s="292" t="str">
        <f t="shared" si="86"/>
        <v/>
      </c>
      <c r="J135" s="293" t="str">
        <f t="shared" si="87"/>
        <v/>
      </c>
      <c r="K135" s="293" t="str">
        <f t="shared" si="88"/>
        <v/>
      </c>
      <c r="L135" s="293" t="str">
        <f t="shared" si="89"/>
        <v/>
      </c>
      <c r="M135" s="268"/>
      <c r="N135" s="291" t="str">
        <f t="shared" si="90"/>
        <v/>
      </c>
      <c r="O135" s="291" t="str">
        <f t="shared" si="91"/>
        <v/>
      </c>
      <c r="P135" s="291" t="str">
        <f t="shared" si="92"/>
        <v/>
      </c>
      <c r="Q135" s="324">
        <f t="shared" si="85"/>
        <v>44090</v>
      </c>
      <c r="R135" s="277">
        <v>129</v>
      </c>
      <c r="S135" s="291" t="e">
        <f t="shared" si="93"/>
        <v>#N/A</v>
      </c>
      <c r="T135" s="291"/>
      <c r="U135" s="291" t="e">
        <f t="shared" si="94"/>
        <v>#N/A</v>
      </c>
      <c r="V135" s="291" t="str">
        <f t="shared" ref="V135:V146" si="100">IF(E135&lt;&gt;"",I135,"")</f>
        <v/>
      </c>
      <c r="W135" s="291" t="str">
        <f t="shared" ref="W135:W146" si="101">IF(N135="","",N135)</f>
        <v/>
      </c>
      <c r="X135" s="291" t="str">
        <f t="shared" si="72"/>
        <v/>
      </c>
      <c r="Y135" s="291" t="str">
        <f t="shared" si="73"/>
        <v/>
      </c>
      <c r="Z135" s="276">
        <v>129</v>
      </c>
      <c r="AA135" s="433"/>
      <c r="AB135" s="291"/>
      <c r="AC135" s="279" t="str">
        <f t="shared" ref="AC135:AC146" si="102">IF(AB135="","",LOG(AB135))</f>
        <v/>
      </c>
      <c r="AD135" s="279" t="str">
        <f t="shared" si="95"/>
        <v/>
      </c>
      <c r="AE135" s="279" t="str">
        <f t="shared" si="70"/>
        <v/>
      </c>
      <c r="AF135" s="279" t="str">
        <f t="shared" ref="AF135:AF146" si="103">IF((AB135=""),"",AE135/AB135)</f>
        <v/>
      </c>
      <c r="AG135" s="278" t="str">
        <f t="shared" si="96"/>
        <v/>
      </c>
      <c r="AH135" s="278" t="str">
        <f t="shared" si="97"/>
        <v/>
      </c>
      <c r="AK135" s="25"/>
      <c r="AL135" s="25"/>
      <c r="AM135" s="25"/>
      <c r="AN135" s="25"/>
      <c r="AO135" s="25"/>
      <c r="AP135" s="25"/>
      <c r="AQ135" s="25"/>
      <c r="AR135" s="25"/>
      <c r="AS135" s="25"/>
      <c r="AT135" s="25"/>
      <c r="AU135" s="25"/>
      <c r="AV135" s="43"/>
      <c r="AW135" s="43"/>
      <c r="AY135" s="43"/>
      <c r="AZ135" s="43"/>
      <c r="BA135" s="43"/>
      <c r="BB135" s="43"/>
    </row>
    <row r="136" spans="1:54" ht="12.75" customHeight="1">
      <c r="A136" s="80"/>
      <c r="B136" s="264" t="str">
        <f t="shared" si="98"/>
        <v>THU</v>
      </c>
      <c r="C136" s="267">
        <f t="shared" si="99"/>
        <v>44091</v>
      </c>
      <c r="D136" s="430">
        <f t="shared" ref="D136:D146" si="104">D135+1</f>
        <v>130</v>
      </c>
      <c r="E136" s="473"/>
      <c r="F136" s="483"/>
      <c r="G136" s="472"/>
      <c r="H136" s="472"/>
      <c r="I136" s="292" t="str">
        <f t="shared" si="86"/>
        <v/>
      </c>
      <c r="J136" s="293" t="str">
        <f t="shared" si="87"/>
        <v/>
      </c>
      <c r="K136" s="293" t="str">
        <f t="shared" si="88"/>
        <v/>
      </c>
      <c r="L136" s="293" t="str">
        <f t="shared" si="89"/>
        <v/>
      </c>
      <c r="M136" s="268"/>
      <c r="N136" s="291" t="str">
        <f t="shared" si="90"/>
        <v/>
      </c>
      <c r="O136" s="291" t="str">
        <f t="shared" si="91"/>
        <v/>
      </c>
      <c r="P136" s="291" t="str">
        <f t="shared" si="92"/>
        <v/>
      </c>
      <c r="Q136" s="324">
        <f t="shared" si="85"/>
        <v>44091</v>
      </c>
      <c r="R136" s="277">
        <v>130</v>
      </c>
      <c r="S136" s="291" t="e">
        <f t="shared" si="93"/>
        <v>#N/A</v>
      </c>
      <c r="T136" s="291"/>
      <c r="U136" s="291" t="e">
        <f t="shared" si="94"/>
        <v>#N/A</v>
      </c>
      <c r="V136" s="291" t="str">
        <f t="shared" si="100"/>
        <v/>
      </c>
      <c r="W136" s="291" t="str">
        <f t="shared" si="101"/>
        <v/>
      </c>
      <c r="X136" s="291" t="str">
        <f t="shared" si="72"/>
        <v/>
      </c>
      <c r="Y136" s="291" t="str">
        <f t="shared" si="73"/>
        <v/>
      </c>
      <c r="Z136" s="276">
        <v>130</v>
      </c>
      <c r="AA136" s="433"/>
      <c r="AB136" s="291"/>
      <c r="AC136" s="279" t="str">
        <f t="shared" si="102"/>
        <v/>
      </c>
      <c r="AD136" s="279" t="str">
        <f t="shared" si="95"/>
        <v/>
      </c>
      <c r="AE136" s="279" t="str">
        <f t="shared" si="70"/>
        <v/>
      </c>
      <c r="AF136" s="279" t="str">
        <f t="shared" si="103"/>
        <v/>
      </c>
      <c r="AG136" s="278" t="str">
        <f t="shared" si="96"/>
        <v/>
      </c>
      <c r="AH136" s="278" t="str">
        <f t="shared" si="97"/>
        <v/>
      </c>
      <c r="AK136" s="25"/>
      <c r="AL136" s="25"/>
      <c r="AM136" s="25"/>
      <c r="AN136" s="25"/>
      <c r="AO136" s="25"/>
      <c r="AP136" s="25"/>
      <c r="AQ136" s="25"/>
      <c r="AR136" s="25"/>
      <c r="AS136" s="25"/>
      <c r="AT136" s="25"/>
      <c r="AU136" s="25"/>
      <c r="AV136" s="43"/>
      <c r="AW136" s="43"/>
      <c r="AY136" s="43"/>
      <c r="AZ136" s="43"/>
      <c r="BA136" s="43"/>
      <c r="BB136" s="43"/>
    </row>
    <row r="137" spans="1:54" ht="12.75" customHeight="1">
      <c r="A137" s="80"/>
      <c r="B137" s="264" t="str">
        <f t="shared" si="98"/>
        <v>FRI</v>
      </c>
      <c r="C137" s="267">
        <f t="shared" si="99"/>
        <v>44092</v>
      </c>
      <c r="D137" s="430">
        <f t="shared" si="104"/>
        <v>131</v>
      </c>
      <c r="E137" s="473"/>
      <c r="F137" s="483"/>
      <c r="G137" s="472"/>
      <c r="H137" s="472"/>
      <c r="I137" s="292" t="str">
        <f t="shared" si="86"/>
        <v/>
      </c>
      <c r="J137" s="293" t="str">
        <f t="shared" si="87"/>
        <v/>
      </c>
      <c r="K137" s="293" t="str">
        <f t="shared" si="88"/>
        <v/>
      </c>
      <c r="L137" s="293" t="str">
        <f t="shared" si="89"/>
        <v/>
      </c>
      <c r="M137" s="268"/>
      <c r="N137" s="291" t="str">
        <f t="shared" si="90"/>
        <v/>
      </c>
      <c r="O137" s="291" t="str">
        <f t="shared" si="91"/>
        <v/>
      </c>
      <c r="P137" s="291" t="str">
        <f t="shared" si="92"/>
        <v/>
      </c>
      <c r="Q137" s="324">
        <f t="shared" si="85"/>
        <v>44092</v>
      </c>
      <c r="R137" s="277">
        <v>131</v>
      </c>
      <c r="S137" s="291" t="e">
        <f t="shared" si="93"/>
        <v>#N/A</v>
      </c>
      <c r="T137" s="291"/>
      <c r="U137" s="291" t="e">
        <f t="shared" si="94"/>
        <v>#N/A</v>
      </c>
      <c r="V137" s="291" t="str">
        <f t="shared" si="100"/>
        <v/>
      </c>
      <c r="W137" s="291" t="str">
        <f t="shared" si="101"/>
        <v/>
      </c>
      <c r="X137" s="291" t="str">
        <f t="shared" si="72"/>
        <v/>
      </c>
      <c r="Y137" s="291" t="str">
        <f t="shared" si="73"/>
        <v/>
      </c>
      <c r="Z137" s="276">
        <v>131</v>
      </c>
      <c r="AA137" s="433"/>
      <c r="AB137" s="291"/>
      <c r="AC137" s="279" t="str">
        <f t="shared" si="102"/>
        <v/>
      </c>
      <c r="AD137" s="279" t="str">
        <f t="shared" si="95"/>
        <v/>
      </c>
      <c r="AE137" s="279" t="str">
        <f t="shared" si="70"/>
        <v/>
      </c>
      <c r="AF137" s="279" t="str">
        <f t="shared" si="103"/>
        <v/>
      </c>
      <c r="AG137" s="278" t="str">
        <f t="shared" si="96"/>
        <v/>
      </c>
      <c r="AH137" s="278" t="str">
        <f t="shared" si="97"/>
        <v/>
      </c>
      <c r="AK137" s="25"/>
      <c r="AL137" s="25"/>
      <c r="AM137" s="25"/>
      <c r="AN137" s="25"/>
      <c r="AO137" s="25"/>
      <c r="AP137" s="25"/>
      <c r="AQ137" s="25"/>
      <c r="AR137" s="25"/>
      <c r="AS137" s="25"/>
      <c r="AT137" s="25"/>
      <c r="AU137" s="25"/>
      <c r="AV137" s="43"/>
      <c r="AW137" s="43"/>
      <c r="AY137" s="43"/>
      <c r="AZ137" s="43"/>
      <c r="BA137" s="43"/>
      <c r="BB137" s="43"/>
    </row>
    <row r="138" spans="1:54" ht="12.75" customHeight="1">
      <c r="A138" s="80"/>
      <c r="B138" s="264" t="str">
        <f t="shared" si="98"/>
        <v>SAT</v>
      </c>
      <c r="C138" s="267">
        <f t="shared" si="99"/>
        <v>44093</v>
      </c>
      <c r="D138" s="430">
        <f t="shared" si="104"/>
        <v>132</v>
      </c>
      <c r="E138" s="473"/>
      <c r="F138" s="483"/>
      <c r="G138" s="472"/>
      <c r="H138" s="472"/>
      <c r="I138" s="292" t="str">
        <f t="shared" si="86"/>
        <v/>
      </c>
      <c r="J138" s="293" t="str">
        <f t="shared" si="87"/>
        <v/>
      </c>
      <c r="K138" s="293" t="str">
        <f t="shared" si="88"/>
        <v/>
      </c>
      <c r="L138" s="293" t="str">
        <f t="shared" si="89"/>
        <v/>
      </c>
      <c r="M138" s="268"/>
      <c r="N138" s="291" t="str">
        <f t="shared" si="90"/>
        <v/>
      </c>
      <c r="O138" s="291" t="str">
        <f t="shared" si="91"/>
        <v/>
      </c>
      <c r="P138" s="291" t="str">
        <f t="shared" si="92"/>
        <v/>
      </c>
      <c r="Q138" s="324">
        <f t="shared" si="85"/>
        <v>44093</v>
      </c>
      <c r="R138" s="277">
        <v>132</v>
      </c>
      <c r="S138" s="291" t="e">
        <f t="shared" si="93"/>
        <v>#N/A</v>
      </c>
      <c r="T138" s="291"/>
      <c r="U138" s="291" t="e">
        <f t="shared" si="94"/>
        <v>#N/A</v>
      </c>
      <c r="V138" s="291" t="str">
        <f t="shared" si="100"/>
        <v/>
      </c>
      <c r="W138" s="291" t="str">
        <f t="shared" si="101"/>
        <v/>
      </c>
      <c r="X138" s="291" t="str">
        <f t="shared" si="72"/>
        <v/>
      </c>
      <c r="Y138" s="291" t="str">
        <f t="shared" si="73"/>
        <v/>
      </c>
      <c r="Z138" s="276">
        <v>132</v>
      </c>
      <c r="AA138" s="433"/>
      <c r="AB138" s="291"/>
      <c r="AC138" s="279" t="str">
        <f t="shared" si="102"/>
        <v/>
      </c>
      <c r="AD138" s="279" t="str">
        <f t="shared" si="95"/>
        <v/>
      </c>
      <c r="AE138" s="279" t="str">
        <f t="shared" si="70"/>
        <v/>
      </c>
      <c r="AF138" s="279" t="str">
        <f t="shared" si="103"/>
        <v/>
      </c>
      <c r="AG138" s="278" t="str">
        <f t="shared" si="96"/>
        <v/>
      </c>
      <c r="AH138" s="278" t="str">
        <f t="shared" si="97"/>
        <v/>
      </c>
      <c r="AK138" s="25"/>
      <c r="AL138" s="25"/>
      <c r="AM138" s="25"/>
      <c r="AN138" s="25"/>
      <c r="AO138" s="25"/>
      <c r="AP138" s="25"/>
      <c r="AQ138" s="25"/>
      <c r="AR138" s="25"/>
      <c r="AS138" s="25"/>
      <c r="AT138" s="25"/>
      <c r="AU138" s="25"/>
      <c r="AV138" s="43"/>
      <c r="AW138" s="43"/>
      <c r="AY138" s="43"/>
      <c r="AZ138" s="43"/>
      <c r="BA138" s="43"/>
      <c r="BB138" s="43"/>
    </row>
    <row r="139" spans="1:54" ht="12.75" customHeight="1">
      <c r="A139" s="80"/>
      <c r="B139" s="264" t="str">
        <f t="shared" si="98"/>
        <v>SUN</v>
      </c>
      <c r="C139" s="267">
        <f t="shared" si="99"/>
        <v>44094</v>
      </c>
      <c r="D139" s="430">
        <f t="shared" si="104"/>
        <v>133</v>
      </c>
      <c r="E139" s="473"/>
      <c r="F139" s="483"/>
      <c r="G139" s="472"/>
      <c r="H139" s="472"/>
      <c r="I139" s="292" t="str">
        <f t="shared" si="86"/>
        <v/>
      </c>
      <c r="J139" s="293" t="str">
        <f t="shared" si="87"/>
        <v/>
      </c>
      <c r="K139" s="293" t="str">
        <f t="shared" si="88"/>
        <v/>
      </c>
      <c r="L139" s="293" t="str">
        <f t="shared" si="89"/>
        <v/>
      </c>
      <c r="M139" s="268"/>
      <c r="N139" s="291" t="str">
        <f t="shared" si="90"/>
        <v/>
      </c>
      <c r="O139" s="291" t="str">
        <f t="shared" si="91"/>
        <v/>
      </c>
      <c r="P139" s="291" t="str">
        <f t="shared" si="92"/>
        <v/>
      </c>
      <c r="Q139" s="324">
        <f t="shared" si="85"/>
        <v>44094</v>
      </c>
      <c r="R139" s="277">
        <v>133</v>
      </c>
      <c r="S139" s="291">
        <f t="shared" si="93"/>
        <v>100000</v>
      </c>
      <c r="T139" s="291"/>
      <c r="U139" s="291" t="str">
        <f t="shared" si="94"/>
        <v>09/20/20</v>
      </c>
      <c r="V139" s="291" t="str">
        <f t="shared" si="100"/>
        <v/>
      </c>
      <c r="W139" s="291" t="str">
        <f t="shared" si="101"/>
        <v/>
      </c>
      <c r="X139" s="291" t="str">
        <f t="shared" si="72"/>
        <v/>
      </c>
      <c r="Y139" s="291" t="str">
        <f t="shared" si="73"/>
        <v/>
      </c>
      <c r="Z139" s="276">
        <v>133</v>
      </c>
      <c r="AA139" s="433"/>
      <c r="AB139" s="291"/>
      <c r="AC139" s="279" t="str">
        <f t="shared" si="102"/>
        <v/>
      </c>
      <c r="AD139" s="279" t="str">
        <f t="shared" si="95"/>
        <v/>
      </c>
      <c r="AE139" s="279" t="str">
        <f t="shared" si="70"/>
        <v/>
      </c>
      <c r="AF139" s="279" t="str">
        <f t="shared" si="103"/>
        <v/>
      </c>
      <c r="AG139" s="278" t="str">
        <f t="shared" si="96"/>
        <v/>
      </c>
      <c r="AH139" s="278" t="str">
        <f t="shared" si="97"/>
        <v/>
      </c>
      <c r="AK139" s="25"/>
      <c r="AL139" s="25"/>
      <c r="AM139" s="25"/>
      <c r="AN139" s="25"/>
      <c r="AO139" s="25"/>
      <c r="AP139" s="25"/>
      <c r="AQ139" s="25"/>
      <c r="AR139" s="25"/>
      <c r="AS139" s="25"/>
      <c r="AT139" s="25"/>
      <c r="AU139" s="25"/>
      <c r="AV139" s="43"/>
      <c r="AW139" s="43"/>
      <c r="AY139" s="43"/>
      <c r="AZ139" s="43"/>
      <c r="BA139" s="43"/>
      <c r="BB139" s="43"/>
    </row>
    <row r="140" spans="1:54" ht="12.75" customHeight="1">
      <c r="A140" s="80"/>
      <c r="B140" s="264" t="str">
        <f t="shared" si="98"/>
        <v>MON</v>
      </c>
      <c r="C140" s="267">
        <f t="shared" si="99"/>
        <v>44095</v>
      </c>
      <c r="D140" s="430">
        <f t="shared" si="104"/>
        <v>134</v>
      </c>
      <c r="E140" s="473"/>
      <c r="F140" s="483"/>
      <c r="G140" s="472"/>
      <c r="H140" s="472"/>
      <c r="I140" s="292" t="str">
        <f t="shared" si="86"/>
        <v/>
      </c>
      <c r="J140" s="293" t="str">
        <f t="shared" si="87"/>
        <v/>
      </c>
      <c r="K140" s="293" t="str">
        <f t="shared" si="88"/>
        <v/>
      </c>
      <c r="L140" s="293" t="str">
        <f t="shared" si="89"/>
        <v/>
      </c>
      <c r="M140" s="268"/>
      <c r="N140" s="291" t="str">
        <f t="shared" si="90"/>
        <v/>
      </c>
      <c r="O140" s="291" t="str">
        <f t="shared" si="91"/>
        <v/>
      </c>
      <c r="P140" s="291" t="str">
        <f t="shared" si="92"/>
        <v/>
      </c>
      <c r="Q140" s="324">
        <f t="shared" si="85"/>
        <v>44095</v>
      </c>
      <c r="R140" s="277">
        <v>134</v>
      </c>
      <c r="S140" s="291" t="e">
        <f t="shared" si="93"/>
        <v>#N/A</v>
      </c>
      <c r="T140" s="291"/>
      <c r="U140" s="291" t="e">
        <f t="shared" si="94"/>
        <v>#N/A</v>
      </c>
      <c r="V140" s="291" t="str">
        <f t="shared" si="100"/>
        <v/>
      </c>
      <c r="W140" s="291" t="str">
        <f t="shared" si="101"/>
        <v/>
      </c>
      <c r="X140" s="291" t="str">
        <f t="shared" si="72"/>
        <v/>
      </c>
      <c r="Y140" s="291" t="str">
        <f t="shared" si="73"/>
        <v/>
      </c>
      <c r="Z140" s="276">
        <v>134</v>
      </c>
      <c r="AA140" s="433"/>
      <c r="AB140" s="291"/>
      <c r="AC140" s="279" t="str">
        <f t="shared" si="102"/>
        <v/>
      </c>
      <c r="AD140" s="279" t="str">
        <f t="shared" si="95"/>
        <v/>
      </c>
      <c r="AE140" s="279" t="str">
        <f t="shared" ref="AE140:AE146" si="105">IF(AA140="","",10^(AD140))</f>
        <v/>
      </c>
      <c r="AF140" s="279" t="str">
        <f t="shared" si="103"/>
        <v/>
      </c>
      <c r="AG140" s="278" t="str">
        <f t="shared" si="96"/>
        <v/>
      </c>
      <c r="AH140" s="278" t="str">
        <f t="shared" si="97"/>
        <v/>
      </c>
      <c r="AK140" s="25"/>
      <c r="AL140" s="25"/>
      <c r="AM140" s="25"/>
      <c r="AN140" s="25"/>
      <c r="AO140" s="25"/>
      <c r="AP140" s="25"/>
      <c r="AQ140" s="25"/>
      <c r="AR140" s="25"/>
      <c r="AS140" s="25"/>
      <c r="AT140" s="25"/>
      <c r="AU140" s="25"/>
      <c r="AV140" s="43"/>
      <c r="AW140" s="43"/>
      <c r="AY140" s="43"/>
      <c r="AZ140" s="43"/>
      <c r="BA140" s="43"/>
      <c r="BB140" s="43"/>
    </row>
    <row r="141" spans="1:54" ht="12.75" customHeight="1">
      <c r="A141" s="80"/>
      <c r="B141" s="264" t="str">
        <f t="shared" si="98"/>
        <v>TUE</v>
      </c>
      <c r="C141" s="267">
        <f t="shared" si="99"/>
        <v>44096</v>
      </c>
      <c r="D141" s="430">
        <f t="shared" si="104"/>
        <v>135</v>
      </c>
      <c r="E141" s="473"/>
      <c r="F141" s="483"/>
      <c r="G141" s="472"/>
      <c r="H141" s="472"/>
      <c r="I141" s="292" t="str">
        <f t="shared" si="86"/>
        <v/>
      </c>
      <c r="J141" s="293" t="str">
        <f t="shared" si="87"/>
        <v/>
      </c>
      <c r="K141" s="293" t="str">
        <f t="shared" si="88"/>
        <v/>
      </c>
      <c r="L141" s="293" t="str">
        <f t="shared" si="89"/>
        <v/>
      </c>
      <c r="M141" s="268"/>
      <c r="N141" s="291" t="str">
        <f t="shared" si="90"/>
        <v/>
      </c>
      <c r="O141" s="291" t="str">
        <f t="shared" si="91"/>
        <v/>
      </c>
      <c r="P141" s="291" t="str">
        <f t="shared" si="92"/>
        <v/>
      </c>
      <c r="Q141" s="324">
        <f t="shared" si="85"/>
        <v>44096</v>
      </c>
      <c r="R141" s="277">
        <v>135</v>
      </c>
      <c r="S141" s="291" t="e">
        <f t="shared" si="93"/>
        <v>#N/A</v>
      </c>
      <c r="T141" s="291"/>
      <c r="U141" s="291" t="e">
        <f t="shared" si="94"/>
        <v>#N/A</v>
      </c>
      <c r="V141" s="291" t="str">
        <f t="shared" si="100"/>
        <v/>
      </c>
      <c r="W141" s="291" t="str">
        <f t="shared" si="101"/>
        <v/>
      </c>
      <c r="X141" s="291" t="str">
        <f t="shared" si="72"/>
        <v/>
      </c>
      <c r="Y141" s="291" t="str">
        <f t="shared" si="73"/>
        <v/>
      </c>
      <c r="Z141" s="276">
        <v>135</v>
      </c>
      <c r="AA141" s="433"/>
      <c r="AB141" s="291"/>
      <c r="AC141" s="279" t="str">
        <f t="shared" si="102"/>
        <v/>
      </c>
      <c r="AD141" s="279" t="str">
        <f t="shared" si="95"/>
        <v/>
      </c>
      <c r="AE141" s="279" t="str">
        <f t="shared" si="105"/>
        <v/>
      </c>
      <c r="AF141" s="279" t="str">
        <f t="shared" si="103"/>
        <v/>
      </c>
      <c r="AG141" s="278" t="str">
        <f t="shared" si="96"/>
        <v/>
      </c>
      <c r="AH141" s="278" t="str">
        <f t="shared" si="97"/>
        <v/>
      </c>
      <c r="AK141" s="25"/>
      <c r="AL141" s="25"/>
      <c r="AM141" s="25"/>
      <c r="AN141" s="25"/>
      <c r="AO141" s="25"/>
      <c r="AP141" s="25"/>
      <c r="AQ141" s="25"/>
      <c r="AR141" s="25"/>
      <c r="AS141" s="25"/>
      <c r="AT141" s="25"/>
      <c r="AU141" s="25"/>
      <c r="AV141" s="43"/>
      <c r="AW141" s="43"/>
      <c r="AY141" s="43"/>
      <c r="AZ141" s="43"/>
      <c r="BA141" s="43"/>
      <c r="BB141" s="43"/>
    </row>
    <row r="142" spans="1:54" ht="12.75" customHeight="1">
      <c r="A142" s="80"/>
      <c r="B142" s="264" t="str">
        <f t="shared" si="98"/>
        <v>WED</v>
      </c>
      <c r="C142" s="267">
        <f t="shared" si="99"/>
        <v>44097</v>
      </c>
      <c r="D142" s="430">
        <f t="shared" si="104"/>
        <v>136</v>
      </c>
      <c r="E142" s="473"/>
      <c r="F142" s="483"/>
      <c r="G142" s="472"/>
      <c r="H142" s="472"/>
      <c r="I142" s="292" t="str">
        <f t="shared" si="86"/>
        <v/>
      </c>
      <c r="J142" s="293" t="str">
        <f t="shared" si="87"/>
        <v/>
      </c>
      <c r="K142" s="293" t="str">
        <f t="shared" si="88"/>
        <v/>
      </c>
      <c r="L142" s="293" t="str">
        <f t="shared" si="89"/>
        <v/>
      </c>
      <c r="M142" s="268"/>
      <c r="N142" s="291" t="str">
        <f t="shared" si="90"/>
        <v/>
      </c>
      <c r="O142" s="291" t="str">
        <f t="shared" si="91"/>
        <v/>
      </c>
      <c r="P142" s="291" t="str">
        <f t="shared" si="92"/>
        <v/>
      </c>
      <c r="Q142" s="324">
        <f t="shared" si="85"/>
        <v>44097</v>
      </c>
      <c r="R142" s="277">
        <v>136</v>
      </c>
      <c r="S142" s="291" t="e">
        <f t="shared" si="93"/>
        <v>#N/A</v>
      </c>
      <c r="T142" s="291"/>
      <c r="U142" s="291" t="e">
        <f t="shared" si="94"/>
        <v>#N/A</v>
      </c>
      <c r="V142" s="291" t="str">
        <f t="shared" si="100"/>
        <v/>
      </c>
      <c r="W142" s="291" t="str">
        <f t="shared" si="101"/>
        <v/>
      </c>
      <c r="X142" s="291" t="str">
        <f t="shared" si="72"/>
        <v/>
      </c>
      <c r="Y142" s="291" t="str">
        <f t="shared" si="73"/>
        <v/>
      </c>
      <c r="Z142" s="276">
        <v>136</v>
      </c>
      <c r="AA142" s="433"/>
      <c r="AB142" s="291"/>
      <c r="AC142" s="279" t="str">
        <f t="shared" si="102"/>
        <v/>
      </c>
      <c r="AD142" s="279" t="str">
        <f t="shared" si="95"/>
        <v/>
      </c>
      <c r="AE142" s="279" t="str">
        <f t="shared" si="105"/>
        <v/>
      </c>
      <c r="AF142" s="279" t="str">
        <f t="shared" si="103"/>
        <v/>
      </c>
      <c r="AG142" s="278" t="str">
        <f t="shared" si="96"/>
        <v/>
      </c>
      <c r="AH142" s="278" t="str">
        <f t="shared" si="97"/>
        <v/>
      </c>
      <c r="AK142" s="25"/>
      <c r="AL142" s="25"/>
      <c r="AM142" s="25"/>
      <c r="AN142" s="25"/>
      <c r="AO142" s="25"/>
      <c r="AP142" s="25"/>
      <c r="AQ142" s="25"/>
      <c r="AR142" s="25"/>
      <c r="AS142" s="25"/>
      <c r="AT142" s="25"/>
      <c r="AU142" s="25"/>
      <c r="AV142" s="43"/>
      <c r="AW142" s="43"/>
      <c r="AY142" s="43"/>
      <c r="AZ142" s="43"/>
      <c r="BA142" s="43"/>
      <c r="BB142" s="43"/>
    </row>
    <row r="143" spans="1:54" ht="12.75" customHeight="1">
      <c r="A143" s="80"/>
      <c r="B143" s="264" t="str">
        <f t="shared" si="98"/>
        <v>THU</v>
      </c>
      <c r="C143" s="267">
        <f t="shared" si="99"/>
        <v>44098</v>
      </c>
      <c r="D143" s="430">
        <f t="shared" si="104"/>
        <v>137</v>
      </c>
      <c r="E143" s="473"/>
      <c r="F143" s="483"/>
      <c r="G143" s="472"/>
      <c r="H143" s="472"/>
      <c r="I143" s="292" t="str">
        <f t="shared" si="86"/>
        <v/>
      </c>
      <c r="J143" s="293" t="str">
        <f t="shared" si="87"/>
        <v/>
      </c>
      <c r="K143" s="293" t="str">
        <f t="shared" si="88"/>
        <v/>
      </c>
      <c r="L143" s="293" t="str">
        <f t="shared" si="89"/>
        <v/>
      </c>
      <c r="M143" s="268"/>
      <c r="N143" s="291" t="str">
        <f t="shared" si="90"/>
        <v/>
      </c>
      <c r="O143" s="291" t="str">
        <f t="shared" si="91"/>
        <v/>
      </c>
      <c r="P143" s="291" t="str">
        <f t="shared" si="92"/>
        <v/>
      </c>
      <c r="Q143" s="324">
        <f t="shared" si="85"/>
        <v>44098</v>
      </c>
      <c r="R143" s="277">
        <v>137</v>
      </c>
      <c r="S143" s="291" t="e">
        <f t="shared" si="93"/>
        <v>#N/A</v>
      </c>
      <c r="T143" s="291"/>
      <c r="U143" s="291" t="e">
        <f t="shared" si="94"/>
        <v>#N/A</v>
      </c>
      <c r="V143" s="291" t="str">
        <f t="shared" si="100"/>
        <v/>
      </c>
      <c r="W143" s="291" t="str">
        <f t="shared" si="101"/>
        <v/>
      </c>
      <c r="X143" s="291" t="str">
        <f t="shared" si="72"/>
        <v/>
      </c>
      <c r="Y143" s="291" t="str">
        <f t="shared" si="73"/>
        <v/>
      </c>
      <c r="Z143" s="276">
        <v>137</v>
      </c>
      <c r="AA143" s="433"/>
      <c r="AB143" s="291"/>
      <c r="AC143" s="279" t="str">
        <f t="shared" si="102"/>
        <v/>
      </c>
      <c r="AD143" s="279" t="str">
        <f t="shared" si="95"/>
        <v/>
      </c>
      <c r="AE143" s="279" t="str">
        <f t="shared" si="105"/>
        <v/>
      </c>
      <c r="AF143" s="279" t="str">
        <f t="shared" si="103"/>
        <v/>
      </c>
      <c r="AG143" s="278" t="str">
        <f t="shared" si="96"/>
        <v/>
      </c>
      <c r="AH143" s="278" t="str">
        <f t="shared" si="97"/>
        <v/>
      </c>
      <c r="AK143" s="25"/>
      <c r="AL143" s="25"/>
      <c r="AM143" s="25"/>
      <c r="AN143" s="25"/>
      <c r="AO143" s="25"/>
      <c r="AP143" s="25"/>
      <c r="AQ143" s="25"/>
      <c r="AR143" s="25"/>
      <c r="AS143" s="25"/>
      <c r="AT143" s="25"/>
      <c r="AU143" s="25"/>
      <c r="AV143" s="43"/>
      <c r="AW143" s="43"/>
      <c r="AY143" s="43"/>
      <c r="AZ143" s="43"/>
      <c r="BA143" s="43"/>
      <c r="BB143" s="43"/>
    </row>
    <row r="144" spans="1:54" ht="12.75" customHeight="1">
      <c r="A144" s="80"/>
      <c r="B144" s="264" t="str">
        <f t="shared" si="98"/>
        <v>FRI</v>
      </c>
      <c r="C144" s="267">
        <f t="shared" si="99"/>
        <v>44099</v>
      </c>
      <c r="D144" s="430">
        <f t="shared" si="104"/>
        <v>138</v>
      </c>
      <c r="E144" s="473"/>
      <c r="F144" s="483"/>
      <c r="G144" s="472"/>
      <c r="H144" s="472"/>
      <c r="I144" s="292" t="str">
        <f t="shared" si="86"/>
        <v/>
      </c>
      <c r="J144" s="293" t="str">
        <f t="shared" si="87"/>
        <v/>
      </c>
      <c r="K144" s="293" t="str">
        <f t="shared" si="88"/>
        <v/>
      </c>
      <c r="L144" s="293" t="str">
        <f t="shared" si="89"/>
        <v/>
      </c>
      <c r="M144" s="268"/>
      <c r="N144" s="291" t="str">
        <f t="shared" si="90"/>
        <v/>
      </c>
      <c r="O144" s="291" t="str">
        <f t="shared" si="91"/>
        <v/>
      </c>
      <c r="P144" s="291" t="str">
        <f t="shared" si="92"/>
        <v/>
      </c>
      <c r="Q144" s="324">
        <f t="shared" si="85"/>
        <v>44099</v>
      </c>
      <c r="R144" s="277">
        <v>138</v>
      </c>
      <c r="S144" s="291" t="e">
        <f t="shared" si="93"/>
        <v>#N/A</v>
      </c>
      <c r="T144" s="291"/>
      <c r="U144" s="291" t="e">
        <f t="shared" si="94"/>
        <v>#N/A</v>
      </c>
      <c r="V144" s="291" t="str">
        <f t="shared" si="100"/>
        <v/>
      </c>
      <c r="W144" s="291" t="str">
        <f t="shared" si="101"/>
        <v/>
      </c>
      <c r="X144" s="291" t="str">
        <f t="shared" si="72"/>
        <v/>
      </c>
      <c r="Y144" s="291" t="str">
        <f t="shared" si="73"/>
        <v/>
      </c>
      <c r="Z144" s="276">
        <v>138</v>
      </c>
      <c r="AA144" s="433"/>
      <c r="AB144" s="291"/>
      <c r="AC144" s="279" t="str">
        <f t="shared" si="102"/>
        <v/>
      </c>
      <c r="AD144" s="279" t="str">
        <f t="shared" si="95"/>
        <v/>
      </c>
      <c r="AE144" s="279" t="str">
        <f t="shared" si="105"/>
        <v/>
      </c>
      <c r="AF144" s="279" t="str">
        <f t="shared" si="103"/>
        <v/>
      </c>
      <c r="AG144" s="278" t="str">
        <f t="shared" si="96"/>
        <v/>
      </c>
      <c r="AH144" s="278" t="str">
        <f t="shared" si="97"/>
        <v/>
      </c>
      <c r="AK144" s="25"/>
      <c r="AL144" s="25"/>
      <c r="AM144" s="25"/>
      <c r="AN144" s="25"/>
      <c r="AO144" s="25"/>
      <c r="AP144" s="25"/>
      <c r="AQ144" s="25"/>
      <c r="AR144" s="25"/>
      <c r="AS144" s="25"/>
      <c r="AT144" s="25"/>
      <c r="AU144" s="25"/>
      <c r="AV144" s="43"/>
      <c r="AW144" s="43"/>
      <c r="AY144" s="43"/>
      <c r="AZ144" s="43"/>
      <c r="BA144" s="43"/>
      <c r="BB144" s="43"/>
    </row>
    <row r="145" spans="1:54" ht="12.75" customHeight="1">
      <c r="A145" s="80"/>
      <c r="B145" s="264" t="str">
        <f t="shared" si="98"/>
        <v>SAT</v>
      </c>
      <c r="C145" s="267">
        <f t="shared" si="99"/>
        <v>44100</v>
      </c>
      <c r="D145" s="430">
        <f t="shared" si="104"/>
        <v>139</v>
      </c>
      <c r="E145" s="473"/>
      <c r="F145" s="483"/>
      <c r="G145" s="472"/>
      <c r="H145" s="472"/>
      <c r="I145" s="292" t="str">
        <f t="shared" si="86"/>
        <v/>
      </c>
      <c r="J145" s="293" t="str">
        <f t="shared" si="87"/>
        <v/>
      </c>
      <c r="K145" s="293" t="str">
        <f t="shared" si="88"/>
        <v/>
      </c>
      <c r="L145" s="293" t="str">
        <f t="shared" si="89"/>
        <v/>
      </c>
      <c r="M145" s="268"/>
      <c r="N145" s="291" t="str">
        <f t="shared" si="90"/>
        <v/>
      </c>
      <c r="O145" s="291" t="str">
        <f t="shared" si="91"/>
        <v/>
      </c>
      <c r="P145" s="291" t="str">
        <f t="shared" si="92"/>
        <v/>
      </c>
      <c r="Q145" s="324">
        <f t="shared" si="85"/>
        <v>44100</v>
      </c>
      <c r="R145" s="277">
        <v>139</v>
      </c>
      <c r="S145" s="291" t="e">
        <f t="shared" si="93"/>
        <v>#N/A</v>
      </c>
      <c r="T145" s="291"/>
      <c r="U145" s="291" t="e">
        <f t="shared" si="94"/>
        <v>#N/A</v>
      </c>
      <c r="V145" s="291" t="str">
        <f t="shared" si="100"/>
        <v/>
      </c>
      <c r="W145" s="291" t="str">
        <f t="shared" si="101"/>
        <v/>
      </c>
      <c r="X145" s="291" t="str">
        <f t="shared" si="72"/>
        <v/>
      </c>
      <c r="Y145" s="291" t="str">
        <f t="shared" si="73"/>
        <v/>
      </c>
      <c r="Z145" s="276">
        <v>139</v>
      </c>
      <c r="AA145" s="433"/>
      <c r="AB145" s="291"/>
      <c r="AC145" s="279" t="str">
        <f t="shared" si="102"/>
        <v/>
      </c>
      <c r="AD145" s="279" t="str">
        <f t="shared" si="95"/>
        <v/>
      </c>
      <c r="AE145" s="279" t="str">
        <f t="shared" si="105"/>
        <v/>
      </c>
      <c r="AF145" s="279" t="str">
        <f t="shared" si="103"/>
        <v/>
      </c>
      <c r="AG145" s="278" t="str">
        <f t="shared" si="96"/>
        <v/>
      </c>
      <c r="AH145" s="278" t="str">
        <f t="shared" si="97"/>
        <v/>
      </c>
      <c r="AK145" s="25"/>
      <c r="AL145" s="25"/>
      <c r="AM145" s="25"/>
      <c r="AN145" s="25"/>
      <c r="AO145" s="25"/>
      <c r="AP145" s="25"/>
      <c r="AQ145" s="25"/>
      <c r="AR145" s="25"/>
      <c r="AS145" s="25"/>
      <c r="AT145" s="25"/>
      <c r="AU145" s="25"/>
      <c r="AV145" s="43"/>
      <c r="AW145" s="43"/>
      <c r="AY145" s="43"/>
      <c r="AZ145" s="43"/>
      <c r="BA145" s="43"/>
      <c r="BB145" s="43"/>
    </row>
    <row r="146" spans="1:54" ht="12.75" customHeight="1">
      <c r="A146" s="80"/>
      <c r="B146" s="264" t="str">
        <f t="shared" si="98"/>
        <v>SUN</v>
      </c>
      <c r="C146" s="270">
        <f t="shared" si="99"/>
        <v>44101</v>
      </c>
      <c r="D146" s="431">
        <f t="shared" si="104"/>
        <v>140</v>
      </c>
      <c r="E146" s="473"/>
      <c r="F146" s="483"/>
      <c r="G146" s="472"/>
      <c r="H146" s="472"/>
      <c r="I146" s="292" t="str">
        <f t="shared" si="86"/>
        <v/>
      </c>
      <c r="J146" s="293" t="str">
        <f t="shared" si="87"/>
        <v/>
      </c>
      <c r="K146" s="294" t="str">
        <f t="shared" si="88"/>
        <v/>
      </c>
      <c r="L146" s="294" t="str">
        <f t="shared" si="89"/>
        <v/>
      </c>
      <c r="M146" s="271"/>
      <c r="N146" s="291" t="str">
        <f t="shared" si="90"/>
        <v/>
      </c>
      <c r="O146" s="291" t="str">
        <f t="shared" si="91"/>
        <v/>
      </c>
      <c r="P146" s="291" t="str">
        <f t="shared" si="92"/>
        <v/>
      </c>
      <c r="Q146" s="324">
        <f t="shared" si="85"/>
        <v>44101</v>
      </c>
      <c r="R146" s="277">
        <v>140</v>
      </c>
      <c r="S146" s="291">
        <f t="shared" si="93"/>
        <v>100000</v>
      </c>
      <c r="T146" s="291"/>
      <c r="U146" s="291" t="str">
        <f t="shared" si="94"/>
        <v>09/27/20</v>
      </c>
      <c r="V146" s="291" t="str">
        <f t="shared" si="100"/>
        <v/>
      </c>
      <c r="W146" s="291" t="str">
        <f t="shared" si="101"/>
        <v/>
      </c>
      <c r="X146" s="291" t="str">
        <f t="shared" si="72"/>
        <v/>
      </c>
      <c r="Y146" s="291" t="str">
        <f t="shared" si="73"/>
        <v/>
      </c>
      <c r="Z146" s="276">
        <v>140</v>
      </c>
      <c r="AA146" s="433"/>
      <c r="AB146" s="291"/>
      <c r="AC146" s="279" t="str">
        <f t="shared" si="102"/>
        <v/>
      </c>
      <c r="AD146" s="279" t="str">
        <f t="shared" si="95"/>
        <v/>
      </c>
      <c r="AE146" s="279" t="str">
        <f t="shared" si="105"/>
        <v/>
      </c>
      <c r="AF146" s="279" t="str">
        <f t="shared" si="103"/>
        <v/>
      </c>
      <c r="AG146" s="278" t="str">
        <f t="shared" si="96"/>
        <v/>
      </c>
      <c r="AH146" s="278" t="str">
        <f t="shared" si="97"/>
        <v/>
      </c>
      <c r="AK146" s="25"/>
      <c r="AL146" s="25"/>
      <c r="AM146" s="25"/>
      <c r="AN146" s="25"/>
      <c r="AO146" s="25"/>
      <c r="AP146" s="25"/>
      <c r="AQ146" s="25"/>
      <c r="AR146" s="25"/>
      <c r="AS146" s="25"/>
      <c r="AT146" s="25"/>
      <c r="AU146" s="25"/>
      <c r="AV146" s="43"/>
      <c r="AW146" s="43"/>
      <c r="AY146" s="43"/>
      <c r="AZ146" s="43"/>
      <c r="BA146" s="43"/>
      <c r="BB146" s="43"/>
    </row>
    <row r="147" spans="1:54" customFormat="1" ht="12.75" customHeight="1">
      <c r="E147" s="502"/>
    </row>
    <row r="148" spans="1:54" customFormat="1" ht="12.75" customHeight="1">
      <c r="E148" s="502"/>
    </row>
    <row r="149" spans="1:54" customFormat="1" ht="12.75" customHeight="1">
      <c r="E149" s="502"/>
    </row>
    <row r="150" spans="1:54" customFormat="1" ht="12.75" customHeight="1">
      <c r="E150" s="502"/>
    </row>
    <row r="151" spans="1:54" customFormat="1" ht="12.75" customHeight="1">
      <c r="E151" s="502"/>
    </row>
    <row r="152" spans="1:54" customFormat="1" ht="12.75" customHeight="1">
      <c r="E152" s="502"/>
    </row>
    <row r="153" spans="1:54" customFormat="1" ht="12.75" customHeight="1">
      <c r="E153" s="502"/>
    </row>
    <row r="154" spans="1:54" customFormat="1" ht="12.75" customHeight="1">
      <c r="E154" s="502"/>
    </row>
    <row r="155" spans="1:54" customFormat="1" ht="12.75" customHeight="1">
      <c r="E155" s="502"/>
    </row>
    <row r="156" spans="1:54" customFormat="1" ht="12.75" customHeight="1">
      <c r="E156" s="502"/>
    </row>
    <row r="157" spans="1:54" customFormat="1" ht="12.75" customHeight="1">
      <c r="E157" s="502"/>
    </row>
    <row r="158" spans="1:54" customFormat="1" ht="12.75" customHeight="1">
      <c r="E158" s="502"/>
    </row>
    <row r="159" spans="1:54" customFormat="1" ht="12.75" customHeight="1">
      <c r="E159" s="502"/>
    </row>
    <row r="160" spans="1:54" customFormat="1" ht="12.75" customHeight="1">
      <c r="E160" s="502"/>
    </row>
    <row r="161" spans="5:5" customFormat="1" ht="12.75" customHeight="1">
      <c r="E161" s="502"/>
    </row>
    <row r="162" spans="5:5" customFormat="1" ht="12.75" customHeight="1">
      <c r="E162" s="502"/>
    </row>
    <row r="163" spans="5:5" customFormat="1" ht="12.75" customHeight="1">
      <c r="E163" s="502"/>
    </row>
    <row r="164" spans="5:5" customFormat="1" ht="12.75" customHeight="1">
      <c r="E164" s="502"/>
    </row>
    <row r="165" spans="5:5" customFormat="1" ht="12.75" customHeight="1">
      <c r="E165" s="502"/>
    </row>
    <row r="166" spans="5:5" customFormat="1" ht="12.75" customHeight="1">
      <c r="E166" s="502"/>
    </row>
    <row r="167" spans="5:5" customFormat="1" ht="12.75" customHeight="1">
      <c r="E167" s="502"/>
    </row>
    <row r="168" spans="5:5" customFormat="1" ht="12.75" customHeight="1">
      <c r="E168" s="502"/>
    </row>
    <row r="169" spans="5:5" customFormat="1" ht="12.75" customHeight="1">
      <c r="E169" s="502"/>
    </row>
    <row r="170" spans="5:5" customFormat="1" ht="12.75" customHeight="1">
      <c r="E170" s="502"/>
    </row>
    <row r="171" spans="5:5" customFormat="1" ht="12.75" customHeight="1">
      <c r="E171" s="502"/>
    </row>
    <row r="172" spans="5:5" customFormat="1" ht="12.75" customHeight="1">
      <c r="E172" s="502"/>
    </row>
    <row r="173" spans="5:5" customFormat="1" ht="12.75" customHeight="1">
      <c r="E173" s="502"/>
    </row>
    <row r="174" spans="5:5" customFormat="1" ht="12.75" customHeight="1">
      <c r="E174" s="502"/>
    </row>
    <row r="175" spans="5:5" customFormat="1" ht="12.75" customHeight="1">
      <c r="E175" s="502"/>
    </row>
    <row r="176" spans="5:5" customFormat="1" ht="12.75" customHeight="1">
      <c r="E176" s="502"/>
    </row>
    <row r="177" spans="5:5" customFormat="1" ht="12.75" customHeight="1">
      <c r="E177" s="502"/>
    </row>
    <row r="178" spans="5:5" customFormat="1" ht="12.75" customHeight="1">
      <c r="E178" s="502"/>
    </row>
    <row r="179" spans="5:5" customFormat="1" ht="12.75" customHeight="1">
      <c r="E179" s="502"/>
    </row>
    <row r="180" spans="5:5" customFormat="1" ht="12.75" customHeight="1">
      <c r="E180" s="502"/>
    </row>
    <row r="181" spans="5:5" customFormat="1" ht="12.75" customHeight="1">
      <c r="E181" s="502"/>
    </row>
    <row r="182" spans="5:5" customFormat="1" ht="12.75" customHeight="1">
      <c r="E182" s="502"/>
    </row>
    <row r="183" spans="5:5" customFormat="1" ht="12.75" customHeight="1">
      <c r="E183" s="502"/>
    </row>
    <row r="184" spans="5:5" customFormat="1" ht="12.75" customHeight="1">
      <c r="E184" s="502"/>
    </row>
    <row r="185" spans="5:5" customFormat="1" ht="12.75" customHeight="1">
      <c r="E185" s="502"/>
    </row>
    <row r="186" spans="5:5" customFormat="1" ht="12.75" customHeight="1">
      <c r="E186" s="502"/>
    </row>
    <row r="187" spans="5:5" customFormat="1" ht="12.75" customHeight="1">
      <c r="E187" s="502"/>
    </row>
    <row r="188" spans="5:5" customFormat="1" ht="12.75" customHeight="1">
      <c r="E188" s="502"/>
    </row>
    <row r="189" spans="5:5" customFormat="1" ht="12.75" customHeight="1">
      <c r="E189" s="502"/>
    </row>
    <row r="190" spans="5:5" customFormat="1" ht="12.75" customHeight="1">
      <c r="E190" s="502"/>
    </row>
    <row r="191" spans="5:5" customFormat="1" ht="12.75" customHeight="1">
      <c r="E191" s="502"/>
    </row>
    <row r="192" spans="5:5" customFormat="1" ht="12.75" customHeight="1">
      <c r="E192" s="502"/>
    </row>
    <row r="193" spans="5:5" customFormat="1" ht="12.75" customHeight="1">
      <c r="E193" s="502"/>
    </row>
    <row r="194" spans="5:5" customFormat="1" ht="12.75" customHeight="1">
      <c r="E194" s="502"/>
    </row>
    <row r="195" spans="5:5" customFormat="1" ht="12.75" customHeight="1">
      <c r="E195" s="502"/>
    </row>
    <row r="196" spans="5:5" customFormat="1" ht="12.75" customHeight="1">
      <c r="E196" s="502"/>
    </row>
    <row r="197" spans="5:5" customFormat="1" ht="12.75" customHeight="1">
      <c r="E197" s="502"/>
    </row>
    <row r="198" spans="5:5" customFormat="1" ht="12.75" customHeight="1">
      <c r="E198" s="502"/>
    </row>
    <row r="199" spans="5:5" customFormat="1" ht="12.75" customHeight="1">
      <c r="E199" s="502"/>
    </row>
    <row r="200" spans="5:5" customFormat="1" ht="12.75" customHeight="1">
      <c r="E200" s="502"/>
    </row>
    <row r="201" spans="5:5" customFormat="1" ht="12.75" customHeight="1">
      <c r="E201" s="502"/>
    </row>
    <row r="202" spans="5:5" customFormat="1" ht="12.75" customHeight="1">
      <c r="E202" s="502"/>
    </row>
    <row r="203" spans="5:5" customFormat="1" ht="12.75" customHeight="1">
      <c r="E203" s="502"/>
    </row>
    <row r="204" spans="5:5" customFormat="1" ht="12.75" customHeight="1">
      <c r="E204" s="502"/>
    </row>
    <row r="205" spans="5:5" customFormat="1" ht="12.75" customHeight="1">
      <c r="E205" s="502"/>
    </row>
    <row r="206" spans="5:5" customFormat="1" ht="12.75" customHeight="1">
      <c r="E206" s="502"/>
    </row>
    <row r="207" spans="5:5" customFormat="1" ht="12.75" customHeight="1">
      <c r="E207" s="502"/>
    </row>
    <row r="208" spans="5:5" customFormat="1" ht="12.75" customHeight="1">
      <c r="E208" s="502"/>
    </row>
    <row r="209" spans="5:5" customFormat="1" ht="12.75" customHeight="1">
      <c r="E209" s="502"/>
    </row>
    <row r="210" spans="5:5" customFormat="1" ht="12.75" customHeight="1">
      <c r="E210" s="502"/>
    </row>
    <row r="211" spans="5:5" customFormat="1" ht="12.75" customHeight="1">
      <c r="E211" s="502"/>
    </row>
    <row r="212" spans="5:5" customFormat="1" ht="12.75" customHeight="1">
      <c r="E212" s="502"/>
    </row>
    <row r="213" spans="5:5" customFormat="1" ht="12.75" customHeight="1">
      <c r="E213" s="502"/>
    </row>
    <row r="214" spans="5:5" customFormat="1" ht="12.75" customHeight="1">
      <c r="E214" s="502"/>
    </row>
    <row r="215" spans="5:5" customFormat="1" ht="12.75" customHeight="1">
      <c r="E215" s="502"/>
    </row>
    <row r="216" spans="5:5" customFormat="1" ht="12.75" customHeight="1">
      <c r="E216" s="502"/>
    </row>
    <row r="217" spans="5:5" customFormat="1" ht="12.75" customHeight="1">
      <c r="E217" s="502"/>
    </row>
    <row r="218" spans="5:5" customFormat="1" ht="12.75" customHeight="1">
      <c r="E218" s="502"/>
    </row>
    <row r="219" spans="5:5" customFormat="1" ht="12.75" customHeight="1">
      <c r="E219" s="502"/>
    </row>
    <row r="220" spans="5:5" customFormat="1" ht="12.75" customHeight="1">
      <c r="E220" s="502"/>
    </row>
    <row r="221" spans="5:5" customFormat="1" ht="12.75" customHeight="1">
      <c r="E221" s="502"/>
    </row>
    <row r="222" spans="5:5" customFormat="1" ht="12.75" customHeight="1">
      <c r="E222" s="502"/>
    </row>
    <row r="223" spans="5:5" customFormat="1" ht="12.75" customHeight="1">
      <c r="E223" s="502"/>
    </row>
    <row r="224" spans="5:5" customFormat="1" ht="12.75" customHeight="1">
      <c r="E224" s="502"/>
    </row>
    <row r="225" spans="5:5" customFormat="1" ht="12.75" customHeight="1">
      <c r="E225" s="502"/>
    </row>
    <row r="226" spans="5:5" customFormat="1" ht="12.75" customHeight="1">
      <c r="E226" s="502"/>
    </row>
    <row r="227" spans="5:5" customFormat="1" ht="12.75" customHeight="1">
      <c r="E227" s="502"/>
    </row>
    <row r="228" spans="5:5" customFormat="1" ht="12.75" customHeight="1">
      <c r="E228" s="502"/>
    </row>
    <row r="229" spans="5:5" customFormat="1" ht="12.75" customHeight="1">
      <c r="E229" s="502"/>
    </row>
    <row r="230" spans="5:5" customFormat="1" ht="12.75" customHeight="1">
      <c r="E230" s="502"/>
    </row>
    <row r="231" spans="5:5" customFormat="1" ht="12.75" customHeight="1">
      <c r="E231" s="502"/>
    </row>
    <row r="232" spans="5:5" customFormat="1" ht="12.75" customHeight="1">
      <c r="E232" s="502"/>
    </row>
    <row r="233" spans="5:5" customFormat="1" ht="12.75" customHeight="1">
      <c r="E233" s="502"/>
    </row>
    <row r="234" spans="5:5" customFormat="1" ht="12.75" customHeight="1">
      <c r="E234" s="502"/>
    </row>
    <row r="235" spans="5:5" customFormat="1" ht="12.75" customHeight="1">
      <c r="E235" s="502"/>
    </row>
    <row r="236" spans="5:5" customFormat="1" ht="12.75" customHeight="1">
      <c r="E236" s="502"/>
    </row>
    <row r="237" spans="5:5" customFormat="1" ht="12.75" customHeight="1">
      <c r="E237" s="502"/>
    </row>
    <row r="238" spans="5:5" customFormat="1" ht="12.75" customHeight="1">
      <c r="E238" s="502"/>
    </row>
    <row r="239" spans="5:5" customFormat="1" ht="12.75" customHeight="1">
      <c r="E239" s="502"/>
    </row>
    <row r="240" spans="5:5" customFormat="1" ht="12.75" customHeight="1">
      <c r="E240" s="502"/>
    </row>
    <row r="241" spans="5:5" customFormat="1" ht="12.75" customHeight="1">
      <c r="E241" s="502"/>
    </row>
    <row r="242" spans="5:5" customFormat="1" ht="12.75" customHeight="1">
      <c r="E242" s="502"/>
    </row>
    <row r="243" spans="5:5" customFormat="1" ht="12.75" customHeight="1">
      <c r="E243" s="502"/>
    </row>
    <row r="244" spans="5:5" customFormat="1" ht="12.75" customHeight="1">
      <c r="E244" s="502"/>
    </row>
    <row r="245" spans="5:5" customFormat="1" ht="12.75" customHeight="1">
      <c r="E245" s="502"/>
    </row>
    <row r="246" spans="5:5" customFormat="1" ht="12.75" customHeight="1">
      <c r="E246" s="502"/>
    </row>
    <row r="247" spans="5:5" customFormat="1" ht="12.75" customHeight="1">
      <c r="E247" s="502"/>
    </row>
    <row r="248" spans="5:5" customFormat="1" ht="12.75" customHeight="1">
      <c r="E248" s="502"/>
    </row>
    <row r="249" spans="5:5" customFormat="1" ht="12.75" customHeight="1">
      <c r="E249" s="502"/>
    </row>
    <row r="250" spans="5:5" customFormat="1" ht="12.75" customHeight="1">
      <c r="E250" s="502"/>
    </row>
    <row r="251" spans="5:5" customFormat="1" ht="12.75" customHeight="1">
      <c r="E251" s="502"/>
    </row>
    <row r="252" spans="5:5" customFormat="1" ht="12.75" customHeight="1">
      <c r="E252" s="502"/>
    </row>
    <row r="253" spans="5:5" customFormat="1" ht="12.75" customHeight="1">
      <c r="E253" s="502"/>
    </row>
    <row r="254" spans="5:5" customFormat="1" ht="12.75" customHeight="1">
      <c r="E254" s="502"/>
    </row>
    <row r="255" spans="5:5" customFormat="1" ht="12.75" customHeight="1">
      <c r="E255" s="502"/>
    </row>
    <row r="256" spans="5:5" customFormat="1" ht="12.75" customHeight="1">
      <c r="E256" s="502"/>
    </row>
    <row r="257" spans="5:5" customFormat="1" ht="12.75" customHeight="1">
      <c r="E257" s="502"/>
    </row>
    <row r="258" spans="5:5" customFormat="1" ht="12.75" customHeight="1">
      <c r="E258" s="502"/>
    </row>
    <row r="259" spans="5:5" customFormat="1" ht="12.75" customHeight="1">
      <c r="E259" s="502"/>
    </row>
    <row r="260" spans="5:5" customFormat="1" ht="12.75" customHeight="1">
      <c r="E260" s="502"/>
    </row>
    <row r="261" spans="5:5" customFormat="1" ht="12.75" customHeight="1">
      <c r="E261" s="502"/>
    </row>
    <row r="262" spans="5:5" customFormat="1" ht="12.75" customHeight="1">
      <c r="E262" s="502"/>
    </row>
    <row r="263" spans="5:5" customFormat="1" ht="12.75" customHeight="1">
      <c r="E263" s="502"/>
    </row>
    <row r="264" spans="5:5" customFormat="1" ht="12.75" customHeight="1">
      <c r="E264" s="502"/>
    </row>
    <row r="265" spans="5:5" customFormat="1" ht="12.75" customHeight="1">
      <c r="E265" s="502"/>
    </row>
    <row r="266" spans="5:5" customFormat="1" ht="12.75" customHeight="1">
      <c r="E266" s="502"/>
    </row>
    <row r="267" spans="5:5" customFormat="1" ht="12.75" customHeight="1">
      <c r="E267" s="502"/>
    </row>
    <row r="268" spans="5:5" customFormat="1" ht="12.75" customHeight="1">
      <c r="E268" s="502"/>
    </row>
    <row r="269" spans="5:5" customFormat="1" ht="12.75" customHeight="1">
      <c r="E269" s="502"/>
    </row>
    <row r="270" spans="5:5" customFormat="1" ht="12.75" customHeight="1">
      <c r="E270" s="502"/>
    </row>
    <row r="271" spans="5:5" customFormat="1" ht="12.75" customHeight="1">
      <c r="E271" s="502"/>
    </row>
    <row r="272" spans="5:5" customFormat="1" ht="12.75" customHeight="1">
      <c r="E272" s="502"/>
    </row>
    <row r="273" spans="5:5" customFormat="1" ht="12.75" customHeight="1">
      <c r="E273" s="502"/>
    </row>
    <row r="274" spans="5:5" customFormat="1" ht="12.75" customHeight="1">
      <c r="E274" s="502"/>
    </row>
    <row r="275" spans="5:5" customFormat="1" ht="12.75" customHeight="1">
      <c r="E275" s="502"/>
    </row>
    <row r="276" spans="5:5" customFormat="1" ht="12.75" customHeight="1">
      <c r="E276" s="502"/>
    </row>
    <row r="277" spans="5:5" customFormat="1" ht="12.75" customHeight="1">
      <c r="E277" s="502"/>
    </row>
    <row r="278" spans="5:5" customFormat="1" ht="12.75" customHeight="1">
      <c r="E278" s="502"/>
    </row>
    <row r="279" spans="5:5" customFormat="1" ht="12.75" customHeight="1">
      <c r="E279" s="502"/>
    </row>
    <row r="280" spans="5:5" customFormat="1" ht="12.75" customHeight="1">
      <c r="E280" s="502"/>
    </row>
    <row r="281" spans="5:5" customFormat="1" ht="12.75" customHeight="1">
      <c r="E281" s="502"/>
    </row>
    <row r="282" spans="5:5" customFormat="1" ht="12.75" customHeight="1">
      <c r="E282" s="502"/>
    </row>
    <row r="283" spans="5:5" customFormat="1" ht="12.75" customHeight="1">
      <c r="E283" s="502"/>
    </row>
    <row r="284" spans="5:5" customFormat="1" ht="12.75" customHeight="1">
      <c r="E284" s="502"/>
    </row>
    <row r="285" spans="5:5" customFormat="1" ht="12.75" customHeight="1">
      <c r="E285" s="502"/>
    </row>
    <row r="286" spans="5:5" customFormat="1" ht="12.75" customHeight="1">
      <c r="E286" s="502"/>
    </row>
    <row r="287" spans="5:5" customFormat="1" ht="12.75" customHeight="1">
      <c r="E287" s="502"/>
    </row>
    <row r="288" spans="5:5" customFormat="1" ht="12.75" customHeight="1">
      <c r="E288" s="502"/>
    </row>
    <row r="289" spans="5:5" customFormat="1" ht="12.75" customHeight="1">
      <c r="E289" s="502"/>
    </row>
    <row r="290" spans="5:5" customFormat="1" ht="12.75" customHeight="1">
      <c r="E290" s="502"/>
    </row>
    <row r="291" spans="5:5" customFormat="1" ht="12.75" customHeight="1">
      <c r="E291" s="502"/>
    </row>
    <row r="292" spans="5:5" customFormat="1" ht="12.75" customHeight="1">
      <c r="E292" s="502"/>
    </row>
    <row r="293" spans="5:5" customFormat="1" ht="12.75" customHeight="1">
      <c r="E293" s="502"/>
    </row>
    <row r="294" spans="5:5" customFormat="1" ht="12.75" customHeight="1">
      <c r="E294" s="502"/>
    </row>
    <row r="295" spans="5:5" customFormat="1" ht="12.75" customHeight="1">
      <c r="E295" s="502"/>
    </row>
    <row r="296" spans="5:5" customFormat="1" ht="12.75" customHeight="1">
      <c r="E296" s="502"/>
    </row>
    <row r="297" spans="5:5" customFormat="1" ht="12.75" customHeight="1">
      <c r="E297" s="502"/>
    </row>
    <row r="298" spans="5:5" customFormat="1" ht="12.75" customHeight="1">
      <c r="E298" s="502"/>
    </row>
    <row r="299" spans="5:5" customFormat="1" ht="12.75" customHeight="1">
      <c r="E299" s="502"/>
    </row>
    <row r="300" spans="5:5" customFormat="1" ht="12.75" customHeight="1">
      <c r="E300" s="502"/>
    </row>
    <row r="301" spans="5:5" customFormat="1" ht="12.75" customHeight="1">
      <c r="E301" s="502"/>
    </row>
    <row r="302" spans="5:5" customFormat="1" ht="12.75" customHeight="1">
      <c r="E302" s="502"/>
    </row>
    <row r="303" spans="5:5" customFormat="1" ht="12.75" customHeight="1">
      <c r="E303" s="502"/>
    </row>
    <row r="304" spans="5:5" customFormat="1" ht="12.75" customHeight="1">
      <c r="E304" s="502"/>
    </row>
    <row r="305" spans="5:5" customFormat="1" ht="12.75" customHeight="1">
      <c r="E305" s="502"/>
    </row>
    <row r="306" spans="5:5" customFormat="1" ht="12.75" customHeight="1">
      <c r="E306" s="502"/>
    </row>
    <row r="307" spans="5:5" customFormat="1" ht="12.75" customHeight="1">
      <c r="E307" s="502"/>
    </row>
    <row r="308" spans="5:5" customFormat="1" ht="12.75" customHeight="1">
      <c r="E308" s="502"/>
    </row>
    <row r="309" spans="5:5" customFormat="1" ht="12.75" customHeight="1">
      <c r="E309" s="502"/>
    </row>
    <row r="310" spans="5:5" customFormat="1" ht="12.75" customHeight="1">
      <c r="E310" s="502"/>
    </row>
    <row r="311" spans="5:5" customFormat="1" ht="12.75" customHeight="1">
      <c r="E311" s="502"/>
    </row>
    <row r="312" spans="5:5" customFormat="1" ht="12.75" customHeight="1">
      <c r="E312" s="502"/>
    </row>
    <row r="313" spans="5:5" customFormat="1" ht="12.75" customHeight="1">
      <c r="E313" s="502"/>
    </row>
    <row r="314" spans="5:5" customFormat="1" ht="12.75" customHeight="1">
      <c r="E314" s="502"/>
    </row>
    <row r="315" spans="5:5" customFormat="1" ht="12.75" customHeight="1">
      <c r="E315" s="502"/>
    </row>
    <row r="316" spans="5:5" customFormat="1" ht="12.75" customHeight="1">
      <c r="E316" s="502"/>
    </row>
    <row r="317" spans="5:5" customFormat="1" ht="12.75" customHeight="1">
      <c r="E317" s="502"/>
    </row>
    <row r="318" spans="5:5" customFormat="1" ht="12.75" customHeight="1">
      <c r="E318" s="502"/>
    </row>
    <row r="319" spans="5:5" customFormat="1" ht="12.75" customHeight="1">
      <c r="E319" s="502"/>
    </row>
    <row r="320" spans="5:5" customFormat="1" ht="12.75" customHeight="1">
      <c r="E320" s="502"/>
    </row>
    <row r="321" spans="5:5" customFormat="1" ht="12.75" customHeight="1">
      <c r="E321" s="502"/>
    </row>
    <row r="322" spans="5:5" customFormat="1" ht="12.75" customHeight="1">
      <c r="E322" s="502"/>
    </row>
    <row r="323" spans="5:5" customFormat="1" ht="12.75" customHeight="1">
      <c r="E323" s="502"/>
    </row>
    <row r="324" spans="5:5" customFormat="1" ht="12.75" customHeight="1">
      <c r="E324" s="502"/>
    </row>
    <row r="325" spans="5:5" customFormat="1" ht="12.75" customHeight="1">
      <c r="E325" s="502"/>
    </row>
    <row r="326" spans="5:5" customFormat="1" ht="12.75" customHeight="1">
      <c r="E326" s="502"/>
    </row>
    <row r="327" spans="5:5" customFormat="1" ht="12.75" customHeight="1">
      <c r="E327" s="502"/>
    </row>
    <row r="328" spans="5:5" customFormat="1" ht="12.75" customHeight="1">
      <c r="E328" s="502"/>
    </row>
    <row r="329" spans="5:5" customFormat="1" ht="12.75" customHeight="1">
      <c r="E329" s="502"/>
    </row>
    <row r="330" spans="5:5" customFormat="1" ht="12.75" customHeight="1">
      <c r="E330" s="502"/>
    </row>
    <row r="331" spans="5:5" customFormat="1" ht="12.75" customHeight="1">
      <c r="E331" s="502"/>
    </row>
    <row r="332" spans="5:5" customFormat="1" ht="12.75" customHeight="1">
      <c r="E332" s="502"/>
    </row>
    <row r="333" spans="5:5" customFormat="1" ht="12.75" customHeight="1">
      <c r="E333" s="502"/>
    </row>
    <row r="334" spans="5:5" customFormat="1" ht="12.75" customHeight="1">
      <c r="E334" s="502"/>
    </row>
    <row r="335" spans="5:5" customFormat="1" ht="12.75" customHeight="1">
      <c r="E335" s="502"/>
    </row>
    <row r="336" spans="5:5" customFormat="1" ht="12.75" customHeight="1">
      <c r="E336" s="502"/>
    </row>
    <row r="337" spans="1:54" customFormat="1" ht="12.75" customHeight="1">
      <c r="E337" s="502"/>
    </row>
    <row r="338" spans="1:54" customFormat="1" ht="12.75" customHeight="1">
      <c r="E338" s="502"/>
    </row>
    <row r="339" spans="1:54" ht="12.75" customHeight="1">
      <c r="A339" s="80"/>
      <c r="B339" s="320"/>
      <c r="C339" s="272"/>
      <c r="D339" s="273"/>
      <c r="E339" s="503"/>
      <c r="F339" s="305"/>
      <c r="G339" s="265"/>
      <c r="H339" s="266"/>
      <c r="I339" s="295"/>
      <c r="J339" s="296"/>
      <c r="K339" s="296"/>
      <c r="L339" s="296"/>
      <c r="M339" s="21"/>
      <c r="N339" s="21"/>
      <c r="O339" s="21"/>
      <c r="P339" s="21"/>
      <c r="Q339" s="325"/>
      <c r="R339" s="21"/>
      <c r="S339" s="274"/>
      <c r="T339" s="21"/>
      <c r="U339" s="275"/>
      <c r="V339" s="82"/>
      <c r="Z339" s="181"/>
      <c r="AA339" s="183"/>
      <c r="AB339" s="35"/>
      <c r="AC339" s="25"/>
      <c r="AD339" s="279"/>
      <c r="AE339" s="25"/>
      <c r="AF339" s="26"/>
      <c r="AG339" s="278" t="str">
        <f t="shared" ref="AG339:AG389" si="106">IF(AE339="","",AE339*AltBounce)</f>
        <v/>
      </c>
      <c r="AH339" s="278" t="str">
        <f t="shared" ref="AH339:AH389" si="107">IF(AA339="","",AE339*(1/AltBounce))</f>
        <v/>
      </c>
      <c r="AJ339" s="25"/>
      <c r="AK339" s="25"/>
      <c r="AL339" s="25"/>
      <c r="AM339" s="25"/>
      <c r="AN339" s="25"/>
      <c r="AO339" s="25"/>
      <c r="AP339" s="25"/>
      <c r="AQ339" s="25"/>
      <c r="AR339" s="25"/>
      <c r="AS339" s="25"/>
      <c r="AT339" s="25"/>
      <c r="AU339" s="25"/>
      <c r="AV339" s="43"/>
      <c r="AW339" s="43"/>
      <c r="AX339" s="114" t="s">
        <v>76</v>
      </c>
      <c r="AY339" s="43"/>
      <c r="AZ339" s="43"/>
      <c r="BA339" s="43"/>
      <c r="BB339" s="43"/>
    </row>
    <row r="340" spans="1:54" ht="12.75" customHeight="1">
      <c r="A340" s="80"/>
      <c r="B340" s="320"/>
      <c r="C340" s="272"/>
      <c r="D340" s="273"/>
      <c r="E340" s="503"/>
      <c r="F340" s="305"/>
      <c r="G340" s="265"/>
      <c r="H340" s="266"/>
      <c r="I340" s="295"/>
      <c r="J340" s="296"/>
      <c r="K340" s="296"/>
      <c r="L340" s="296"/>
      <c r="M340" s="21"/>
      <c r="N340" s="21"/>
      <c r="O340" s="21"/>
      <c r="P340" s="21"/>
      <c r="Q340" s="325"/>
      <c r="R340" s="21"/>
      <c r="S340" s="274"/>
      <c r="T340" s="21"/>
      <c r="U340" s="275"/>
      <c r="V340" s="82"/>
      <c r="Z340" s="181"/>
      <c r="AA340" s="183"/>
      <c r="AB340" s="35"/>
      <c r="AC340" s="25"/>
      <c r="AD340" s="279"/>
      <c r="AE340" s="25"/>
      <c r="AF340" s="26"/>
      <c r="AG340" s="278" t="str">
        <f t="shared" si="106"/>
        <v/>
      </c>
      <c r="AH340" s="278" t="str">
        <f t="shared" si="107"/>
        <v/>
      </c>
      <c r="AJ340" s="25"/>
      <c r="AK340" s="25"/>
      <c r="AL340" s="25"/>
      <c r="AM340" s="25"/>
      <c r="AN340" s="25"/>
      <c r="AO340" s="25"/>
      <c r="AP340" s="25"/>
      <c r="AQ340" s="25"/>
      <c r="AR340" s="25"/>
      <c r="AS340" s="25"/>
      <c r="AT340" s="25"/>
      <c r="AU340" s="25"/>
      <c r="AV340" s="43"/>
      <c r="AW340" s="43"/>
      <c r="AX340" s="114" t="s">
        <v>76</v>
      </c>
      <c r="AY340" s="43"/>
      <c r="AZ340" s="43"/>
      <c r="BA340" s="43"/>
      <c r="BB340" s="43"/>
    </row>
    <row r="341" spans="1:54" ht="12.75" customHeight="1">
      <c r="A341" s="80"/>
      <c r="B341" s="320"/>
      <c r="C341" s="272"/>
      <c r="D341" s="273"/>
      <c r="E341" s="503"/>
      <c r="F341" s="305"/>
      <c r="G341" s="265"/>
      <c r="H341" s="266"/>
      <c r="I341" s="295"/>
      <c r="J341" s="296"/>
      <c r="K341" s="296"/>
      <c r="L341" s="296"/>
      <c r="M341" s="21"/>
      <c r="N341" s="21"/>
      <c r="O341" s="21"/>
      <c r="P341" s="21"/>
      <c r="Q341" s="325"/>
      <c r="R341" s="21"/>
      <c r="S341" s="274"/>
      <c r="T341" s="21"/>
      <c r="U341" s="275"/>
      <c r="V341" s="82"/>
      <c r="Z341" s="181"/>
      <c r="AA341" s="183"/>
      <c r="AB341" s="35"/>
      <c r="AC341" s="25"/>
      <c r="AD341" s="279"/>
      <c r="AE341" s="25"/>
      <c r="AF341" s="26"/>
      <c r="AG341" s="278" t="str">
        <f t="shared" si="106"/>
        <v/>
      </c>
      <c r="AH341" s="278" t="str">
        <f t="shared" si="107"/>
        <v/>
      </c>
      <c r="AJ341" s="25"/>
      <c r="AK341" s="25"/>
      <c r="AL341" s="25"/>
      <c r="AM341" s="25"/>
      <c r="AN341" s="25"/>
      <c r="AO341" s="25"/>
      <c r="AP341" s="25"/>
      <c r="AQ341" s="25"/>
      <c r="AR341" s="25"/>
      <c r="AS341" s="25"/>
      <c r="AT341" s="25"/>
      <c r="AU341" s="25"/>
      <c r="AV341" s="43"/>
      <c r="AW341" s="43"/>
      <c r="AX341" s="114" t="s">
        <v>76</v>
      </c>
      <c r="AY341" s="43"/>
      <c r="AZ341" s="43"/>
      <c r="BA341" s="43"/>
      <c r="BB341" s="43"/>
    </row>
    <row r="342" spans="1:54" ht="12.75" customHeight="1">
      <c r="A342" s="80"/>
      <c r="B342" s="320"/>
      <c r="C342" s="272"/>
      <c r="D342" s="273"/>
      <c r="E342" s="503"/>
      <c r="F342" s="305"/>
      <c r="G342" s="265"/>
      <c r="H342" s="266"/>
      <c r="I342" s="295"/>
      <c r="J342" s="296"/>
      <c r="K342" s="296"/>
      <c r="L342" s="296"/>
      <c r="M342" s="21"/>
      <c r="N342" s="21"/>
      <c r="O342" s="21"/>
      <c r="P342" s="21"/>
      <c r="Q342" s="325"/>
      <c r="R342" s="21"/>
      <c r="S342" s="274"/>
      <c r="T342" s="21"/>
      <c r="U342" s="275"/>
      <c r="V342" s="82"/>
      <c r="Z342" s="181"/>
      <c r="AA342" s="183"/>
      <c r="AB342" s="35"/>
      <c r="AC342" s="25"/>
      <c r="AD342" s="279"/>
      <c r="AE342" s="25"/>
      <c r="AF342" s="26"/>
      <c r="AG342" s="278" t="str">
        <f t="shared" si="106"/>
        <v/>
      </c>
      <c r="AH342" s="278" t="str">
        <f t="shared" si="107"/>
        <v/>
      </c>
      <c r="AJ342" s="25"/>
      <c r="AK342" s="25"/>
      <c r="AL342" s="25"/>
      <c r="AM342" s="25"/>
      <c r="AN342" s="25"/>
      <c r="AO342" s="25"/>
      <c r="AP342" s="25"/>
      <c r="AQ342" s="25"/>
      <c r="AR342" s="25"/>
      <c r="AS342" s="25"/>
      <c r="AT342" s="25"/>
      <c r="AU342" s="25"/>
      <c r="AV342" s="43"/>
      <c r="AW342" s="43"/>
      <c r="AX342" s="114" t="s">
        <v>76</v>
      </c>
      <c r="AY342" s="43"/>
      <c r="AZ342" s="43"/>
      <c r="BA342" s="43"/>
      <c r="BB342" s="43"/>
    </row>
    <row r="343" spans="1:54" ht="12.75" customHeight="1">
      <c r="A343" s="80"/>
      <c r="B343" s="320"/>
      <c r="C343" s="272"/>
      <c r="D343" s="273"/>
      <c r="E343" s="503"/>
      <c r="F343" s="305"/>
      <c r="G343" s="265"/>
      <c r="H343" s="266"/>
      <c r="I343" s="295"/>
      <c r="J343" s="296"/>
      <c r="K343" s="296"/>
      <c r="L343" s="296"/>
      <c r="M343" s="21"/>
      <c r="N343" s="21"/>
      <c r="O343" s="21"/>
      <c r="P343" s="21"/>
      <c r="Q343" s="325"/>
      <c r="R343" s="21"/>
      <c r="S343" s="274"/>
      <c r="T343" s="21"/>
      <c r="U343" s="275"/>
      <c r="V343" s="82"/>
      <c r="Z343" s="181"/>
      <c r="AA343" s="183"/>
      <c r="AB343" s="35"/>
      <c r="AC343" s="25"/>
      <c r="AD343" s="279"/>
      <c r="AE343" s="25"/>
      <c r="AF343" s="26"/>
      <c r="AG343" s="278" t="str">
        <f t="shared" si="106"/>
        <v/>
      </c>
      <c r="AH343" s="278" t="str">
        <f t="shared" si="107"/>
        <v/>
      </c>
      <c r="AJ343" s="25"/>
      <c r="AK343" s="25"/>
      <c r="AL343" s="25"/>
      <c r="AM343" s="25"/>
      <c r="AN343" s="25"/>
      <c r="AO343" s="25"/>
      <c r="AP343" s="25"/>
      <c r="AQ343" s="25"/>
      <c r="AR343" s="25"/>
      <c r="AS343" s="25"/>
      <c r="AT343" s="25"/>
      <c r="AU343" s="25"/>
      <c r="AV343" s="43"/>
      <c r="AW343" s="43"/>
      <c r="AX343" s="114" t="s">
        <v>76</v>
      </c>
      <c r="AY343" s="43"/>
      <c r="AZ343" s="43"/>
      <c r="BA343" s="43"/>
      <c r="BB343" s="43"/>
    </row>
    <row r="344" spans="1:54" ht="12.75" customHeight="1">
      <c r="A344" s="80"/>
      <c r="B344" s="320"/>
      <c r="C344" s="272"/>
      <c r="D344" s="273"/>
      <c r="E344" s="503"/>
      <c r="F344" s="305"/>
      <c r="G344" s="265"/>
      <c r="H344" s="266"/>
      <c r="I344" s="295"/>
      <c r="J344" s="296"/>
      <c r="K344" s="296"/>
      <c r="L344" s="296"/>
      <c r="M344" s="21"/>
      <c r="N344" s="21"/>
      <c r="O344" s="21"/>
      <c r="P344" s="21"/>
      <c r="Q344" s="325"/>
      <c r="R344" s="21"/>
      <c r="S344" s="274"/>
      <c r="T344" s="21"/>
      <c r="U344" s="275"/>
      <c r="V344" s="82"/>
      <c r="Z344" s="181"/>
      <c r="AA344" s="183"/>
      <c r="AB344" s="35"/>
      <c r="AC344" s="25"/>
      <c r="AD344" s="279"/>
      <c r="AE344" s="25"/>
      <c r="AF344" s="26"/>
      <c r="AG344" s="278" t="str">
        <f t="shared" si="106"/>
        <v/>
      </c>
      <c r="AH344" s="278" t="str">
        <f t="shared" si="107"/>
        <v/>
      </c>
      <c r="AJ344" s="25"/>
      <c r="AK344" s="25"/>
      <c r="AL344" s="25"/>
      <c r="AM344" s="25"/>
      <c r="AN344" s="25"/>
      <c r="AO344" s="25"/>
      <c r="AP344" s="25"/>
      <c r="AQ344" s="25"/>
      <c r="AR344" s="25"/>
      <c r="AS344" s="25"/>
      <c r="AT344" s="25"/>
      <c r="AU344" s="25"/>
      <c r="AV344" s="43"/>
      <c r="AW344" s="43"/>
      <c r="AX344" s="114" t="s">
        <v>76</v>
      </c>
      <c r="AY344" s="43"/>
      <c r="AZ344" s="43"/>
      <c r="BA344" s="43"/>
      <c r="BB344" s="43"/>
    </row>
    <row r="345" spans="1:54" ht="12.75" customHeight="1">
      <c r="A345" s="80"/>
      <c r="B345" s="320"/>
      <c r="C345" s="272"/>
      <c r="D345" s="273"/>
      <c r="E345" s="503"/>
      <c r="F345" s="305"/>
      <c r="G345" s="265"/>
      <c r="H345" s="266"/>
      <c r="I345" s="295"/>
      <c r="J345" s="296"/>
      <c r="K345" s="296"/>
      <c r="L345" s="296"/>
      <c r="M345" s="21"/>
      <c r="N345" s="21"/>
      <c r="O345" s="21"/>
      <c r="P345" s="21"/>
      <c r="Q345" s="325"/>
      <c r="R345" s="21"/>
      <c r="S345" s="274"/>
      <c r="T345" s="21"/>
      <c r="U345" s="275"/>
      <c r="V345" s="82"/>
      <c r="Z345" s="181"/>
      <c r="AA345" s="183"/>
      <c r="AB345" s="35"/>
      <c r="AC345" s="25"/>
      <c r="AD345" s="279"/>
      <c r="AE345" s="25"/>
      <c r="AF345" s="26"/>
      <c r="AG345" s="278" t="str">
        <f t="shared" si="106"/>
        <v/>
      </c>
      <c r="AH345" s="278" t="str">
        <f t="shared" si="107"/>
        <v/>
      </c>
      <c r="AJ345" s="25"/>
      <c r="AK345" s="25"/>
      <c r="AL345" s="25"/>
      <c r="AM345" s="25"/>
      <c r="AN345" s="25"/>
      <c r="AO345" s="25"/>
      <c r="AP345" s="25"/>
      <c r="AQ345" s="25"/>
      <c r="AR345" s="25"/>
      <c r="AS345" s="25"/>
      <c r="AT345" s="25"/>
      <c r="AU345" s="25"/>
      <c r="AV345" s="43"/>
      <c r="AW345" s="43"/>
      <c r="AX345" s="114" t="s">
        <v>76</v>
      </c>
      <c r="AY345" s="43"/>
      <c r="AZ345" s="43"/>
      <c r="BA345" s="43"/>
      <c r="BB345" s="43"/>
    </row>
    <row r="346" spans="1:54" ht="12.75" customHeight="1">
      <c r="A346" s="80"/>
      <c r="B346" s="320"/>
      <c r="C346" s="272"/>
      <c r="D346" s="273"/>
      <c r="E346" s="503"/>
      <c r="F346" s="305"/>
      <c r="G346" s="265"/>
      <c r="H346" s="266"/>
      <c r="I346" s="295"/>
      <c r="J346" s="296"/>
      <c r="K346" s="296"/>
      <c r="L346" s="296"/>
      <c r="M346" s="21"/>
      <c r="N346" s="21"/>
      <c r="O346" s="21"/>
      <c r="P346" s="21"/>
      <c r="Q346" s="325"/>
      <c r="R346" s="21"/>
      <c r="S346" s="274"/>
      <c r="T346" s="21"/>
      <c r="U346" s="275"/>
      <c r="V346" s="82"/>
      <c r="Z346" s="181"/>
      <c r="AA346" s="183"/>
      <c r="AB346" s="35"/>
      <c r="AC346" s="25"/>
      <c r="AD346" s="279"/>
      <c r="AE346" s="25"/>
      <c r="AF346" s="26"/>
      <c r="AG346" s="278" t="str">
        <f t="shared" si="106"/>
        <v/>
      </c>
      <c r="AH346" s="278" t="str">
        <f t="shared" si="107"/>
        <v/>
      </c>
      <c r="AJ346" s="25"/>
      <c r="AK346" s="25"/>
      <c r="AL346" s="25"/>
      <c r="AM346" s="25"/>
      <c r="AN346" s="25"/>
      <c r="AO346" s="25"/>
      <c r="AP346" s="25"/>
      <c r="AQ346" s="25"/>
      <c r="AR346" s="25"/>
      <c r="AS346" s="25"/>
      <c r="AT346" s="25"/>
      <c r="AU346" s="25"/>
      <c r="AV346" s="43"/>
      <c r="AW346" s="43"/>
      <c r="AX346" s="114" t="s">
        <v>76</v>
      </c>
      <c r="AY346" s="43"/>
      <c r="AZ346" s="43"/>
      <c r="BA346" s="43"/>
      <c r="BB346" s="43"/>
    </row>
    <row r="347" spans="1:54" ht="12.75" customHeight="1">
      <c r="A347" s="80"/>
      <c r="B347" s="320"/>
      <c r="C347" s="272"/>
      <c r="D347" s="273"/>
      <c r="E347" s="503"/>
      <c r="F347" s="305"/>
      <c r="G347" s="265"/>
      <c r="H347" s="266"/>
      <c r="I347" s="295"/>
      <c r="J347" s="296"/>
      <c r="K347" s="296"/>
      <c r="L347" s="296"/>
      <c r="M347" s="21"/>
      <c r="N347" s="21"/>
      <c r="O347" s="21"/>
      <c r="P347" s="21"/>
      <c r="Q347" s="325"/>
      <c r="R347" s="21"/>
      <c r="S347" s="274"/>
      <c r="T347" s="21"/>
      <c r="U347" s="275"/>
      <c r="V347" s="82"/>
      <c r="Z347" s="181"/>
      <c r="AA347" s="183"/>
      <c r="AB347" s="35"/>
      <c r="AC347" s="25"/>
      <c r="AD347" s="279"/>
      <c r="AE347" s="25"/>
      <c r="AF347" s="26"/>
      <c r="AG347" s="278" t="str">
        <f t="shared" si="106"/>
        <v/>
      </c>
      <c r="AH347" s="278" t="str">
        <f t="shared" si="107"/>
        <v/>
      </c>
      <c r="AJ347" s="25"/>
      <c r="AK347" s="25"/>
      <c r="AL347" s="25"/>
      <c r="AM347" s="25"/>
      <c r="AN347" s="25"/>
      <c r="AO347" s="25"/>
      <c r="AP347" s="25"/>
      <c r="AQ347" s="25"/>
      <c r="AR347" s="25"/>
      <c r="AS347" s="25"/>
      <c r="AT347" s="25"/>
      <c r="AU347" s="25"/>
      <c r="AV347" s="43"/>
      <c r="AW347" s="43"/>
      <c r="AX347" s="114" t="s">
        <v>76</v>
      </c>
      <c r="AY347" s="43"/>
      <c r="AZ347" s="43"/>
      <c r="BA347" s="43"/>
      <c r="BB347" s="43"/>
    </row>
    <row r="348" spans="1:54" ht="12.75" customHeight="1">
      <c r="A348" s="80"/>
      <c r="B348" s="320"/>
      <c r="C348" s="272"/>
      <c r="D348" s="273"/>
      <c r="E348" s="503"/>
      <c r="F348" s="305"/>
      <c r="G348" s="265"/>
      <c r="H348" s="266"/>
      <c r="I348" s="295"/>
      <c r="J348" s="296"/>
      <c r="K348" s="296"/>
      <c r="L348" s="296"/>
      <c r="M348" s="21"/>
      <c r="N348" s="21"/>
      <c r="O348" s="21"/>
      <c r="P348" s="21"/>
      <c r="Q348" s="325"/>
      <c r="R348" s="21"/>
      <c r="S348" s="274"/>
      <c r="T348" s="21"/>
      <c r="U348" s="275"/>
      <c r="V348" s="82"/>
      <c r="Z348" s="181"/>
      <c r="AA348" s="183"/>
      <c r="AB348" s="35"/>
      <c r="AC348" s="25"/>
      <c r="AD348" s="279"/>
      <c r="AE348" s="25"/>
      <c r="AF348" s="26"/>
      <c r="AG348" s="278" t="str">
        <f t="shared" si="106"/>
        <v/>
      </c>
      <c r="AH348" s="278" t="str">
        <f t="shared" si="107"/>
        <v/>
      </c>
      <c r="AJ348" s="25"/>
      <c r="AK348" s="25"/>
      <c r="AL348" s="25"/>
      <c r="AM348" s="25"/>
      <c r="AN348" s="25"/>
      <c r="AO348" s="25"/>
      <c r="AP348" s="25"/>
      <c r="AQ348" s="25"/>
      <c r="AR348" s="25"/>
      <c r="AS348" s="25"/>
      <c r="AT348" s="25"/>
      <c r="AU348" s="25"/>
      <c r="AV348" s="43"/>
      <c r="AW348" s="43"/>
      <c r="AX348" s="114" t="s">
        <v>76</v>
      </c>
      <c r="AY348" s="43"/>
      <c r="AZ348" s="43"/>
      <c r="BA348" s="43"/>
      <c r="BB348" s="43"/>
    </row>
    <row r="349" spans="1:54" ht="12.75" customHeight="1">
      <c r="A349" s="80"/>
      <c r="B349" s="320"/>
      <c r="C349" s="272"/>
      <c r="D349" s="273"/>
      <c r="E349" s="503"/>
      <c r="F349" s="305"/>
      <c r="G349" s="265"/>
      <c r="H349" s="266"/>
      <c r="I349" s="295"/>
      <c r="J349" s="296"/>
      <c r="K349" s="296"/>
      <c r="L349" s="296"/>
      <c r="M349" s="21"/>
      <c r="N349" s="21"/>
      <c r="O349" s="21"/>
      <c r="P349" s="21"/>
      <c r="Q349" s="325"/>
      <c r="R349" s="21"/>
      <c r="S349" s="274"/>
      <c r="T349" s="21"/>
      <c r="U349" s="275"/>
      <c r="V349" s="82"/>
      <c r="Z349" s="181"/>
      <c r="AA349" s="183"/>
      <c r="AB349" s="35"/>
      <c r="AC349" s="25"/>
      <c r="AD349" s="279"/>
      <c r="AE349" s="25"/>
      <c r="AF349" s="26"/>
      <c r="AG349" s="278" t="str">
        <f t="shared" si="106"/>
        <v/>
      </c>
      <c r="AH349" s="278" t="str">
        <f t="shared" si="107"/>
        <v/>
      </c>
      <c r="AJ349" s="25"/>
      <c r="AK349" s="25"/>
      <c r="AL349" s="25"/>
      <c r="AM349" s="25"/>
      <c r="AN349" s="25"/>
      <c r="AO349" s="25"/>
      <c r="AP349" s="25"/>
      <c r="AQ349" s="25"/>
      <c r="AR349" s="25"/>
      <c r="AS349" s="25"/>
      <c r="AT349" s="25"/>
      <c r="AU349" s="25"/>
      <c r="AV349" s="43"/>
      <c r="AW349" s="43"/>
      <c r="AX349" s="114" t="s">
        <v>76</v>
      </c>
      <c r="AY349" s="43"/>
      <c r="AZ349" s="43"/>
      <c r="BA349" s="43"/>
      <c r="BB349" s="43"/>
    </row>
    <row r="350" spans="1:54" ht="12.75" customHeight="1">
      <c r="A350" s="80"/>
      <c r="B350" s="320"/>
      <c r="C350" s="272"/>
      <c r="D350" s="273"/>
      <c r="E350" s="503"/>
      <c r="F350" s="305"/>
      <c r="G350" s="265"/>
      <c r="H350" s="266"/>
      <c r="I350" s="295"/>
      <c r="J350" s="296"/>
      <c r="K350" s="296"/>
      <c r="L350" s="296"/>
      <c r="M350" s="21"/>
      <c r="N350" s="21"/>
      <c r="O350" s="21"/>
      <c r="P350" s="21"/>
      <c r="Q350" s="325"/>
      <c r="R350" s="21"/>
      <c r="S350" s="274"/>
      <c r="T350" s="21"/>
      <c r="U350" s="275"/>
      <c r="V350" s="82"/>
      <c r="Z350" s="181"/>
      <c r="AA350" s="183"/>
      <c r="AB350" s="35"/>
      <c r="AC350" s="25"/>
      <c r="AD350" s="279"/>
      <c r="AE350" s="25"/>
      <c r="AF350" s="26"/>
      <c r="AG350" s="278" t="str">
        <f t="shared" si="106"/>
        <v/>
      </c>
      <c r="AH350" s="278" t="str">
        <f t="shared" si="107"/>
        <v/>
      </c>
      <c r="AJ350" s="25"/>
      <c r="AK350" s="25"/>
      <c r="AL350" s="25"/>
      <c r="AM350" s="25"/>
      <c r="AN350" s="25"/>
      <c r="AO350" s="25"/>
      <c r="AP350" s="25"/>
      <c r="AQ350" s="25"/>
      <c r="AR350" s="25"/>
      <c r="AS350" s="25"/>
      <c r="AT350" s="25"/>
      <c r="AU350" s="25"/>
      <c r="AV350" s="43"/>
      <c r="AW350" s="43"/>
      <c r="AX350" s="114" t="s">
        <v>76</v>
      </c>
      <c r="AY350" s="43"/>
      <c r="AZ350" s="43"/>
      <c r="BA350" s="43"/>
      <c r="BB350" s="43"/>
    </row>
    <row r="351" spans="1:54" ht="12.75" customHeight="1">
      <c r="A351" s="80"/>
      <c r="B351" s="320"/>
      <c r="C351" s="272"/>
      <c r="D351" s="273"/>
      <c r="E351" s="503"/>
      <c r="F351" s="305"/>
      <c r="G351" s="265"/>
      <c r="H351" s="266"/>
      <c r="I351" s="295"/>
      <c r="J351" s="296"/>
      <c r="K351" s="296"/>
      <c r="L351" s="296"/>
      <c r="M351" s="21"/>
      <c r="N351" s="21"/>
      <c r="O351" s="21"/>
      <c r="P351" s="21"/>
      <c r="Q351" s="325"/>
      <c r="R351" s="21"/>
      <c r="S351" s="274"/>
      <c r="T351" s="21"/>
      <c r="U351" s="275"/>
      <c r="V351" s="82"/>
      <c r="Z351" s="181"/>
      <c r="AA351" s="183"/>
      <c r="AB351" s="35"/>
      <c r="AC351" s="25"/>
      <c r="AD351" s="279"/>
      <c r="AE351" s="25"/>
      <c r="AF351" s="26"/>
      <c r="AG351" s="278" t="str">
        <f t="shared" si="106"/>
        <v/>
      </c>
      <c r="AH351" s="278" t="str">
        <f t="shared" si="107"/>
        <v/>
      </c>
      <c r="AJ351" s="25"/>
      <c r="AK351" s="25"/>
      <c r="AL351" s="25"/>
      <c r="AM351" s="25"/>
      <c r="AN351" s="25"/>
      <c r="AO351" s="25"/>
      <c r="AP351" s="25"/>
      <c r="AQ351" s="25"/>
      <c r="AR351" s="25"/>
      <c r="AS351" s="25"/>
      <c r="AT351" s="25"/>
      <c r="AU351" s="25"/>
      <c r="AV351" s="43"/>
      <c r="AW351" s="43"/>
      <c r="AX351" s="114" t="s">
        <v>76</v>
      </c>
      <c r="AY351" s="43"/>
      <c r="AZ351" s="43"/>
      <c r="BA351" s="43"/>
      <c r="BB351" s="43"/>
    </row>
    <row r="352" spans="1:54" ht="12.75" customHeight="1">
      <c r="A352" s="80"/>
      <c r="B352" s="320"/>
      <c r="C352" s="272"/>
      <c r="D352" s="273"/>
      <c r="E352" s="503"/>
      <c r="F352" s="305"/>
      <c r="G352" s="265"/>
      <c r="H352" s="266"/>
      <c r="I352" s="295"/>
      <c r="J352" s="296"/>
      <c r="K352" s="296"/>
      <c r="L352" s="296"/>
      <c r="M352" s="21"/>
      <c r="N352" s="21"/>
      <c r="O352" s="21"/>
      <c r="P352" s="21"/>
      <c r="Q352" s="325"/>
      <c r="R352" s="21"/>
      <c r="S352" s="274"/>
      <c r="T352" s="21"/>
      <c r="U352" s="275"/>
      <c r="V352" s="82"/>
      <c r="Z352" s="181"/>
      <c r="AA352" s="183"/>
      <c r="AB352" s="35"/>
      <c r="AC352" s="25"/>
      <c r="AD352" s="279"/>
      <c r="AE352" s="25"/>
      <c r="AF352" s="26"/>
      <c r="AG352" s="278" t="str">
        <f t="shared" si="106"/>
        <v/>
      </c>
      <c r="AH352" s="278" t="str">
        <f t="shared" si="107"/>
        <v/>
      </c>
      <c r="AJ352" s="25"/>
      <c r="AK352" s="25"/>
      <c r="AL352" s="25"/>
      <c r="AM352" s="25"/>
      <c r="AN352" s="25"/>
      <c r="AO352" s="25"/>
      <c r="AP352" s="25"/>
      <c r="AQ352" s="25"/>
      <c r="AR352" s="25"/>
      <c r="AS352" s="25"/>
      <c r="AT352" s="25"/>
      <c r="AU352" s="25"/>
      <c r="AV352" s="43"/>
      <c r="AW352" s="43"/>
      <c r="AX352" s="114" t="s">
        <v>76</v>
      </c>
      <c r="AY352" s="43"/>
      <c r="AZ352" s="43"/>
      <c r="BA352" s="43"/>
      <c r="BB352" s="43"/>
    </row>
    <row r="353" spans="1:54" ht="12.75" customHeight="1">
      <c r="A353" s="80"/>
      <c r="B353" s="320"/>
      <c r="C353" s="272"/>
      <c r="D353" s="273"/>
      <c r="E353" s="503"/>
      <c r="F353" s="305"/>
      <c r="G353" s="265"/>
      <c r="H353" s="266"/>
      <c r="I353" s="295"/>
      <c r="J353" s="296"/>
      <c r="K353" s="296"/>
      <c r="L353" s="296"/>
      <c r="M353" s="21"/>
      <c r="N353" s="21"/>
      <c r="O353" s="21"/>
      <c r="P353" s="21"/>
      <c r="Q353" s="325"/>
      <c r="R353" s="21"/>
      <c r="S353" s="274"/>
      <c r="T353" s="21"/>
      <c r="U353" s="275"/>
      <c r="V353" s="82"/>
      <c r="Z353" s="181"/>
      <c r="AA353" s="183"/>
      <c r="AB353" s="35"/>
      <c r="AC353" s="25"/>
      <c r="AD353" s="279"/>
      <c r="AE353" s="25"/>
      <c r="AF353" s="26"/>
      <c r="AG353" s="278" t="str">
        <f t="shared" si="106"/>
        <v/>
      </c>
      <c r="AH353" s="278" t="str">
        <f t="shared" si="107"/>
        <v/>
      </c>
      <c r="AJ353" s="25"/>
      <c r="AK353" s="25"/>
      <c r="AL353" s="25"/>
      <c r="AM353" s="25"/>
      <c r="AN353" s="25"/>
      <c r="AO353" s="25"/>
      <c r="AP353" s="25"/>
      <c r="AQ353" s="25"/>
      <c r="AR353" s="25"/>
      <c r="AS353" s="25"/>
      <c r="AT353" s="25"/>
      <c r="AU353" s="25"/>
      <c r="AV353" s="43"/>
      <c r="AW353" s="43"/>
      <c r="AX353" s="114" t="s">
        <v>76</v>
      </c>
      <c r="AY353" s="43"/>
      <c r="AZ353" s="43"/>
      <c r="BA353" s="43"/>
      <c r="BB353" s="43"/>
    </row>
    <row r="354" spans="1:54" ht="12.75" customHeight="1">
      <c r="A354" s="80"/>
      <c r="B354" s="320"/>
      <c r="C354" s="272"/>
      <c r="D354" s="273"/>
      <c r="E354" s="503"/>
      <c r="F354" s="305"/>
      <c r="G354" s="265"/>
      <c r="H354" s="266"/>
      <c r="I354" s="295"/>
      <c r="J354" s="296"/>
      <c r="K354" s="296"/>
      <c r="L354" s="296"/>
      <c r="M354" s="21"/>
      <c r="N354" s="21"/>
      <c r="O354" s="21"/>
      <c r="P354" s="21"/>
      <c r="Q354" s="325"/>
      <c r="R354" s="21"/>
      <c r="S354" s="274"/>
      <c r="T354" s="21"/>
      <c r="U354" s="275"/>
      <c r="V354" s="82"/>
      <c r="Z354" s="181"/>
      <c r="AA354" s="183"/>
      <c r="AB354" s="35"/>
      <c r="AC354" s="25"/>
      <c r="AD354" s="279"/>
      <c r="AE354" s="25"/>
      <c r="AF354" s="26"/>
      <c r="AG354" s="278" t="str">
        <f t="shared" si="106"/>
        <v/>
      </c>
      <c r="AH354" s="278" t="str">
        <f t="shared" si="107"/>
        <v/>
      </c>
      <c r="AJ354" s="25"/>
      <c r="AK354" s="25"/>
      <c r="AL354" s="25"/>
      <c r="AM354" s="25"/>
      <c r="AN354" s="25"/>
      <c r="AO354" s="25"/>
      <c r="AP354" s="25"/>
      <c r="AQ354" s="25"/>
      <c r="AR354" s="25"/>
      <c r="AS354" s="25"/>
      <c r="AT354" s="25"/>
      <c r="AU354" s="25"/>
      <c r="AV354" s="43"/>
      <c r="AW354" s="43"/>
      <c r="AX354" s="114" t="s">
        <v>76</v>
      </c>
      <c r="AY354" s="43"/>
      <c r="AZ354" s="43"/>
      <c r="BA354" s="43"/>
      <c r="BB354" s="43"/>
    </row>
    <row r="355" spans="1:54" ht="12.75" customHeight="1">
      <c r="A355" s="80"/>
      <c r="B355" s="320"/>
      <c r="C355" s="272"/>
      <c r="D355" s="273"/>
      <c r="E355" s="503"/>
      <c r="F355" s="305"/>
      <c r="G355" s="265"/>
      <c r="H355" s="266"/>
      <c r="I355" s="295"/>
      <c r="J355" s="296"/>
      <c r="K355" s="296"/>
      <c r="L355" s="296"/>
      <c r="M355" s="21"/>
      <c r="N355" s="21"/>
      <c r="O355" s="21"/>
      <c r="P355" s="21"/>
      <c r="Q355" s="325"/>
      <c r="R355" s="21"/>
      <c r="S355" s="274"/>
      <c r="T355" s="21"/>
      <c r="U355" s="275"/>
      <c r="V355" s="82"/>
      <c r="Z355" s="181"/>
      <c r="AA355" s="183"/>
      <c r="AB355" s="35"/>
      <c r="AC355" s="25"/>
      <c r="AD355" s="279"/>
      <c r="AE355" s="25"/>
      <c r="AF355" s="26"/>
      <c r="AG355" s="278" t="str">
        <f t="shared" si="106"/>
        <v/>
      </c>
      <c r="AH355" s="278" t="str">
        <f t="shared" si="107"/>
        <v/>
      </c>
      <c r="AJ355" s="25"/>
      <c r="AK355" s="25"/>
      <c r="AL355" s="25"/>
      <c r="AM355" s="25"/>
      <c r="AN355" s="25"/>
      <c r="AO355" s="25"/>
      <c r="AP355" s="25"/>
      <c r="AQ355" s="25"/>
      <c r="AR355" s="25"/>
      <c r="AS355" s="25"/>
      <c r="AT355" s="25"/>
      <c r="AU355" s="25"/>
      <c r="AV355" s="43"/>
      <c r="AW355" s="43"/>
      <c r="AX355" s="114" t="s">
        <v>76</v>
      </c>
      <c r="AY355" s="43"/>
      <c r="AZ355" s="43"/>
      <c r="BA355" s="43"/>
      <c r="BB355" s="43"/>
    </row>
    <row r="356" spans="1:54" ht="12.75" customHeight="1">
      <c r="A356" s="80"/>
      <c r="B356" s="320"/>
      <c r="C356" s="272"/>
      <c r="D356" s="273"/>
      <c r="E356" s="503"/>
      <c r="F356" s="305"/>
      <c r="G356" s="265"/>
      <c r="H356" s="266"/>
      <c r="I356" s="295"/>
      <c r="J356" s="296"/>
      <c r="K356" s="296"/>
      <c r="L356" s="296"/>
      <c r="M356" s="21"/>
      <c r="N356" s="21"/>
      <c r="O356" s="21"/>
      <c r="P356" s="21"/>
      <c r="Q356" s="325"/>
      <c r="R356" s="21"/>
      <c r="S356" s="274"/>
      <c r="T356" s="21"/>
      <c r="U356" s="275"/>
      <c r="V356" s="82"/>
      <c r="Z356" s="181"/>
      <c r="AA356" s="183"/>
      <c r="AB356" s="35"/>
      <c r="AC356" s="25"/>
      <c r="AD356" s="279"/>
      <c r="AE356" s="25"/>
      <c r="AF356" s="26"/>
      <c r="AG356" s="278" t="str">
        <f t="shared" si="106"/>
        <v/>
      </c>
      <c r="AH356" s="278" t="str">
        <f t="shared" si="107"/>
        <v/>
      </c>
      <c r="AJ356" s="25"/>
      <c r="AK356" s="25"/>
      <c r="AL356" s="25"/>
      <c r="AM356" s="25"/>
      <c r="AN356" s="25"/>
      <c r="AO356" s="25"/>
      <c r="AP356" s="25"/>
      <c r="AQ356" s="25"/>
      <c r="AR356" s="25"/>
      <c r="AS356" s="25"/>
      <c r="AT356" s="25"/>
      <c r="AU356" s="25"/>
      <c r="AV356" s="43"/>
      <c r="AW356" s="43"/>
      <c r="AX356" s="114" t="s">
        <v>76</v>
      </c>
      <c r="AY356" s="43"/>
      <c r="AZ356" s="43"/>
      <c r="BA356" s="43"/>
      <c r="BB356" s="43"/>
    </row>
    <row r="357" spans="1:54" ht="12.75" customHeight="1">
      <c r="A357" s="80"/>
      <c r="B357" s="320"/>
      <c r="C357" s="272"/>
      <c r="D357" s="273"/>
      <c r="E357" s="503"/>
      <c r="F357" s="305"/>
      <c r="G357" s="265"/>
      <c r="H357" s="266"/>
      <c r="I357" s="295"/>
      <c r="J357" s="296"/>
      <c r="K357" s="296"/>
      <c r="L357" s="296"/>
      <c r="M357" s="21"/>
      <c r="N357" s="21"/>
      <c r="O357" s="21"/>
      <c r="P357" s="21"/>
      <c r="Q357" s="325"/>
      <c r="R357" s="21"/>
      <c r="S357" s="274"/>
      <c r="T357" s="21"/>
      <c r="U357" s="275"/>
      <c r="V357" s="82"/>
      <c r="Z357" s="181"/>
      <c r="AA357" s="183"/>
      <c r="AB357" s="35"/>
      <c r="AC357" s="25"/>
      <c r="AD357" s="279"/>
      <c r="AE357" s="25"/>
      <c r="AF357" s="26"/>
      <c r="AG357" s="278" t="str">
        <f t="shared" si="106"/>
        <v/>
      </c>
      <c r="AH357" s="278" t="str">
        <f t="shared" si="107"/>
        <v/>
      </c>
      <c r="AJ357" s="25"/>
      <c r="AK357" s="25"/>
      <c r="AL357" s="25"/>
      <c r="AM357" s="25"/>
      <c r="AN357" s="25"/>
      <c r="AO357" s="25"/>
      <c r="AP357" s="25"/>
      <c r="AQ357" s="25"/>
      <c r="AR357" s="25"/>
      <c r="AS357" s="25"/>
      <c r="AT357" s="25"/>
      <c r="AU357" s="25"/>
      <c r="AV357" s="43"/>
      <c r="AW357" s="43"/>
      <c r="AX357" s="114" t="s">
        <v>76</v>
      </c>
      <c r="AY357" s="43"/>
      <c r="AZ357" s="43"/>
      <c r="BA357" s="43"/>
      <c r="BB357" s="43"/>
    </row>
    <row r="358" spans="1:54" ht="12.75" customHeight="1">
      <c r="A358" s="80"/>
      <c r="B358" s="320"/>
      <c r="C358" s="272"/>
      <c r="D358" s="273"/>
      <c r="E358" s="503"/>
      <c r="F358" s="305"/>
      <c r="G358" s="265"/>
      <c r="H358" s="266"/>
      <c r="I358" s="295"/>
      <c r="J358" s="296"/>
      <c r="K358" s="296"/>
      <c r="L358" s="296"/>
      <c r="M358" s="21"/>
      <c r="N358" s="21"/>
      <c r="O358" s="21"/>
      <c r="P358" s="21"/>
      <c r="Q358" s="325"/>
      <c r="R358" s="21"/>
      <c r="S358" s="274"/>
      <c r="T358" s="21"/>
      <c r="U358" s="275"/>
      <c r="V358" s="82"/>
      <c r="Z358" s="181"/>
      <c r="AA358" s="183"/>
      <c r="AB358" s="35"/>
      <c r="AC358" s="25"/>
      <c r="AD358" s="279"/>
      <c r="AE358" s="25"/>
      <c r="AF358" s="26"/>
      <c r="AG358" s="278" t="str">
        <f t="shared" si="106"/>
        <v/>
      </c>
      <c r="AH358" s="278" t="str">
        <f t="shared" si="107"/>
        <v/>
      </c>
      <c r="AJ358" s="25"/>
      <c r="AK358" s="25"/>
      <c r="AL358" s="25"/>
      <c r="AM358" s="25"/>
      <c r="AN358" s="25"/>
      <c r="AO358" s="25"/>
      <c r="AP358" s="25"/>
      <c r="AQ358" s="25"/>
      <c r="AR358" s="25"/>
      <c r="AS358" s="25"/>
      <c r="AT358" s="25"/>
      <c r="AU358" s="25"/>
      <c r="AV358" s="43"/>
      <c r="AW358" s="43"/>
      <c r="AX358" s="114" t="s">
        <v>76</v>
      </c>
      <c r="AY358" s="43"/>
      <c r="AZ358" s="43"/>
      <c r="BA358" s="43"/>
      <c r="BB358" s="43"/>
    </row>
    <row r="359" spans="1:54" ht="12.75" customHeight="1">
      <c r="A359" s="80"/>
      <c r="B359" s="320"/>
      <c r="C359" s="272"/>
      <c r="D359" s="273"/>
      <c r="E359" s="503"/>
      <c r="F359" s="305"/>
      <c r="G359" s="265"/>
      <c r="H359" s="266"/>
      <c r="I359" s="295"/>
      <c r="J359" s="296"/>
      <c r="K359" s="296"/>
      <c r="L359" s="296"/>
      <c r="M359" s="21"/>
      <c r="N359" s="21"/>
      <c r="O359" s="21"/>
      <c r="P359" s="21"/>
      <c r="Q359" s="325"/>
      <c r="R359" s="21"/>
      <c r="S359" s="274"/>
      <c r="T359" s="21"/>
      <c r="U359" s="275"/>
      <c r="V359" s="82"/>
      <c r="Z359" s="181"/>
      <c r="AA359" s="183"/>
      <c r="AB359" s="35"/>
      <c r="AC359" s="25"/>
      <c r="AD359" s="279"/>
      <c r="AE359" s="25"/>
      <c r="AF359" s="26"/>
      <c r="AG359" s="278" t="str">
        <f t="shared" si="106"/>
        <v/>
      </c>
      <c r="AH359" s="278" t="str">
        <f t="shared" si="107"/>
        <v/>
      </c>
      <c r="AJ359" s="25"/>
      <c r="AK359" s="25"/>
      <c r="AL359" s="25"/>
      <c r="AM359" s="25"/>
      <c r="AN359" s="25"/>
      <c r="AO359" s="25"/>
      <c r="AP359" s="25"/>
      <c r="AQ359" s="25"/>
      <c r="AR359" s="25"/>
      <c r="AS359" s="25"/>
      <c r="AT359" s="25"/>
      <c r="AU359" s="25"/>
      <c r="AV359" s="43"/>
      <c r="AW359" s="43"/>
      <c r="AX359" s="114" t="s">
        <v>76</v>
      </c>
      <c r="AY359" s="43"/>
      <c r="AZ359" s="43"/>
      <c r="BA359" s="43"/>
      <c r="BB359" s="43"/>
    </row>
    <row r="360" spans="1:54" ht="12.75" customHeight="1">
      <c r="A360" s="80"/>
      <c r="B360" s="320"/>
      <c r="C360" s="272"/>
      <c r="D360" s="273"/>
      <c r="E360" s="503"/>
      <c r="F360" s="305"/>
      <c r="G360" s="265"/>
      <c r="H360" s="266"/>
      <c r="I360" s="295"/>
      <c r="J360" s="296"/>
      <c r="K360" s="296"/>
      <c r="L360" s="296"/>
      <c r="M360" s="21"/>
      <c r="N360" s="21"/>
      <c r="O360" s="21"/>
      <c r="P360" s="21"/>
      <c r="Q360" s="325"/>
      <c r="R360" s="21"/>
      <c r="S360" s="274"/>
      <c r="T360" s="21"/>
      <c r="U360" s="275"/>
      <c r="V360" s="82"/>
      <c r="Z360" s="181"/>
      <c r="AA360" s="183"/>
      <c r="AB360" s="35"/>
      <c r="AC360" s="25"/>
      <c r="AD360" s="279"/>
      <c r="AE360" s="25"/>
      <c r="AF360" s="26"/>
      <c r="AG360" s="278" t="str">
        <f t="shared" si="106"/>
        <v/>
      </c>
      <c r="AH360" s="278" t="str">
        <f t="shared" si="107"/>
        <v/>
      </c>
      <c r="AJ360" s="25"/>
      <c r="AK360" s="25"/>
      <c r="AL360" s="25"/>
      <c r="AM360" s="25"/>
      <c r="AN360" s="25"/>
      <c r="AO360" s="25"/>
      <c r="AP360" s="25"/>
      <c r="AQ360" s="25"/>
      <c r="AR360" s="25"/>
      <c r="AS360" s="25"/>
      <c r="AT360" s="25"/>
      <c r="AU360" s="25"/>
      <c r="AV360" s="43"/>
      <c r="AW360" s="43"/>
      <c r="AX360" s="114" t="s">
        <v>76</v>
      </c>
      <c r="AY360" s="43"/>
      <c r="AZ360" s="43"/>
      <c r="BA360" s="43"/>
      <c r="BB360" s="43"/>
    </row>
    <row r="361" spans="1:54" ht="12.75" customHeight="1">
      <c r="A361" s="80"/>
      <c r="B361" s="320"/>
      <c r="C361" s="272"/>
      <c r="D361" s="273"/>
      <c r="E361" s="503"/>
      <c r="F361" s="305"/>
      <c r="G361" s="265"/>
      <c r="H361" s="266"/>
      <c r="I361" s="295"/>
      <c r="J361" s="296"/>
      <c r="K361" s="296"/>
      <c r="L361" s="296"/>
      <c r="M361" s="21"/>
      <c r="N361" s="21"/>
      <c r="O361" s="21"/>
      <c r="P361" s="21"/>
      <c r="Q361" s="325"/>
      <c r="R361" s="21"/>
      <c r="S361" s="274"/>
      <c r="T361" s="21"/>
      <c r="U361" s="275"/>
      <c r="V361" s="82"/>
      <c r="Z361" s="181"/>
      <c r="AA361" s="183"/>
      <c r="AB361" s="35"/>
      <c r="AC361" s="25"/>
      <c r="AD361" s="279"/>
      <c r="AE361" s="25"/>
      <c r="AF361" s="26"/>
      <c r="AG361" s="278" t="str">
        <f t="shared" si="106"/>
        <v/>
      </c>
      <c r="AH361" s="278" t="str">
        <f t="shared" si="107"/>
        <v/>
      </c>
      <c r="AJ361" s="25"/>
      <c r="AK361" s="25"/>
      <c r="AL361" s="25"/>
      <c r="AM361" s="25"/>
      <c r="AN361" s="25"/>
      <c r="AO361" s="25"/>
      <c r="AP361" s="25"/>
      <c r="AQ361" s="25"/>
      <c r="AR361" s="25"/>
      <c r="AS361" s="25"/>
      <c r="AT361" s="25"/>
      <c r="AU361" s="25"/>
      <c r="AV361" s="43"/>
      <c r="AW361" s="43"/>
      <c r="AX361" s="114" t="s">
        <v>76</v>
      </c>
      <c r="AY361" s="43"/>
      <c r="AZ361" s="43"/>
      <c r="BA361" s="43"/>
      <c r="BB361" s="43"/>
    </row>
    <row r="362" spans="1:54" ht="12.75" customHeight="1">
      <c r="A362" s="80"/>
      <c r="B362" s="320"/>
      <c r="C362" s="272"/>
      <c r="D362" s="273"/>
      <c r="E362" s="503"/>
      <c r="F362" s="305"/>
      <c r="G362" s="265"/>
      <c r="H362" s="266"/>
      <c r="I362" s="295"/>
      <c r="J362" s="296"/>
      <c r="K362" s="296"/>
      <c r="L362" s="296"/>
      <c r="M362" s="21"/>
      <c r="N362" s="21"/>
      <c r="O362" s="21"/>
      <c r="P362" s="21"/>
      <c r="Q362" s="325"/>
      <c r="R362" s="21"/>
      <c r="S362" s="274"/>
      <c r="T362" s="21"/>
      <c r="U362" s="275"/>
      <c r="V362" s="82"/>
      <c r="Z362" s="181"/>
      <c r="AA362" s="183"/>
      <c r="AB362" s="35"/>
      <c r="AC362" s="25"/>
      <c r="AD362" s="279"/>
      <c r="AE362" s="25"/>
      <c r="AF362" s="26"/>
      <c r="AG362" s="278" t="str">
        <f t="shared" si="106"/>
        <v/>
      </c>
      <c r="AH362" s="278" t="str">
        <f t="shared" si="107"/>
        <v/>
      </c>
      <c r="AJ362" s="25"/>
      <c r="AK362" s="25"/>
      <c r="AL362" s="25"/>
      <c r="AM362" s="25"/>
      <c r="AN362" s="25"/>
      <c r="AO362" s="25"/>
      <c r="AP362" s="25"/>
      <c r="AQ362" s="25"/>
      <c r="AR362" s="25"/>
      <c r="AS362" s="25"/>
      <c r="AT362" s="25"/>
      <c r="AU362" s="25"/>
      <c r="AV362" s="43"/>
      <c r="AW362" s="43"/>
      <c r="AX362" s="114" t="s">
        <v>76</v>
      </c>
      <c r="AY362" s="43"/>
      <c r="AZ362" s="43"/>
      <c r="BA362" s="43"/>
      <c r="BB362" s="43"/>
    </row>
    <row r="363" spans="1:54" ht="12.75" customHeight="1">
      <c r="A363" s="80"/>
      <c r="B363" s="320"/>
      <c r="C363" s="272"/>
      <c r="D363" s="273"/>
      <c r="E363" s="503"/>
      <c r="F363" s="305"/>
      <c r="G363" s="265"/>
      <c r="H363" s="266"/>
      <c r="I363" s="295"/>
      <c r="J363" s="296"/>
      <c r="K363" s="296"/>
      <c r="L363" s="296"/>
      <c r="M363" s="21"/>
      <c r="N363" s="21"/>
      <c r="O363" s="21"/>
      <c r="P363" s="21"/>
      <c r="Q363" s="325"/>
      <c r="R363" s="21"/>
      <c r="S363" s="274"/>
      <c r="T363" s="21"/>
      <c r="U363" s="275"/>
      <c r="V363" s="82"/>
      <c r="Z363" s="181"/>
      <c r="AA363" s="183"/>
      <c r="AB363" s="35"/>
      <c r="AC363" s="25"/>
      <c r="AD363" s="279"/>
      <c r="AE363" s="25"/>
      <c r="AF363" s="26"/>
      <c r="AG363" s="278" t="str">
        <f t="shared" si="106"/>
        <v/>
      </c>
      <c r="AH363" s="278" t="str">
        <f t="shared" si="107"/>
        <v/>
      </c>
      <c r="AJ363" s="25"/>
      <c r="AK363" s="25"/>
      <c r="AL363" s="25"/>
      <c r="AM363" s="25"/>
      <c r="AN363" s="25"/>
      <c r="AO363" s="25"/>
      <c r="AP363" s="25"/>
      <c r="AQ363" s="25"/>
      <c r="AR363" s="25"/>
      <c r="AS363" s="25"/>
      <c r="AT363" s="25"/>
      <c r="AU363" s="25"/>
      <c r="AV363" s="43"/>
      <c r="AW363" s="43"/>
      <c r="AX363" s="114" t="s">
        <v>76</v>
      </c>
      <c r="AY363" s="43"/>
      <c r="AZ363" s="43"/>
      <c r="BA363" s="43"/>
      <c r="BB363" s="43"/>
    </row>
    <row r="364" spans="1:54" ht="12.75" customHeight="1">
      <c r="A364" s="80"/>
      <c r="B364" s="320"/>
      <c r="C364" s="272"/>
      <c r="D364" s="273"/>
      <c r="E364" s="503"/>
      <c r="F364" s="305"/>
      <c r="G364" s="265"/>
      <c r="H364" s="266"/>
      <c r="I364" s="295"/>
      <c r="J364" s="296"/>
      <c r="K364" s="296"/>
      <c r="L364" s="296"/>
      <c r="M364" s="21"/>
      <c r="N364" s="21"/>
      <c r="O364" s="21"/>
      <c r="P364" s="21"/>
      <c r="Q364" s="325"/>
      <c r="R364" s="21"/>
      <c r="S364" s="274"/>
      <c r="T364" s="21"/>
      <c r="U364" s="275"/>
      <c r="V364" s="82"/>
      <c r="Z364" s="181"/>
      <c r="AA364" s="183"/>
      <c r="AB364" s="35"/>
      <c r="AC364" s="25"/>
      <c r="AD364" s="279"/>
      <c r="AE364" s="25"/>
      <c r="AF364" s="26"/>
      <c r="AG364" s="278" t="str">
        <f t="shared" si="106"/>
        <v/>
      </c>
      <c r="AH364" s="278" t="str">
        <f t="shared" si="107"/>
        <v/>
      </c>
      <c r="AJ364" s="25"/>
      <c r="AK364" s="25"/>
      <c r="AL364" s="25"/>
      <c r="AM364" s="25"/>
      <c r="AN364" s="25"/>
      <c r="AO364" s="25"/>
      <c r="AP364" s="25"/>
      <c r="AQ364" s="25"/>
      <c r="AR364" s="25"/>
      <c r="AS364" s="25"/>
      <c r="AT364" s="25"/>
      <c r="AU364" s="25"/>
      <c r="AV364" s="43"/>
      <c r="AW364" s="43"/>
      <c r="AX364" s="114" t="s">
        <v>76</v>
      </c>
      <c r="AY364" s="43"/>
      <c r="AZ364" s="43"/>
      <c r="BA364" s="43"/>
      <c r="BB364" s="43"/>
    </row>
    <row r="365" spans="1:54" ht="12.75" customHeight="1">
      <c r="A365" s="80"/>
      <c r="B365" s="320"/>
      <c r="C365" s="272"/>
      <c r="D365" s="273"/>
      <c r="E365" s="503"/>
      <c r="F365" s="305"/>
      <c r="G365" s="265"/>
      <c r="H365" s="266"/>
      <c r="I365" s="295"/>
      <c r="J365" s="296"/>
      <c r="K365" s="296"/>
      <c r="L365" s="296"/>
      <c r="M365" s="21"/>
      <c r="N365" s="21"/>
      <c r="O365" s="21"/>
      <c r="P365" s="21"/>
      <c r="Q365" s="325"/>
      <c r="R365" s="21"/>
      <c r="S365" s="274"/>
      <c r="T365" s="21"/>
      <c r="U365" s="275"/>
      <c r="V365" s="82"/>
      <c r="Z365" s="181"/>
      <c r="AA365" s="183"/>
      <c r="AB365" s="35"/>
      <c r="AC365" s="25"/>
      <c r="AD365" s="279"/>
      <c r="AE365" s="25"/>
      <c r="AF365" s="26"/>
      <c r="AG365" s="278" t="str">
        <f t="shared" si="106"/>
        <v/>
      </c>
      <c r="AH365" s="278" t="str">
        <f t="shared" si="107"/>
        <v/>
      </c>
      <c r="AJ365" s="25"/>
      <c r="AK365" s="25"/>
      <c r="AL365" s="25"/>
      <c r="AM365" s="25"/>
      <c r="AN365" s="25"/>
      <c r="AO365" s="25"/>
      <c r="AP365" s="25"/>
      <c r="AQ365" s="25"/>
      <c r="AR365" s="25"/>
      <c r="AS365" s="25"/>
      <c r="AT365" s="25"/>
      <c r="AU365" s="25"/>
      <c r="AV365" s="43"/>
      <c r="AW365" s="43"/>
      <c r="AX365" s="114" t="s">
        <v>76</v>
      </c>
      <c r="AY365" s="43"/>
      <c r="AZ365" s="43"/>
      <c r="BA365" s="43"/>
      <c r="BB365" s="43"/>
    </row>
    <row r="366" spans="1:54" ht="12.75" customHeight="1">
      <c r="A366" s="80"/>
      <c r="B366" s="320"/>
      <c r="C366" s="272"/>
      <c r="D366" s="273"/>
      <c r="E366" s="503"/>
      <c r="F366" s="305"/>
      <c r="G366" s="265"/>
      <c r="H366" s="266"/>
      <c r="I366" s="295"/>
      <c r="J366" s="296"/>
      <c r="K366" s="296"/>
      <c r="L366" s="296"/>
      <c r="M366" s="21"/>
      <c r="N366" s="21"/>
      <c r="O366" s="21"/>
      <c r="P366" s="21"/>
      <c r="Q366" s="325"/>
      <c r="R366" s="21"/>
      <c r="S366" s="274"/>
      <c r="T366" s="21"/>
      <c r="U366" s="275"/>
      <c r="V366" s="82"/>
      <c r="Z366" s="181"/>
      <c r="AA366" s="183"/>
      <c r="AB366" s="35"/>
      <c r="AC366" s="25"/>
      <c r="AD366" s="279"/>
      <c r="AE366" s="25"/>
      <c r="AF366" s="26"/>
      <c r="AG366" s="278" t="str">
        <f t="shared" si="106"/>
        <v/>
      </c>
      <c r="AH366" s="278" t="str">
        <f t="shared" si="107"/>
        <v/>
      </c>
      <c r="AJ366" s="25"/>
      <c r="AK366" s="25"/>
      <c r="AL366" s="25"/>
      <c r="AM366" s="25"/>
      <c r="AN366" s="25"/>
      <c r="AO366" s="25"/>
      <c r="AP366" s="25"/>
      <c r="AQ366" s="25"/>
      <c r="AR366" s="25"/>
      <c r="AS366" s="25"/>
      <c r="AT366" s="25"/>
      <c r="AU366" s="25"/>
      <c r="AV366" s="43"/>
      <c r="AW366" s="43"/>
      <c r="AX366" s="114" t="s">
        <v>76</v>
      </c>
      <c r="AY366" s="43"/>
      <c r="AZ366" s="43"/>
      <c r="BA366" s="43"/>
      <c r="BB366" s="43"/>
    </row>
    <row r="367" spans="1:54" ht="12.75" customHeight="1">
      <c r="A367" s="80"/>
      <c r="B367" s="320"/>
      <c r="C367" s="272"/>
      <c r="D367" s="273"/>
      <c r="E367" s="503"/>
      <c r="F367" s="305"/>
      <c r="G367" s="265"/>
      <c r="H367" s="266"/>
      <c r="I367" s="295"/>
      <c r="J367" s="296"/>
      <c r="K367" s="296"/>
      <c r="L367" s="296"/>
      <c r="M367" s="21"/>
      <c r="N367" s="21"/>
      <c r="O367" s="21"/>
      <c r="P367" s="21"/>
      <c r="Q367" s="325"/>
      <c r="R367" s="21"/>
      <c r="S367" s="274"/>
      <c r="T367" s="21"/>
      <c r="U367" s="275"/>
      <c r="V367" s="82"/>
      <c r="Z367" s="181"/>
      <c r="AA367" s="183"/>
      <c r="AB367" s="35"/>
      <c r="AC367" s="25"/>
      <c r="AD367" s="279"/>
      <c r="AE367" s="25"/>
      <c r="AF367" s="26"/>
      <c r="AG367" s="278" t="str">
        <f t="shared" si="106"/>
        <v/>
      </c>
      <c r="AH367" s="278" t="str">
        <f t="shared" si="107"/>
        <v/>
      </c>
      <c r="AJ367" s="25"/>
      <c r="AK367" s="25"/>
      <c r="AL367" s="25"/>
      <c r="AM367" s="25"/>
      <c r="AN367" s="25"/>
      <c r="AO367" s="25"/>
      <c r="AP367" s="25"/>
      <c r="AQ367" s="25"/>
      <c r="AR367" s="25"/>
      <c r="AS367" s="25"/>
      <c r="AT367" s="25"/>
      <c r="AU367" s="25"/>
      <c r="AV367" s="43"/>
      <c r="AW367" s="43"/>
      <c r="AX367" s="114" t="s">
        <v>76</v>
      </c>
      <c r="AY367" s="43"/>
      <c r="AZ367" s="43"/>
      <c r="BA367" s="43"/>
      <c r="BB367" s="43"/>
    </row>
    <row r="368" spans="1:54" ht="12.75" customHeight="1">
      <c r="A368" s="80"/>
      <c r="B368" s="320"/>
      <c r="C368" s="272"/>
      <c r="D368" s="273"/>
      <c r="E368" s="503"/>
      <c r="F368" s="305"/>
      <c r="G368" s="265"/>
      <c r="H368" s="266"/>
      <c r="I368" s="295"/>
      <c r="J368" s="296"/>
      <c r="K368" s="296"/>
      <c r="L368" s="296"/>
      <c r="M368" s="21"/>
      <c r="N368" s="21"/>
      <c r="O368" s="21"/>
      <c r="P368" s="21"/>
      <c r="Q368" s="325"/>
      <c r="R368" s="21"/>
      <c r="S368" s="274"/>
      <c r="T368" s="21"/>
      <c r="U368" s="275"/>
      <c r="V368" s="82"/>
      <c r="Z368" s="181"/>
      <c r="AA368" s="183"/>
      <c r="AB368" s="35"/>
      <c r="AC368" s="25"/>
      <c r="AD368" s="279"/>
      <c r="AE368" s="25"/>
      <c r="AF368" s="26"/>
      <c r="AG368" s="278" t="str">
        <f t="shared" si="106"/>
        <v/>
      </c>
      <c r="AH368" s="278" t="str">
        <f t="shared" si="107"/>
        <v/>
      </c>
      <c r="AJ368" s="25"/>
      <c r="AK368" s="25"/>
      <c r="AL368" s="25"/>
      <c r="AM368" s="25"/>
      <c r="AN368" s="25"/>
      <c r="AO368" s="25"/>
      <c r="AP368" s="25"/>
      <c r="AQ368" s="25"/>
      <c r="AR368" s="25"/>
      <c r="AS368" s="25"/>
      <c r="AT368" s="25"/>
      <c r="AU368" s="25"/>
      <c r="AV368" s="43"/>
      <c r="AW368" s="43"/>
      <c r="AX368" s="114" t="s">
        <v>76</v>
      </c>
      <c r="AY368" s="43"/>
      <c r="AZ368" s="43"/>
      <c r="BA368" s="43"/>
      <c r="BB368" s="43"/>
    </row>
    <row r="369" spans="1:54" ht="12.75" customHeight="1">
      <c r="A369" s="80"/>
      <c r="B369" s="320"/>
      <c r="C369" s="272"/>
      <c r="D369" s="273"/>
      <c r="E369" s="503"/>
      <c r="F369" s="305"/>
      <c r="G369" s="265"/>
      <c r="H369" s="266"/>
      <c r="I369" s="295"/>
      <c r="J369" s="296"/>
      <c r="K369" s="296"/>
      <c r="L369" s="296"/>
      <c r="M369" s="21"/>
      <c r="N369" s="21"/>
      <c r="O369" s="21"/>
      <c r="P369" s="21"/>
      <c r="Q369" s="325"/>
      <c r="R369" s="21"/>
      <c r="S369" s="274"/>
      <c r="T369" s="21"/>
      <c r="U369" s="275"/>
      <c r="V369" s="82"/>
      <c r="Z369" s="181"/>
      <c r="AA369" s="183"/>
      <c r="AB369" s="35"/>
      <c r="AC369" s="25"/>
      <c r="AD369" s="279"/>
      <c r="AE369" s="25"/>
      <c r="AF369" s="26"/>
      <c r="AG369" s="278" t="str">
        <f t="shared" si="106"/>
        <v/>
      </c>
      <c r="AH369" s="278" t="str">
        <f t="shared" si="107"/>
        <v/>
      </c>
      <c r="AJ369" s="25"/>
      <c r="AK369" s="25"/>
      <c r="AL369" s="25"/>
      <c r="AM369" s="25"/>
      <c r="AN369" s="25"/>
      <c r="AO369" s="25"/>
      <c r="AP369" s="25"/>
      <c r="AQ369" s="25"/>
      <c r="AR369" s="25"/>
      <c r="AS369" s="25"/>
      <c r="AT369" s="25"/>
      <c r="AU369" s="25"/>
      <c r="AV369" s="43"/>
      <c r="AW369" s="43"/>
      <c r="AX369" s="114" t="s">
        <v>76</v>
      </c>
      <c r="AY369" s="43"/>
      <c r="AZ369" s="43"/>
      <c r="BA369" s="43"/>
      <c r="BB369" s="43"/>
    </row>
    <row r="370" spans="1:54" ht="12.75" customHeight="1">
      <c r="A370" s="80"/>
      <c r="B370" s="320"/>
      <c r="C370" s="272"/>
      <c r="D370" s="273"/>
      <c r="E370" s="503"/>
      <c r="F370" s="305"/>
      <c r="G370" s="265"/>
      <c r="H370" s="266"/>
      <c r="I370" s="295"/>
      <c r="J370" s="296"/>
      <c r="K370" s="296"/>
      <c r="L370" s="296"/>
      <c r="M370" s="21"/>
      <c r="N370" s="21"/>
      <c r="O370" s="21"/>
      <c r="P370" s="21"/>
      <c r="Q370" s="325"/>
      <c r="R370" s="21"/>
      <c r="S370" s="274"/>
      <c r="T370" s="21"/>
      <c r="U370" s="275"/>
      <c r="V370" s="82"/>
      <c r="Z370" s="181"/>
      <c r="AA370" s="183"/>
      <c r="AB370" s="35"/>
      <c r="AC370" s="25"/>
      <c r="AD370" s="279"/>
      <c r="AE370" s="25"/>
      <c r="AF370" s="26"/>
      <c r="AG370" s="278" t="str">
        <f t="shared" si="106"/>
        <v/>
      </c>
      <c r="AH370" s="278" t="str">
        <f t="shared" si="107"/>
        <v/>
      </c>
      <c r="AJ370" s="25"/>
      <c r="AK370" s="25"/>
      <c r="AL370" s="25"/>
      <c r="AM370" s="25"/>
      <c r="AN370" s="25"/>
      <c r="AO370" s="25"/>
      <c r="AP370" s="25"/>
      <c r="AQ370" s="25"/>
      <c r="AR370" s="25"/>
      <c r="AS370" s="25"/>
      <c r="AT370" s="25"/>
      <c r="AU370" s="25"/>
      <c r="AV370" s="43"/>
      <c r="AW370" s="43"/>
      <c r="AX370" s="114" t="s">
        <v>76</v>
      </c>
      <c r="AY370" s="43"/>
      <c r="AZ370" s="43"/>
      <c r="BA370" s="43"/>
      <c r="BB370" s="43"/>
    </row>
    <row r="371" spans="1:54" ht="12.75" customHeight="1">
      <c r="A371" s="80"/>
      <c r="B371" s="320"/>
      <c r="C371" s="272"/>
      <c r="D371" s="273"/>
      <c r="E371" s="503"/>
      <c r="F371" s="305"/>
      <c r="G371" s="265"/>
      <c r="H371" s="266"/>
      <c r="I371" s="295"/>
      <c r="J371" s="296"/>
      <c r="K371" s="296"/>
      <c r="L371" s="296"/>
      <c r="M371" s="21"/>
      <c r="N371" s="21"/>
      <c r="O371" s="21"/>
      <c r="P371" s="21"/>
      <c r="Q371" s="325"/>
      <c r="R371" s="21"/>
      <c r="S371" s="274"/>
      <c r="T371" s="21"/>
      <c r="U371" s="275"/>
      <c r="V371" s="82"/>
      <c r="Z371" s="181"/>
      <c r="AA371" s="183"/>
      <c r="AB371" s="35"/>
      <c r="AC371" s="25"/>
      <c r="AD371" s="279"/>
      <c r="AE371" s="25"/>
      <c r="AF371" s="26"/>
      <c r="AG371" s="278" t="str">
        <f t="shared" si="106"/>
        <v/>
      </c>
      <c r="AH371" s="278" t="str">
        <f t="shared" si="107"/>
        <v/>
      </c>
      <c r="AJ371" s="25"/>
      <c r="AK371" s="25"/>
      <c r="AL371" s="25"/>
      <c r="AM371" s="25"/>
      <c r="AN371" s="25"/>
      <c r="AO371" s="25"/>
      <c r="AP371" s="25"/>
      <c r="AQ371" s="25"/>
      <c r="AR371" s="25"/>
      <c r="AS371" s="25"/>
      <c r="AT371" s="25"/>
      <c r="AU371" s="25"/>
      <c r="AV371" s="43"/>
      <c r="AW371" s="43"/>
      <c r="AX371" s="114" t="s">
        <v>76</v>
      </c>
      <c r="AY371" s="43"/>
      <c r="AZ371" s="43"/>
      <c r="BA371" s="43"/>
      <c r="BB371" s="43"/>
    </row>
    <row r="372" spans="1:54" ht="12.75" customHeight="1">
      <c r="A372" s="80"/>
      <c r="B372" s="320"/>
      <c r="C372" s="272"/>
      <c r="D372" s="273"/>
      <c r="E372" s="503"/>
      <c r="F372" s="305"/>
      <c r="G372" s="265"/>
      <c r="H372" s="266"/>
      <c r="I372" s="295"/>
      <c r="J372" s="296"/>
      <c r="K372" s="296"/>
      <c r="L372" s="296"/>
      <c r="M372" s="21"/>
      <c r="N372" s="21"/>
      <c r="O372" s="21"/>
      <c r="P372" s="21"/>
      <c r="Q372" s="325"/>
      <c r="R372" s="21"/>
      <c r="S372" s="274"/>
      <c r="T372" s="21"/>
      <c r="U372" s="275"/>
      <c r="V372" s="82"/>
      <c r="Z372" s="181"/>
      <c r="AA372" s="183"/>
      <c r="AB372" s="35"/>
      <c r="AC372" s="25"/>
      <c r="AD372" s="279"/>
      <c r="AE372" s="25"/>
      <c r="AF372" s="26"/>
      <c r="AG372" s="278" t="str">
        <f t="shared" si="106"/>
        <v/>
      </c>
      <c r="AH372" s="278" t="str">
        <f t="shared" si="107"/>
        <v/>
      </c>
      <c r="AJ372" s="25"/>
      <c r="AK372" s="25"/>
      <c r="AL372" s="25"/>
      <c r="AM372" s="25"/>
      <c r="AN372" s="25"/>
      <c r="AO372" s="25"/>
      <c r="AP372" s="25"/>
      <c r="AQ372" s="25"/>
      <c r="AR372" s="25"/>
      <c r="AS372" s="25"/>
      <c r="AT372" s="25"/>
      <c r="AU372" s="25"/>
      <c r="AV372" s="43"/>
      <c r="AW372" s="43"/>
      <c r="AX372" s="114" t="s">
        <v>76</v>
      </c>
      <c r="AY372" s="43"/>
      <c r="AZ372" s="43"/>
      <c r="BA372" s="43"/>
      <c r="BB372" s="43"/>
    </row>
    <row r="373" spans="1:54" ht="12.75" customHeight="1">
      <c r="A373" s="80"/>
      <c r="B373" s="320"/>
      <c r="C373" s="272"/>
      <c r="D373" s="273"/>
      <c r="E373" s="503"/>
      <c r="F373" s="305"/>
      <c r="G373" s="265"/>
      <c r="H373" s="266"/>
      <c r="I373" s="295"/>
      <c r="J373" s="296"/>
      <c r="K373" s="296"/>
      <c r="L373" s="296"/>
      <c r="M373" s="21"/>
      <c r="N373" s="21"/>
      <c r="O373" s="21"/>
      <c r="P373" s="21"/>
      <c r="Q373" s="325"/>
      <c r="R373" s="21"/>
      <c r="S373" s="274"/>
      <c r="T373" s="21"/>
      <c r="U373" s="275"/>
      <c r="V373" s="82"/>
      <c r="Z373" s="181"/>
      <c r="AA373" s="183"/>
      <c r="AB373" s="35"/>
      <c r="AC373" s="25"/>
      <c r="AD373" s="279"/>
      <c r="AE373" s="25"/>
      <c r="AF373" s="26"/>
      <c r="AG373" s="278" t="str">
        <f t="shared" si="106"/>
        <v/>
      </c>
      <c r="AH373" s="278" t="str">
        <f t="shared" si="107"/>
        <v/>
      </c>
      <c r="AJ373" s="25"/>
      <c r="AK373" s="25"/>
      <c r="AL373" s="25"/>
      <c r="AM373" s="25"/>
      <c r="AN373" s="25"/>
      <c r="AO373" s="25"/>
      <c r="AP373" s="25"/>
      <c r="AQ373" s="25"/>
      <c r="AR373" s="25"/>
      <c r="AS373" s="25"/>
      <c r="AT373" s="25"/>
      <c r="AU373" s="25"/>
      <c r="AV373" s="43"/>
      <c r="AW373" s="43"/>
      <c r="AX373" s="114" t="s">
        <v>76</v>
      </c>
      <c r="AY373" s="43"/>
      <c r="AZ373" s="43"/>
      <c r="BA373" s="43"/>
      <c r="BB373" s="43"/>
    </row>
    <row r="374" spans="1:54" ht="12.75" customHeight="1">
      <c r="A374" s="80"/>
      <c r="B374" s="320"/>
      <c r="C374" s="272"/>
      <c r="D374" s="273"/>
      <c r="E374" s="503"/>
      <c r="F374" s="305"/>
      <c r="G374" s="265"/>
      <c r="H374" s="266"/>
      <c r="I374" s="295"/>
      <c r="J374" s="296"/>
      <c r="K374" s="296"/>
      <c r="L374" s="296"/>
      <c r="M374" s="21"/>
      <c r="N374" s="21"/>
      <c r="O374" s="21"/>
      <c r="P374" s="21"/>
      <c r="Q374" s="325"/>
      <c r="R374" s="21"/>
      <c r="S374" s="274"/>
      <c r="T374" s="21"/>
      <c r="U374" s="275"/>
      <c r="V374" s="82"/>
      <c r="Z374" s="181"/>
      <c r="AA374" s="183"/>
      <c r="AB374" s="35"/>
      <c r="AC374" s="25"/>
      <c r="AD374" s="279"/>
      <c r="AE374" s="25"/>
      <c r="AF374" s="26"/>
      <c r="AG374" s="278" t="str">
        <f t="shared" si="106"/>
        <v/>
      </c>
      <c r="AH374" s="278" t="str">
        <f t="shared" si="107"/>
        <v/>
      </c>
      <c r="AJ374" s="25"/>
      <c r="AK374" s="25"/>
      <c r="AL374" s="25"/>
      <c r="AM374" s="25"/>
      <c r="AN374" s="25"/>
      <c r="AO374" s="25"/>
      <c r="AP374" s="25"/>
      <c r="AQ374" s="25"/>
      <c r="AR374" s="25"/>
      <c r="AS374" s="25"/>
      <c r="AT374" s="25"/>
      <c r="AU374" s="25"/>
      <c r="AV374" s="43"/>
      <c r="AW374" s="43"/>
      <c r="AX374" s="114" t="s">
        <v>76</v>
      </c>
      <c r="AY374" s="43"/>
      <c r="AZ374" s="43"/>
      <c r="BA374" s="43"/>
      <c r="BB374" s="43"/>
    </row>
    <row r="375" spans="1:54" ht="12.75" customHeight="1">
      <c r="A375" s="80"/>
      <c r="B375" s="320"/>
      <c r="C375" s="272"/>
      <c r="D375" s="273"/>
      <c r="E375" s="503"/>
      <c r="F375" s="305"/>
      <c r="G375" s="265"/>
      <c r="H375" s="266"/>
      <c r="I375" s="295"/>
      <c r="J375" s="296"/>
      <c r="K375" s="296"/>
      <c r="L375" s="296"/>
      <c r="M375" s="21"/>
      <c r="N375" s="21"/>
      <c r="O375" s="21"/>
      <c r="P375" s="21"/>
      <c r="Q375" s="325"/>
      <c r="R375" s="21"/>
      <c r="S375" s="274"/>
      <c r="T375" s="21"/>
      <c r="U375" s="275"/>
      <c r="V375" s="82"/>
      <c r="Z375" s="181"/>
      <c r="AA375" s="183"/>
      <c r="AB375" s="35"/>
      <c r="AC375" s="25"/>
      <c r="AD375" s="279"/>
      <c r="AE375" s="25"/>
      <c r="AF375" s="26"/>
      <c r="AG375" s="278" t="str">
        <f t="shared" si="106"/>
        <v/>
      </c>
      <c r="AH375" s="278" t="str">
        <f t="shared" si="107"/>
        <v/>
      </c>
      <c r="AJ375" s="25"/>
      <c r="AK375" s="25"/>
      <c r="AL375" s="25"/>
      <c r="AM375" s="25"/>
      <c r="AN375" s="25"/>
      <c r="AO375" s="25"/>
      <c r="AP375" s="25"/>
      <c r="AQ375" s="25"/>
      <c r="AR375" s="25"/>
      <c r="AS375" s="25"/>
      <c r="AT375" s="25"/>
      <c r="AU375" s="25"/>
      <c r="AV375" s="43"/>
      <c r="AW375" s="43"/>
      <c r="AX375" s="114" t="s">
        <v>76</v>
      </c>
      <c r="AY375" s="43"/>
      <c r="AZ375" s="43"/>
      <c r="BA375" s="43"/>
      <c r="BB375" s="43"/>
    </row>
    <row r="376" spans="1:54" ht="12.75" customHeight="1">
      <c r="A376" s="80"/>
      <c r="B376" s="320"/>
      <c r="C376" s="272"/>
      <c r="D376" s="273"/>
      <c r="E376" s="503"/>
      <c r="F376" s="305"/>
      <c r="G376" s="265"/>
      <c r="H376" s="266"/>
      <c r="I376" s="295"/>
      <c r="J376" s="296"/>
      <c r="K376" s="296"/>
      <c r="L376" s="296"/>
      <c r="M376" s="21"/>
      <c r="N376" s="21"/>
      <c r="O376" s="21"/>
      <c r="P376" s="21"/>
      <c r="Q376" s="325"/>
      <c r="R376" s="21"/>
      <c r="S376" s="274"/>
      <c r="T376" s="21"/>
      <c r="U376" s="275"/>
      <c r="V376" s="82"/>
      <c r="Z376" s="181"/>
      <c r="AA376" s="183"/>
      <c r="AB376" s="35"/>
      <c r="AC376" s="25"/>
      <c r="AD376" s="279"/>
      <c r="AE376" s="25"/>
      <c r="AF376" s="26"/>
      <c r="AG376" s="278" t="str">
        <f t="shared" si="106"/>
        <v/>
      </c>
      <c r="AH376" s="278" t="str">
        <f t="shared" si="107"/>
        <v/>
      </c>
      <c r="AJ376" s="25"/>
      <c r="AK376" s="25"/>
      <c r="AL376" s="25"/>
      <c r="AM376" s="25"/>
      <c r="AN376" s="25"/>
      <c r="AO376" s="25"/>
      <c r="AP376" s="25"/>
      <c r="AQ376" s="25"/>
      <c r="AR376" s="25"/>
      <c r="AS376" s="25"/>
      <c r="AT376" s="25"/>
      <c r="AU376" s="25"/>
      <c r="AV376" s="43"/>
      <c r="AW376" s="43"/>
      <c r="AX376" s="114" t="s">
        <v>76</v>
      </c>
      <c r="AY376" s="43"/>
      <c r="AZ376" s="43"/>
      <c r="BA376" s="43"/>
      <c r="BB376" s="43"/>
    </row>
    <row r="377" spans="1:54" ht="12.75" customHeight="1">
      <c r="A377" s="80"/>
      <c r="B377" s="320"/>
      <c r="C377" s="272"/>
      <c r="D377" s="273"/>
      <c r="E377" s="503"/>
      <c r="F377" s="305"/>
      <c r="G377" s="265"/>
      <c r="H377" s="266"/>
      <c r="I377" s="295"/>
      <c r="J377" s="296"/>
      <c r="K377" s="296"/>
      <c r="L377" s="296"/>
      <c r="M377" s="21"/>
      <c r="N377" s="21"/>
      <c r="O377" s="21"/>
      <c r="P377" s="21"/>
      <c r="Q377" s="325"/>
      <c r="R377" s="21"/>
      <c r="S377" s="274"/>
      <c r="T377" s="21"/>
      <c r="U377" s="275"/>
      <c r="V377" s="82"/>
      <c r="Z377" s="181"/>
      <c r="AA377" s="183"/>
      <c r="AB377" s="35"/>
      <c r="AC377" s="25"/>
      <c r="AD377" s="279"/>
      <c r="AE377" s="25"/>
      <c r="AF377" s="26"/>
      <c r="AG377" s="278" t="str">
        <f t="shared" si="106"/>
        <v/>
      </c>
      <c r="AH377" s="278" t="str">
        <f t="shared" si="107"/>
        <v/>
      </c>
      <c r="AJ377" s="25"/>
      <c r="AK377" s="25"/>
      <c r="AL377" s="25"/>
      <c r="AM377" s="25"/>
      <c r="AN377" s="25"/>
      <c r="AO377" s="25"/>
      <c r="AP377" s="25"/>
      <c r="AQ377" s="25"/>
      <c r="AR377" s="25"/>
      <c r="AS377" s="25"/>
      <c r="AT377" s="25"/>
      <c r="AU377" s="25"/>
      <c r="AV377" s="43"/>
      <c r="AW377" s="43"/>
      <c r="AX377" s="114" t="s">
        <v>76</v>
      </c>
      <c r="AY377" s="43"/>
      <c r="AZ377" s="43"/>
      <c r="BA377" s="43"/>
      <c r="BB377" s="43"/>
    </row>
    <row r="378" spans="1:54" ht="12.75" customHeight="1">
      <c r="A378" s="80"/>
      <c r="B378" s="320"/>
      <c r="C378" s="272"/>
      <c r="D378" s="273"/>
      <c r="E378" s="503"/>
      <c r="F378" s="305"/>
      <c r="G378" s="265"/>
      <c r="H378" s="266"/>
      <c r="I378" s="295"/>
      <c r="J378" s="296"/>
      <c r="K378" s="296"/>
      <c r="L378" s="296"/>
      <c r="M378" s="21"/>
      <c r="N378" s="21"/>
      <c r="O378" s="21"/>
      <c r="P378" s="21"/>
      <c r="Q378" s="325"/>
      <c r="R378" s="21"/>
      <c r="S378" s="274"/>
      <c r="T378" s="21"/>
      <c r="U378" s="275"/>
      <c r="V378" s="82"/>
      <c r="Z378" s="181"/>
      <c r="AA378" s="183"/>
      <c r="AB378" s="35"/>
      <c r="AC378" s="25"/>
      <c r="AD378" s="279"/>
      <c r="AE378" s="25"/>
      <c r="AF378" s="26"/>
      <c r="AG378" s="278" t="str">
        <f t="shared" si="106"/>
        <v/>
      </c>
      <c r="AH378" s="278" t="str">
        <f t="shared" si="107"/>
        <v/>
      </c>
      <c r="AJ378" s="25"/>
      <c r="AK378" s="25"/>
      <c r="AL378" s="25"/>
      <c r="AM378" s="25"/>
      <c r="AN378" s="25"/>
      <c r="AO378" s="25"/>
      <c r="AP378" s="25"/>
      <c r="AQ378" s="25"/>
      <c r="AR378" s="25"/>
      <c r="AS378" s="25"/>
      <c r="AT378" s="25"/>
      <c r="AU378" s="25"/>
      <c r="AV378" s="43"/>
      <c r="AW378" s="43"/>
      <c r="AX378" s="114" t="s">
        <v>76</v>
      </c>
      <c r="AY378" s="43"/>
      <c r="AZ378" s="43"/>
      <c r="BA378" s="43"/>
      <c r="BB378" s="43"/>
    </row>
    <row r="379" spans="1:54" ht="12.75" customHeight="1">
      <c r="A379" s="80"/>
      <c r="B379" s="320"/>
      <c r="C379" s="272"/>
      <c r="D379" s="273"/>
      <c r="E379" s="503"/>
      <c r="F379" s="305"/>
      <c r="G379" s="265"/>
      <c r="H379" s="266"/>
      <c r="I379" s="295"/>
      <c r="J379" s="296"/>
      <c r="K379" s="296"/>
      <c r="L379" s="296"/>
      <c r="M379" s="21"/>
      <c r="N379" s="21"/>
      <c r="O379" s="21"/>
      <c r="P379" s="21"/>
      <c r="Q379" s="325"/>
      <c r="R379" s="21"/>
      <c r="S379" s="274"/>
      <c r="T379" s="21"/>
      <c r="U379" s="275"/>
      <c r="V379" s="82"/>
      <c r="Z379" s="181"/>
      <c r="AA379" s="183"/>
      <c r="AB379" s="35"/>
      <c r="AC379" s="25"/>
      <c r="AD379" s="279"/>
      <c r="AE379" s="25"/>
      <c r="AF379" s="26"/>
      <c r="AG379" s="278" t="str">
        <f t="shared" si="106"/>
        <v/>
      </c>
      <c r="AH379" s="278" t="str">
        <f t="shared" si="107"/>
        <v/>
      </c>
      <c r="AJ379" s="25"/>
      <c r="AK379" s="25"/>
      <c r="AL379" s="25"/>
      <c r="AM379" s="25"/>
      <c r="AN379" s="25"/>
      <c r="AO379" s="25"/>
      <c r="AP379" s="25"/>
      <c r="AQ379" s="25"/>
      <c r="AR379" s="25"/>
      <c r="AS379" s="25"/>
      <c r="AT379" s="25"/>
      <c r="AU379" s="25"/>
      <c r="AV379" s="43"/>
      <c r="AW379" s="43"/>
      <c r="AX379" s="114" t="s">
        <v>76</v>
      </c>
      <c r="AY379" s="43"/>
      <c r="AZ379" s="43"/>
      <c r="BA379" s="43"/>
      <c r="BB379" s="43"/>
    </row>
    <row r="380" spans="1:54" ht="12.75" customHeight="1">
      <c r="A380" s="80"/>
      <c r="B380" s="320"/>
      <c r="C380" s="272"/>
      <c r="D380" s="273"/>
      <c r="E380" s="503"/>
      <c r="F380" s="305"/>
      <c r="G380" s="265"/>
      <c r="H380" s="266"/>
      <c r="I380" s="295"/>
      <c r="J380" s="296"/>
      <c r="K380" s="296"/>
      <c r="L380" s="296"/>
      <c r="M380" s="21"/>
      <c r="N380" s="21"/>
      <c r="O380" s="21"/>
      <c r="P380" s="21"/>
      <c r="Q380" s="325"/>
      <c r="R380" s="21"/>
      <c r="S380" s="274"/>
      <c r="T380" s="21"/>
      <c r="U380" s="275"/>
      <c r="V380" s="82"/>
      <c r="Z380" s="181"/>
      <c r="AA380" s="183"/>
      <c r="AB380" s="35"/>
      <c r="AC380" s="25"/>
      <c r="AD380" s="279"/>
      <c r="AE380" s="25"/>
      <c r="AF380" s="26"/>
      <c r="AG380" s="278" t="str">
        <f t="shared" si="106"/>
        <v/>
      </c>
      <c r="AH380" s="278" t="str">
        <f t="shared" si="107"/>
        <v/>
      </c>
      <c r="AJ380" s="25"/>
      <c r="AK380" s="25"/>
      <c r="AL380" s="25"/>
      <c r="AM380" s="25"/>
      <c r="AN380" s="25"/>
      <c r="AO380" s="25"/>
      <c r="AP380" s="25"/>
      <c r="AQ380" s="25"/>
      <c r="AR380" s="25"/>
      <c r="AS380" s="25"/>
      <c r="AT380" s="25"/>
      <c r="AU380" s="25"/>
      <c r="AV380" s="43"/>
      <c r="AW380" s="43"/>
      <c r="AX380" s="114" t="s">
        <v>76</v>
      </c>
      <c r="AY380" s="43"/>
      <c r="AZ380" s="43"/>
      <c r="BA380" s="43"/>
      <c r="BB380" s="43"/>
    </row>
    <row r="381" spans="1:54" ht="12.75" customHeight="1">
      <c r="A381" s="80"/>
      <c r="B381" s="320"/>
      <c r="C381" s="272"/>
      <c r="D381" s="273"/>
      <c r="E381" s="503"/>
      <c r="F381" s="305"/>
      <c r="G381" s="265"/>
      <c r="H381" s="266"/>
      <c r="I381" s="295"/>
      <c r="J381" s="296"/>
      <c r="K381" s="296"/>
      <c r="L381" s="296"/>
      <c r="M381" s="21"/>
      <c r="N381" s="21"/>
      <c r="O381" s="21"/>
      <c r="P381" s="21"/>
      <c r="Q381" s="325"/>
      <c r="R381" s="21"/>
      <c r="S381" s="274"/>
      <c r="T381" s="21"/>
      <c r="U381" s="275"/>
      <c r="V381" s="82"/>
      <c r="Z381" s="181"/>
      <c r="AA381" s="183"/>
      <c r="AB381" s="35"/>
      <c r="AC381" s="25"/>
      <c r="AD381" s="279"/>
      <c r="AE381" s="25"/>
      <c r="AF381" s="26"/>
      <c r="AG381" s="278" t="str">
        <f t="shared" si="106"/>
        <v/>
      </c>
      <c r="AH381" s="278" t="str">
        <f t="shared" si="107"/>
        <v/>
      </c>
      <c r="AJ381" s="25"/>
      <c r="AK381" s="25"/>
      <c r="AL381" s="25"/>
      <c r="AM381" s="25"/>
      <c r="AN381" s="25"/>
      <c r="AO381" s="25"/>
      <c r="AP381" s="25"/>
      <c r="AQ381" s="25"/>
      <c r="AR381" s="25"/>
      <c r="AS381" s="25"/>
      <c r="AT381" s="25"/>
      <c r="AU381" s="25"/>
      <c r="AV381" s="43"/>
      <c r="AW381" s="43"/>
      <c r="AX381" s="114" t="s">
        <v>76</v>
      </c>
      <c r="AY381" s="43"/>
      <c r="AZ381" s="43"/>
      <c r="BA381" s="43"/>
      <c r="BB381" s="43"/>
    </row>
    <row r="382" spans="1:54" ht="12.75" customHeight="1">
      <c r="A382" s="80"/>
      <c r="B382" s="320"/>
      <c r="C382" s="272"/>
      <c r="D382" s="273"/>
      <c r="E382" s="503"/>
      <c r="F382" s="305"/>
      <c r="G382" s="265"/>
      <c r="H382" s="266"/>
      <c r="I382" s="295"/>
      <c r="J382" s="296"/>
      <c r="K382" s="296"/>
      <c r="L382" s="296"/>
      <c r="M382" s="21"/>
      <c r="N382" s="21"/>
      <c r="O382" s="21"/>
      <c r="P382" s="21"/>
      <c r="Q382" s="325"/>
      <c r="R382" s="21"/>
      <c r="S382" s="274"/>
      <c r="T382" s="21"/>
      <c r="U382" s="275"/>
      <c r="V382" s="82"/>
      <c r="Z382" s="181"/>
      <c r="AA382" s="183"/>
      <c r="AB382" s="35"/>
      <c r="AC382" s="25"/>
      <c r="AD382" s="279"/>
      <c r="AE382" s="25"/>
      <c r="AF382" s="26"/>
      <c r="AG382" s="278" t="str">
        <f t="shared" si="106"/>
        <v/>
      </c>
      <c r="AH382" s="278" t="str">
        <f t="shared" si="107"/>
        <v/>
      </c>
      <c r="AJ382" s="25"/>
      <c r="AK382" s="25"/>
      <c r="AL382" s="25"/>
      <c r="AM382" s="25"/>
      <c r="AN382" s="25"/>
      <c r="AO382" s="25"/>
      <c r="AP382" s="25"/>
      <c r="AQ382" s="25"/>
      <c r="AR382" s="25"/>
      <c r="AS382" s="25"/>
      <c r="AT382" s="25"/>
      <c r="AU382" s="25"/>
      <c r="AV382" s="43"/>
      <c r="AW382" s="43"/>
      <c r="AX382" s="114" t="s">
        <v>76</v>
      </c>
      <c r="AY382" s="43"/>
      <c r="AZ382" s="43"/>
      <c r="BA382" s="43"/>
      <c r="BB382" s="43"/>
    </row>
    <row r="383" spans="1:54" ht="12.75" customHeight="1">
      <c r="A383" s="80"/>
      <c r="B383" s="320"/>
      <c r="C383" s="272"/>
      <c r="D383" s="273"/>
      <c r="E383" s="503"/>
      <c r="F383" s="305"/>
      <c r="G383" s="265"/>
      <c r="H383" s="266"/>
      <c r="I383" s="295"/>
      <c r="J383" s="296"/>
      <c r="K383" s="296"/>
      <c r="L383" s="296"/>
      <c r="M383" s="21"/>
      <c r="N383" s="21"/>
      <c r="O383" s="21"/>
      <c r="P383" s="21"/>
      <c r="Q383" s="325"/>
      <c r="R383" s="21"/>
      <c r="S383" s="274"/>
      <c r="T383" s="21"/>
      <c r="U383" s="275"/>
      <c r="V383" s="82"/>
      <c r="Z383" s="181"/>
      <c r="AA383" s="183"/>
      <c r="AB383" s="35"/>
      <c r="AC383" s="25"/>
      <c r="AD383" s="279"/>
      <c r="AE383" s="25"/>
      <c r="AF383" s="26"/>
      <c r="AG383" s="278" t="str">
        <f t="shared" si="106"/>
        <v/>
      </c>
      <c r="AH383" s="278" t="str">
        <f t="shared" si="107"/>
        <v/>
      </c>
      <c r="AJ383" s="25"/>
      <c r="AK383" s="25"/>
      <c r="AL383" s="25"/>
      <c r="AM383" s="25"/>
      <c r="AN383" s="25"/>
      <c r="AO383" s="25"/>
      <c r="AP383" s="25"/>
      <c r="AQ383" s="25"/>
      <c r="AR383" s="25"/>
      <c r="AS383" s="25"/>
      <c r="AT383" s="25"/>
      <c r="AU383" s="25"/>
      <c r="AV383" s="43"/>
      <c r="AW383" s="43"/>
      <c r="AX383" s="114" t="s">
        <v>76</v>
      </c>
      <c r="AY383" s="43"/>
      <c r="AZ383" s="43"/>
      <c r="BA383" s="43"/>
      <c r="BB383" s="43"/>
    </row>
    <row r="384" spans="1:54" ht="12.75" customHeight="1">
      <c r="A384" s="80"/>
      <c r="B384" s="320"/>
      <c r="C384" s="272"/>
      <c r="D384" s="273"/>
      <c r="E384" s="503"/>
      <c r="F384" s="305"/>
      <c r="G384" s="265"/>
      <c r="H384" s="266"/>
      <c r="I384" s="295"/>
      <c r="J384" s="296"/>
      <c r="K384" s="296"/>
      <c r="L384" s="296"/>
      <c r="M384" s="21"/>
      <c r="N384" s="21"/>
      <c r="O384" s="21"/>
      <c r="P384" s="21"/>
      <c r="Q384" s="325"/>
      <c r="R384" s="21"/>
      <c r="S384" s="274"/>
      <c r="T384" s="21"/>
      <c r="U384" s="275"/>
      <c r="V384" s="82"/>
      <c r="Z384" s="181"/>
      <c r="AA384" s="183"/>
      <c r="AB384" s="35"/>
      <c r="AC384" s="25"/>
      <c r="AD384" s="279"/>
      <c r="AE384" s="25"/>
      <c r="AF384" s="26"/>
      <c r="AG384" s="278" t="str">
        <f t="shared" si="106"/>
        <v/>
      </c>
      <c r="AH384" s="278" t="str">
        <f t="shared" si="107"/>
        <v/>
      </c>
      <c r="AJ384" s="25"/>
      <c r="AK384" s="25"/>
      <c r="AL384" s="25"/>
      <c r="AM384" s="25"/>
      <c r="AN384" s="25"/>
      <c r="AO384" s="25"/>
      <c r="AP384" s="25"/>
      <c r="AQ384" s="25"/>
      <c r="AR384" s="25"/>
      <c r="AS384" s="25"/>
      <c r="AT384" s="25"/>
      <c r="AU384" s="25"/>
      <c r="AV384" s="43"/>
      <c r="AW384" s="43"/>
      <c r="AX384" s="114" t="s">
        <v>76</v>
      </c>
      <c r="AY384" s="43"/>
      <c r="AZ384" s="43"/>
      <c r="BA384" s="43"/>
      <c r="BB384" s="43"/>
    </row>
    <row r="385" spans="1:54" ht="12.75" customHeight="1">
      <c r="A385" s="80"/>
      <c r="B385" s="320"/>
      <c r="C385" s="272"/>
      <c r="D385" s="273"/>
      <c r="E385" s="503"/>
      <c r="F385" s="305"/>
      <c r="G385" s="265"/>
      <c r="H385" s="266"/>
      <c r="I385" s="295"/>
      <c r="J385" s="296"/>
      <c r="K385" s="296"/>
      <c r="L385" s="296"/>
      <c r="M385" s="21"/>
      <c r="N385" s="21"/>
      <c r="O385" s="21"/>
      <c r="P385" s="21"/>
      <c r="Q385" s="325"/>
      <c r="R385" s="21"/>
      <c r="S385" s="274"/>
      <c r="T385" s="21"/>
      <c r="U385" s="275"/>
      <c r="V385" s="82"/>
      <c r="Z385" s="181"/>
      <c r="AA385" s="183"/>
      <c r="AB385" s="35"/>
      <c r="AC385" s="25"/>
      <c r="AD385" s="279"/>
      <c r="AE385" s="25"/>
      <c r="AF385" s="26"/>
      <c r="AG385" s="278" t="str">
        <f t="shared" si="106"/>
        <v/>
      </c>
      <c r="AH385" s="278" t="str">
        <f t="shared" si="107"/>
        <v/>
      </c>
      <c r="AJ385" s="25"/>
      <c r="AK385" s="25"/>
      <c r="AL385" s="25"/>
      <c r="AM385" s="25"/>
      <c r="AN385" s="25"/>
      <c r="AO385" s="25"/>
      <c r="AP385" s="25"/>
      <c r="AQ385" s="25"/>
      <c r="AR385" s="25"/>
      <c r="AS385" s="25"/>
      <c r="AT385" s="25"/>
      <c r="AU385" s="25"/>
      <c r="AV385" s="43"/>
      <c r="AW385" s="43"/>
      <c r="AX385" s="114" t="s">
        <v>76</v>
      </c>
      <c r="AY385" s="43"/>
      <c r="AZ385" s="43"/>
      <c r="BA385" s="43"/>
      <c r="BB385" s="43"/>
    </row>
    <row r="386" spans="1:54" ht="12.75" customHeight="1">
      <c r="A386" s="80"/>
      <c r="B386" s="320"/>
      <c r="C386" s="272"/>
      <c r="D386" s="273"/>
      <c r="E386" s="503"/>
      <c r="F386" s="305"/>
      <c r="G386" s="265"/>
      <c r="H386" s="266"/>
      <c r="I386" s="295"/>
      <c r="J386" s="296"/>
      <c r="K386" s="296"/>
      <c r="L386" s="296"/>
      <c r="M386" s="21"/>
      <c r="N386" s="21"/>
      <c r="O386" s="21"/>
      <c r="P386" s="21"/>
      <c r="Q386" s="325"/>
      <c r="R386" s="21"/>
      <c r="S386" s="274"/>
      <c r="T386" s="21"/>
      <c r="U386" s="275"/>
      <c r="V386" s="82"/>
      <c r="Z386" s="181"/>
      <c r="AA386" s="183"/>
      <c r="AB386" s="35"/>
      <c r="AC386" s="25"/>
      <c r="AD386" s="279"/>
      <c r="AE386" s="25"/>
      <c r="AF386" s="26"/>
      <c r="AG386" s="278" t="str">
        <f t="shared" si="106"/>
        <v/>
      </c>
      <c r="AH386" s="278" t="str">
        <f t="shared" si="107"/>
        <v/>
      </c>
      <c r="AJ386" s="25"/>
      <c r="AK386" s="25"/>
      <c r="AL386" s="25"/>
      <c r="AM386" s="25"/>
      <c r="AN386" s="25"/>
      <c r="AO386" s="25"/>
      <c r="AP386" s="25"/>
      <c r="AQ386" s="25"/>
      <c r="AR386" s="25"/>
      <c r="AS386" s="25"/>
      <c r="AT386" s="25"/>
      <c r="AU386" s="25"/>
      <c r="AV386" s="43"/>
      <c r="AW386" s="43"/>
      <c r="AX386" s="114" t="s">
        <v>76</v>
      </c>
      <c r="AY386" s="43"/>
      <c r="AZ386" s="43"/>
      <c r="BA386" s="43"/>
      <c r="BB386" s="43"/>
    </row>
    <row r="387" spans="1:54" ht="12.75" customHeight="1">
      <c r="A387" s="80"/>
      <c r="B387" s="320"/>
      <c r="C387" s="272"/>
      <c r="D387" s="273"/>
      <c r="E387" s="503"/>
      <c r="F387" s="305"/>
      <c r="G387" s="265"/>
      <c r="H387" s="266"/>
      <c r="I387" s="295"/>
      <c r="J387" s="296"/>
      <c r="K387" s="296"/>
      <c r="L387" s="296"/>
      <c r="M387" s="21"/>
      <c r="N387" s="21"/>
      <c r="O387" s="21"/>
      <c r="P387" s="21"/>
      <c r="Q387" s="325"/>
      <c r="R387" s="21"/>
      <c r="S387" s="274"/>
      <c r="T387" s="21"/>
      <c r="U387" s="275"/>
      <c r="V387" s="82"/>
      <c r="Z387" s="181"/>
      <c r="AA387" s="183"/>
      <c r="AB387" s="35"/>
      <c r="AC387" s="25"/>
      <c r="AD387" s="279"/>
      <c r="AE387" s="25"/>
      <c r="AF387" s="26"/>
      <c r="AG387" s="278" t="str">
        <f t="shared" si="106"/>
        <v/>
      </c>
      <c r="AH387" s="278" t="str">
        <f t="shared" si="107"/>
        <v/>
      </c>
      <c r="AJ387" s="25"/>
      <c r="AK387" s="25"/>
      <c r="AL387" s="25"/>
      <c r="AM387" s="25"/>
      <c r="AN387" s="25"/>
      <c r="AO387" s="25"/>
      <c r="AP387" s="25"/>
      <c r="AQ387" s="25"/>
      <c r="AR387" s="25"/>
      <c r="AS387" s="25"/>
      <c r="AT387" s="25"/>
      <c r="AU387" s="25"/>
      <c r="AV387" s="43"/>
      <c r="AW387" s="43"/>
      <c r="AX387" s="114" t="s">
        <v>76</v>
      </c>
      <c r="AY387" s="43"/>
      <c r="AZ387" s="43"/>
      <c r="BA387" s="43"/>
      <c r="BB387" s="43"/>
    </row>
    <row r="388" spans="1:54" ht="12.75" customHeight="1">
      <c r="A388" s="80"/>
      <c r="B388" s="320"/>
      <c r="C388" s="272"/>
      <c r="D388" s="273"/>
      <c r="E388" s="503"/>
      <c r="F388" s="305"/>
      <c r="G388" s="265"/>
      <c r="H388" s="266"/>
      <c r="I388" s="295"/>
      <c r="J388" s="296"/>
      <c r="K388" s="296"/>
      <c r="L388" s="296"/>
      <c r="M388" s="21"/>
      <c r="N388" s="21"/>
      <c r="O388" s="21"/>
      <c r="P388" s="21"/>
      <c r="Q388" s="325"/>
      <c r="R388" s="21"/>
      <c r="S388" s="274"/>
      <c r="T388" s="21"/>
      <c r="U388" s="275"/>
      <c r="V388" s="82"/>
      <c r="Z388" s="181"/>
      <c r="AA388" s="183"/>
      <c r="AB388" s="35"/>
      <c r="AC388" s="25"/>
      <c r="AD388" s="279"/>
      <c r="AE388" s="25"/>
      <c r="AF388" s="26"/>
      <c r="AG388" s="278" t="str">
        <f t="shared" si="106"/>
        <v/>
      </c>
      <c r="AH388" s="278" t="str">
        <f t="shared" si="107"/>
        <v/>
      </c>
      <c r="AJ388" s="25"/>
      <c r="AK388" s="25"/>
      <c r="AL388" s="25"/>
      <c r="AM388" s="25"/>
      <c r="AN388" s="25"/>
      <c r="AO388" s="25"/>
      <c r="AP388" s="25"/>
      <c r="AQ388" s="25"/>
      <c r="AR388" s="25"/>
      <c r="AS388" s="25"/>
      <c r="AT388" s="25"/>
      <c r="AU388" s="25"/>
      <c r="AV388" s="43"/>
      <c r="AW388" s="43"/>
      <c r="AX388" s="114" t="s">
        <v>76</v>
      </c>
      <c r="AY388" s="43"/>
      <c r="AZ388" s="43"/>
      <c r="BA388" s="43"/>
      <c r="BB388" s="43"/>
    </row>
    <row r="389" spans="1:54" ht="12.75" customHeight="1">
      <c r="A389" s="80"/>
      <c r="B389" s="320"/>
      <c r="C389" s="272"/>
      <c r="D389" s="273"/>
      <c r="E389" s="503"/>
      <c r="F389" s="305"/>
      <c r="G389" s="265"/>
      <c r="H389" s="266"/>
      <c r="I389" s="295"/>
      <c r="J389" s="296"/>
      <c r="K389" s="296"/>
      <c r="L389" s="296"/>
      <c r="M389" s="21"/>
      <c r="N389" s="21"/>
      <c r="O389" s="21"/>
      <c r="P389" s="21"/>
      <c r="Q389" s="325"/>
      <c r="R389" s="21"/>
      <c r="S389" s="274"/>
      <c r="T389" s="21"/>
      <c r="U389" s="275"/>
      <c r="V389" s="82"/>
      <c r="Z389" s="181"/>
      <c r="AA389" s="183"/>
      <c r="AB389" s="35"/>
      <c r="AC389" s="25"/>
      <c r="AD389" s="279"/>
      <c r="AE389" s="25"/>
      <c r="AF389" s="26"/>
      <c r="AG389" s="278" t="str">
        <f t="shared" si="106"/>
        <v/>
      </c>
      <c r="AH389" s="278" t="str">
        <f t="shared" si="107"/>
        <v/>
      </c>
      <c r="AJ389" s="25"/>
      <c r="AK389" s="25"/>
      <c r="AL389" s="25"/>
      <c r="AM389" s="25"/>
      <c r="AN389" s="25"/>
      <c r="AO389" s="25"/>
      <c r="AP389" s="25"/>
      <c r="AQ389" s="25"/>
      <c r="AR389" s="25"/>
      <c r="AS389" s="25"/>
      <c r="AT389" s="25"/>
      <c r="AU389" s="25"/>
      <c r="AV389" s="43"/>
      <c r="AW389" s="43"/>
      <c r="AX389" s="114" t="s">
        <v>76</v>
      </c>
      <c r="AY389" s="43"/>
      <c r="AZ389" s="43"/>
      <c r="BA389" s="43"/>
      <c r="BB389" s="43"/>
    </row>
    <row r="390" spans="1:54" ht="12.75" customHeight="1">
      <c r="A390" s="80"/>
      <c r="B390" s="320"/>
      <c r="C390" s="272"/>
      <c r="D390" s="273"/>
      <c r="E390" s="503"/>
      <c r="F390" s="305"/>
      <c r="G390" s="265"/>
      <c r="H390" s="266"/>
      <c r="I390" s="295"/>
      <c r="J390" s="296"/>
      <c r="K390" s="296"/>
      <c r="L390" s="296"/>
      <c r="M390" s="21"/>
      <c r="N390" s="21"/>
      <c r="O390" s="21"/>
      <c r="P390" s="21"/>
      <c r="Q390" s="325"/>
      <c r="R390" s="21"/>
      <c r="S390" s="274"/>
      <c r="T390" s="21"/>
      <c r="U390" s="275"/>
      <c r="V390" s="82"/>
      <c r="Z390" s="181"/>
      <c r="AA390" s="183"/>
      <c r="AB390" s="35"/>
      <c r="AC390" s="25"/>
      <c r="AD390" s="279"/>
      <c r="AE390" s="25"/>
      <c r="AF390" s="26"/>
      <c r="AG390" s="278" t="str">
        <f t="shared" ref="AG390:AG453" si="108">IF(AE390="","",AE390*AltBounce)</f>
        <v/>
      </c>
      <c r="AH390" s="278" t="str">
        <f t="shared" ref="AH390:AH453" si="109">IF(AA390="","",AE390*(1/AltBounce))</f>
        <v/>
      </c>
      <c r="AJ390" s="25"/>
      <c r="AK390" s="25"/>
      <c r="AL390" s="25"/>
      <c r="AM390" s="25"/>
      <c r="AN390" s="25"/>
      <c r="AO390" s="25"/>
      <c r="AP390" s="25"/>
      <c r="AQ390" s="25"/>
      <c r="AR390" s="25"/>
      <c r="AS390" s="25"/>
      <c r="AT390" s="25"/>
      <c r="AU390" s="25"/>
      <c r="AV390" s="43"/>
      <c r="AW390" s="43"/>
      <c r="AX390" s="114" t="s">
        <v>76</v>
      </c>
      <c r="AY390" s="43"/>
      <c r="AZ390" s="43"/>
      <c r="BA390" s="43"/>
      <c r="BB390" s="43"/>
    </row>
    <row r="391" spans="1:54" ht="12.75" customHeight="1">
      <c r="A391" s="80"/>
      <c r="B391" s="320"/>
      <c r="C391" s="272"/>
      <c r="D391" s="273"/>
      <c r="E391" s="503"/>
      <c r="F391" s="305"/>
      <c r="G391" s="265"/>
      <c r="H391" s="266"/>
      <c r="I391" s="295"/>
      <c r="J391" s="296"/>
      <c r="K391" s="296"/>
      <c r="L391" s="296"/>
      <c r="M391" s="21"/>
      <c r="N391" s="21"/>
      <c r="O391" s="21"/>
      <c r="P391" s="21"/>
      <c r="Q391" s="325"/>
      <c r="R391" s="21"/>
      <c r="S391" s="274"/>
      <c r="T391" s="21"/>
      <c r="U391" s="275"/>
      <c r="V391" s="82"/>
      <c r="Z391" s="181"/>
      <c r="AA391" s="183"/>
      <c r="AB391" s="35"/>
      <c r="AC391" s="25"/>
      <c r="AD391" s="279"/>
      <c r="AE391" s="25"/>
      <c r="AF391" s="26"/>
      <c r="AG391" s="278" t="str">
        <f t="shared" si="108"/>
        <v/>
      </c>
      <c r="AH391" s="278" t="str">
        <f t="shared" si="109"/>
        <v/>
      </c>
      <c r="AJ391" s="25"/>
      <c r="AK391" s="25"/>
      <c r="AL391" s="25"/>
      <c r="AM391" s="25"/>
      <c r="AN391" s="25"/>
      <c r="AO391" s="25"/>
      <c r="AP391" s="25"/>
      <c r="AQ391" s="25"/>
      <c r="AR391" s="25"/>
      <c r="AS391" s="25"/>
      <c r="AT391" s="25"/>
      <c r="AU391" s="25"/>
      <c r="AV391" s="43"/>
      <c r="AW391" s="43"/>
      <c r="AX391" s="114" t="s">
        <v>76</v>
      </c>
      <c r="AY391" s="43"/>
      <c r="AZ391" s="43"/>
      <c r="BA391" s="43"/>
      <c r="BB391" s="43"/>
    </row>
    <row r="392" spans="1:54" ht="12.75" customHeight="1">
      <c r="A392" s="80"/>
      <c r="B392" s="320"/>
      <c r="C392" s="272"/>
      <c r="D392" s="273"/>
      <c r="E392" s="503"/>
      <c r="F392" s="305"/>
      <c r="G392" s="265"/>
      <c r="H392" s="266"/>
      <c r="I392" s="295"/>
      <c r="J392" s="296"/>
      <c r="K392" s="296"/>
      <c r="L392" s="296"/>
      <c r="M392" s="21"/>
      <c r="N392" s="21"/>
      <c r="O392" s="21"/>
      <c r="P392" s="21"/>
      <c r="Q392" s="325"/>
      <c r="R392" s="21"/>
      <c r="S392" s="274"/>
      <c r="T392" s="21"/>
      <c r="U392" s="275"/>
      <c r="V392" s="82"/>
      <c r="Z392" s="181"/>
      <c r="AA392" s="183"/>
      <c r="AB392" s="35"/>
      <c r="AC392" s="25"/>
      <c r="AD392" s="279"/>
      <c r="AE392" s="25"/>
      <c r="AF392" s="26"/>
      <c r="AG392" s="278" t="str">
        <f t="shared" si="108"/>
        <v/>
      </c>
      <c r="AH392" s="278" t="str">
        <f t="shared" si="109"/>
        <v/>
      </c>
      <c r="AJ392" s="25"/>
      <c r="AK392" s="25"/>
      <c r="AL392" s="25"/>
      <c r="AM392" s="25"/>
      <c r="AN392" s="25"/>
      <c r="AO392" s="25"/>
      <c r="AP392" s="25"/>
      <c r="AQ392" s="25"/>
      <c r="AR392" s="25"/>
      <c r="AS392" s="25"/>
      <c r="AT392" s="25"/>
      <c r="AU392" s="25"/>
      <c r="AV392" s="43"/>
      <c r="AW392" s="43"/>
      <c r="AX392" s="114" t="s">
        <v>76</v>
      </c>
      <c r="AY392" s="43"/>
      <c r="AZ392" s="43"/>
      <c r="BA392" s="43"/>
      <c r="BB392" s="43"/>
    </row>
    <row r="393" spans="1:54" ht="12.75" customHeight="1">
      <c r="A393" s="80"/>
      <c r="B393" s="320"/>
      <c r="C393" s="272"/>
      <c r="D393" s="273"/>
      <c r="E393" s="503"/>
      <c r="F393" s="305"/>
      <c r="G393" s="265"/>
      <c r="H393" s="266"/>
      <c r="I393" s="295"/>
      <c r="J393" s="296"/>
      <c r="K393" s="296"/>
      <c r="L393" s="296"/>
      <c r="M393" s="21"/>
      <c r="N393" s="21"/>
      <c r="O393" s="21"/>
      <c r="P393" s="21"/>
      <c r="Q393" s="325"/>
      <c r="R393" s="21"/>
      <c r="S393" s="274"/>
      <c r="T393" s="21"/>
      <c r="U393" s="275"/>
      <c r="V393" s="82"/>
      <c r="Z393" s="181"/>
      <c r="AA393" s="183"/>
      <c r="AB393" s="35"/>
      <c r="AC393" s="25"/>
      <c r="AD393" s="279"/>
      <c r="AE393" s="25"/>
      <c r="AF393" s="26"/>
      <c r="AG393" s="278" t="str">
        <f t="shared" si="108"/>
        <v/>
      </c>
      <c r="AH393" s="278" t="str">
        <f t="shared" si="109"/>
        <v/>
      </c>
      <c r="AJ393" s="25"/>
      <c r="AK393" s="25"/>
      <c r="AL393" s="25"/>
      <c r="AM393" s="25"/>
      <c r="AN393" s="25"/>
      <c r="AO393" s="25"/>
      <c r="AP393" s="25"/>
      <c r="AQ393" s="25"/>
      <c r="AR393" s="25"/>
      <c r="AS393" s="25"/>
      <c r="AT393" s="25"/>
      <c r="AU393" s="25"/>
      <c r="AV393" s="43"/>
      <c r="AW393" s="43"/>
      <c r="AX393" s="114" t="s">
        <v>76</v>
      </c>
      <c r="AY393" s="43"/>
      <c r="AZ393" s="43"/>
      <c r="BA393" s="43"/>
      <c r="BB393" s="43"/>
    </row>
    <row r="394" spans="1:54" ht="12.75" customHeight="1">
      <c r="A394" s="80"/>
      <c r="B394" s="320"/>
      <c r="C394" s="272"/>
      <c r="D394" s="273"/>
      <c r="E394" s="503"/>
      <c r="F394" s="305"/>
      <c r="G394" s="265"/>
      <c r="H394" s="266"/>
      <c r="I394" s="295"/>
      <c r="J394" s="296"/>
      <c r="K394" s="296"/>
      <c r="L394" s="296"/>
      <c r="M394" s="21"/>
      <c r="N394" s="21"/>
      <c r="O394" s="21"/>
      <c r="P394" s="21"/>
      <c r="Q394" s="325"/>
      <c r="R394" s="21"/>
      <c r="S394" s="274"/>
      <c r="T394" s="21"/>
      <c r="U394" s="275"/>
      <c r="V394" s="82"/>
      <c r="Z394" s="181"/>
      <c r="AA394" s="183"/>
      <c r="AB394" s="35"/>
      <c r="AC394" s="25"/>
      <c r="AD394" s="279"/>
      <c r="AE394" s="25"/>
      <c r="AF394" s="26"/>
      <c r="AG394" s="278" t="str">
        <f t="shared" si="108"/>
        <v/>
      </c>
      <c r="AH394" s="278" t="str">
        <f t="shared" si="109"/>
        <v/>
      </c>
      <c r="AJ394" s="25"/>
      <c r="AK394" s="25"/>
      <c r="AL394" s="25"/>
      <c r="AM394" s="25"/>
      <c r="AN394" s="25"/>
      <c r="AO394" s="25"/>
      <c r="AP394" s="25"/>
      <c r="AQ394" s="25"/>
      <c r="AR394" s="25"/>
      <c r="AS394" s="25"/>
      <c r="AT394" s="25"/>
      <c r="AU394" s="25"/>
      <c r="AV394" s="43"/>
      <c r="AW394" s="43"/>
      <c r="AX394" s="114" t="s">
        <v>76</v>
      </c>
      <c r="AY394" s="43"/>
      <c r="AZ394" s="43"/>
      <c r="BA394" s="43"/>
      <c r="BB394" s="43"/>
    </row>
    <row r="395" spans="1:54" ht="12.75" customHeight="1">
      <c r="A395" s="80"/>
      <c r="B395" s="320"/>
      <c r="C395" s="272"/>
      <c r="D395" s="273"/>
      <c r="E395" s="503"/>
      <c r="F395" s="305"/>
      <c r="G395" s="265"/>
      <c r="H395" s="266"/>
      <c r="I395" s="295"/>
      <c r="J395" s="296"/>
      <c r="K395" s="296"/>
      <c r="L395" s="296"/>
      <c r="M395" s="21"/>
      <c r="N395" s="21"/>
      <c r="O395" s="21"/>
      <c r="P395" s="21"/>
      <c r="Q395" s="325"/>
      <c r="R395" s="21"/>
      <c r="S395" s="274"/>
      <c r="T395" s="21"/>
      <c r="U395" s="275"/>
      <c r="V395" s="82"/>
      <c r="Z395" s="181"/>
      <c r="AA395" s="183"/>
      <c r="AB395" s="35"/>
      <c r="AC395" s="25"/>
      <c r="AD395" s="279"/>
      <c r="AE395" s="25"/>
      <c r="AF395" s="26"/>
      <c r="AG395" s="278" t="str">
        <f t="shared" si="108"/>
        <v/>
      </c>
      <c r="AH395" s="278" t="str">
        <f t="shared" si="109"/>
        <v/>
      </c>
      <c r="AJ395" s="25"/>
      <c r="AK395" s="25"/>
      <c r="AL395" s="25"/>
      <c r="AM395" s="25"/>
      <c r="AN395" s="25"/>
      <c r="AO395" s="25"/>
      <c r="AP395" s="25"/>
      <c r="AQ395" s="25"/>
      <c r="AR395" s="25"/>
      <c r="AS395" s="25"/>
      <c r="AT395" s="25"/>
      <c r="AU395" s="25"/>
      <c r="AV395" s="43"/>
      <c r="AW395" s="43"/>
      <c r="AX395" s="114" t="s">
        <v>76</v>
      </c>
      <c r="AY395" s="43"/>
      <c r="AZ395" s="43"/>
      <c r="BA395" s="43"/>
      <c r="BB395" s="43"/>
    </row>
    <row r="396" spans="1:54" ht="12.75" customHeight="1">
      <c r="A396" s="80"/>
      <c r="B396" s="320"/>
      <c r="C396" s="272"/>
      <c r="D396" s="273"/>
      <c r="E396" s="503"/>
      <c r="F396" s="305"/>
      <c r="G396" s="265"/>
      <c r="H396" s="266"/>
      <c r="I396" s="295"/>
      <c r="J396" s="296"/>
      <c r="K396" s="296"/>
      <c r="L396" s="296"/>
      <c r="M396" s="21"/>
      <c r="N396" s="21"/>
      <c r="O396" s="21"/>
      <c r="P396" s="21"/>
      <c r="Q396" s="325"/>
      <c r="R396" s="21"/>
      <c r="S396" s="274"/>
      <c r="T396" s="21"/>
      <c r="U396" s="275"/>
      <c r="V396" s="82"/>
      <c r="Z396" s="181"/>
      <c r="AA396" s="183"/>
      <c r="AB396" s="35"/>
      <c r="AC396" s="25"/>
      <c r="AD396" s="279"/>
      <c r="AE396" s="25"/>
      <c r="AF396" s="26"/>
      <c r="AG396" s="278" t="str">
        <f t="shared" si="108"/>
        <v/>
      </c>
      <c r="AH396" s="278" t="str">
        <f t="shared" si="109"/>
        <v/>
      </c>
      <c r="AJ396" s="25"/>
      <c r="AK396" s="25"/>
      <c r="AL396" s="25"/>
      <c r="AM396" s="25"/>
      <c r="AN396" s="25"/>
      <c r="AO396" s="25"/>
      <c r="AP396" s="25"/>
      <c r="AQ396" s="25"/>
      <c r="AR396" s="25"/>
      <c r="AS396" s="25"/>
      <c r="AT396" s="25"/>
      <c r="AU396" s="25"/>
      <c r="AV396" s="43"/>
      <c r="AW396" s="43"/>
      <c r="AX396" s="114" t="s">
        <v>76</v>
      </c>
      <c r="AY396" s="43"/>
      <c r="AZ396" s="43"/>
      <c r="BA396" s="43"/>
      <c r="BB396" s="43"/>
    </row>
    <row r="397" spans="1:54" ht="12.75" customHeight="1">
      <c r="A397" s="80"/>
      <c r="B397" s="320"/>
      <c r="C397" s="272"/>
      <c r="D397" s="273"/>
      <c r="E397" s="503"/>
      <c r="F397" s="305"/>
      <c r="G397" s="265"/>
      <c r="H397" s="266"/>
      <c r="I397" s="295"/>
      <c r="J397" s="296"/>
      <c r="K397" s="296"/>
      <c r="L397" s="296"/>
      <c r="M397" s="21"/>
      <c r="N397" s="21"/>
      <c r="O397" s="21"/>
      <c r="P397" s="21"/>
      <c r="Q397" s="325"/>
      <c r="R397" s="21"/>
      <c r="S397" s="274"/>
      <c r="T397" s="21"/>
      <c r="U397" s="275"/>
      <c r="V397" s="82"/>
      <c r="Z397" s="181"/>
      <c r="AA397" s="183"/>
      <c r="AB397" s="35"/>
      <c r="AC397" s="25"/>
      <c r="AD397" s="279"/>
      <c r="AE397" s="25"/>
      <c r="AF397" s="26"/>
      <c r="AG397" s="278" t="str">
        <f t="shared" si="108"/>
        <v/>
      </c>
      <c r="AH397" s="278" t="str">
        <f t="shared" si="109"/>
        <v/>
      </c>
      <c r="AJ397" s="25"/>
      <c r="AK397" s="25"/>
      <c r="AL397" s="25"/>
      <c r="AM397" s="25"/>
      <c r="AN397" s="25"/>
      <c r="AO397" s="25"/>
      <c r="AP397" s="25"/>
      <c r="AQ397" s="25"/>
      <c r="AR397" s="25"/>
      <c r="AS397" s="25"/>
      <c r="AT397" s="25"/>
      <c r="AU397" s="25"/>
      <c r="AV397" s="43"/>
      <c r="AW397" s="43"/>
      <c r="AX397" s="114" t="s">
        <v>76</v>
      </c>
      <c r="AY397" s="43"/>
      <c r="AZ397" s="43"/>
      <c r="BA397" s="43"/>
      <c r="BB397" s="43"/>
    </row>
    <row r="398" spans="1:54" ht="12.75" customHeight="1">
      <c r="A398" s="80"/>
      <c r="B398" s="320"/>
      <c r="C398" s="272"/>
      <c r="D398" s="273"/>
      <c r="E398" s="503"/>
      <c r="F398" s="305"/>
      <c r="G398" s="265"/>
      <c r="H398" s="266"/>
      <c r="I398" s="295"/>
      <c r="J398" s="296"/>
      <c r="K398" s="296"/>
      <c r="L398" s="296"/>
      <c r="M398" s="21"/>
      <c r="N398" s="21"/>
      <c r="O398" s="21"/>
      <c r="P398" s="21"/>
      <c r="Q398" s="325"/>
      <c r="R398" s="21"/>
      <c r="S398" s="274"/>
      <c r="T398" s="21"/>
      <c r="U398" s="275"/>
      <c r="V398" s="82"/>
      <c r="Z398" s="181"/>
      <c r="AA398" s="183"/>
      <c r="AB398" s="35"/>
      <c r="AC398" s="25"/>
      <c r="AD398" s="279"/>
      <c r="AE398" s="25"/>
      <c r="AF398" s="26"/>
      <c r="AG398" s="278" t="str">
        <f t="shared" si="108"/>
        <v/>
      </c>
      <c r="AH398" s="278" t="str">
        <f t="shared" si="109"/>
        <v/>
      </c>
      <c r="AJ398" s="25"/>
      <c r="AK398" s="25"/>
      <c r="AL398" s="25"/>
      <c r="AM398" s="25"/>
      <c r="AN398" s="25"/>
      <c r="AO398" s="25"/>
      <c r="AP398" s="25"/>
      <c r="AQ398" s="25"/>
      <c r="AR398" s="25"/>
      <c r="AS398" s="25"/>
      <c r="AT398" s="25"/>
      <c r="AU398" s="25"/>
      <c r="AV398" s="43"/>
      <c r="AW398" s="43"/>
      <c r="AX398" s="114" t="s">
        <v>76</v>
      </c>
      <c r="AY398" s="43"/>
      <c r="AZ398" s="43"/>
      <c r="BA398" s="43"/>
      <c r="BB398" s="43"/>
    </row>
    <row r="399" spans="1:54" ht="12.75" customHeight="1">
      <c r="A399" s="80"/>
      <c r="B399" s="320"/>
      <c r="C399" s="272"/>
      <c r="D399" s="273"/>
      <c r="E399" s="503"/>
      <c r="F399" s="305"/>
      <c r="G399" s="265"/>
      <c r="H399" s="266"/>
      <c r="I399" s="295"/>
      <c r="J399" s="296"/>
      <c r="K399" s="296"/>
      <c r="L399" s="296"/>
      <c r="M399" s="21"/>
      <c r="N399" s="21"/>
      <c r="O399" s="21"/>
      <c r="P399" s="21"/>
      <c r="Q399" s="325"/>
      <c r="R399" s="21"/>
      <c r="S399" s="274"/>
      <c r="T399" s="21"/>
      <c r="U399" s="275"/>
      <c r="V399" s="82"/>
      <c r="Z399" s="181"/>
      <c r="AA399" s="183"/>
      <c r="AB399" s="35"/>
      <c r="AC399" s="25"/>
      <c r="AD399" s="279"/>
      <c r="AE399" s="25"/>
      <c r="AF399" s="26"/>
      <c r="AG399" s="278" t="str">
        <f t="shared" si="108"/>
        <v/>
      </c>
      <c r="AH399" s="278" t="str">
        <f t="shared" si="109"/>
        <v/>
      </c>
      <c r="AJ399" s="25"/>
      <c r="AK399" s="25"/>
      <c r="AL399" s="25"/>
      <c r="AM399" s="25"/>
      <c r="AN399" s="25"/>
      <c r="AO399" s="25"/>
      <c r="AP399" s="25"/>
      <c r="AQ399" s="25"/>
      <c r="AR399" s="25"/>
      <c r="AS399" s="25"/>
      <c r="AT399" s="25"/>
      <c r="AU399" s="25"/>
      <c r="AV399" s="43"/>
      <c r="AW399" s="43"/>
      <c r="AX399" s="114" t="s">
        <v>76</v>
      </c>
      <c r="AY399" s="43"/>
      <c r="AZ399" s="43"/>
      <c r="BA399" s="43"/>
      <c r="BB399" s="43"/>
    </row>
    <row r="400" spans="1:54" ht="12.75" customHeight="1">
      <c r="A400" s="80"/>
      <c r="B400" s="320"/>
      <c r="C400" s="272"/>
      <c r="D400" s="273"/>
      <c r="E400" s="503"/>
      <c r="F400" s="305"/>
      <c r="G400" s="265"/>
      <c r="H400" s="266"/>
      <c r="I400" s="295"/>
      <c r="J400" s="296"/>
      <c r="K400" s="296"/>
      <c r="L400" s="296"/>
      <c r="M400" s="21"/>
      <c r="N400" s="21"/>
      <c r="O400" s="21"/>
      <c r="P400" s="21"/>
      <c r="Q400" s="325"/>
      <c r="R400" s="21"/>
      <c r="S400" s="274"/>
      <c r="T400" s="21"/>
      <c r="U400" s="275"/>
      <c r="V400" s="82"/>
      <c r="Z400" s="181"/>
      <c r="AA400" s="183"/>
      <c r="AB400" s="35"/>
      <c r="AC400" s="25"/>
      <c r="AD400" s="279"/>
      <c r="AE400" s="25"/>
      <c r="AF400" s="26"/>
      <c r="AG400" s="278" t="str">
        <f t="shared" si="108"/>
        <v/>
      </c>
      <c r="AH400" s="278" t="str">
        <f t="shared" si="109"/>
        <v/>
      </c>
      <c r="AJ400" s="25"/>
      <c r="AK400" s="25"/>
      <c r="AL400" s="25"/>
      <c r="AM400" s="25"/>
      <c r="AN400" s="25"/>
      <c r="AO400" s="25"/>
      <c r="AP400" s="25"/>
      <c r="AQ400" s="25"/>
      <c r="AR400" s="25"/>
      <c r="AS400" s="25"/>
      <c r="AT400" s="25"/>
      <c r="AU400" s="25"/>
      <c r="AV400" s="43"/>
      <c r="AW400" s="43"/>
      <c r="AX400" s="114" t="s">
        <v>76</v>
      </c>
      <c r="AY400" s="43"/>
      <c r="AZ400" s="43"/>
      <c r="BA400" s="43"/>
      <c r="BB400" s="43"/>
    </row>
    <row r="401" spans="1:54" ht="12.75" customHeight="1">
      <c r="A401" s="80"/>
      <c r="B401" s="320"/>
      <c r="C401" s="272"/>
      <c r="D401" s="273"/>
      <c r="E401" s="503"/>
      <c r="F401" s="305"/>
      <c r="G401" s="265"/>
      <c r="H401" s="266"/>
      <c r="I401" s="295"/>
      <c r="J401" s="296"/>
      <c r="K401" s="296"/>
      <c r="L401" s="296"/>
      <c r="M401" s="21"/>
      <c r="N401" s="21"/>
      <c r="O401" s="21"/>
      <c r="P401" s="21"/>
      <c r="Q401" s="325"/>
      <c r="R401" s="21"/>
      <c r="S401" s="274"/>
      <c r="T401" s="21"/>
      <c r="U401" s="275"/>
      <c r="V401" s="82"/>
      <c r="Z401" s="181"/>
      <c r="AA401" s="183"/>
      <c r="AB401" s="35"/>
      <c r="AC401" s="25"/>
      <c r="AD401" s="279"/>
      <c r="AE401" s="25"/>
      <c r="AF401" s="26"/>
      <c r="AG401" s="278" t="str">
        <f t="shared" si="108"/>
        <v/>
      </c>
      <c r="AH401" s="278" t="str">
        <f t="shared" si="109"/>
        <v/>
      </c>
      <c r="AJ401" s="25"/>
      <c r="AK401" s="25"/>
      <c r="AL401" s="25"/>
      <c r="AM401" s="25"/>
      <c r="AN401" s="25"/>
      <c r="AO401" s="25"/>
      <c r="AP401" s="25"/>
      <c r="AQ401" s="25"/>
      <c r="AR401" s="25"/>
      <c r="AS401" s="25"/>
      <c r="AT401" s="25"/>
      <c r="AU401" s="25"/>
      <c r="AV401" s="43"/>
      <c r="AW401" s="43"/>
      <c r="AX401" s="114" t="s">
        <v>76</v>
      </c>
      <c r="AY401" s="43"/>
      <c r="AZ401" s="43"/>
      <c r="BA401" s="43"/>
      <c r="BB401" s="43"/>
    </row>
    <row r="402" spans="1:54" ht="12.75" customHeight="1">
      <c r="A402" s="80"/>
      <c r="B402" s="320"/>
      <c r="C402" s="272"/>
      <c r="D402" s="273"/>
      <c r="E402" s="503"/>
      <c r="F402" s="305"/>
      <c r="G402" s="265"/>
      <c r="H402" s="266"/>
      <c r="I402" s="295"/>
      <c r="J402" s="296"/>
      <c r="K402" s="296"/>
      <c r="L402" s="296"/>
      <c r="M402" s="21"/>
      <c r="N402" s="21"/>
      <c r="O402" s="21"/>
      <c r="P402" s="21"/>
      <c r="Q402" s="325"/>
      <c r="R402" s="21"/>
      <c r="S402" s="274"/>
      <c r="T402" s="21"/>
      <c r="U402" s="275"/>
      <c r="V402" s="82"/>
      <c r="Z402" s="181"/>
      <c r="AA402" s="183"/>
      <c r="AB402" s="35"/>
      <c r="AC402" s="25"/>
      <c r="AD402" s="279"/>
      <c r="AE402" s="25"/>
      <c r="AF402" s="26"/>
      <c r="AG402" s="278" t="str">
        <f t="shared" si="108"/>
        <v/>
      </c>
      <c r="AH402" s="278" t="str">
        <f t="shared" si="109"/>
        <v/>
      </c>
      <c r="AJ402" s="25"/>
      <c r="AK402" s="25"/>
      <c r="AL402" s="25"/>
      <c r="AM402" s="25"/>
      <c r="AN402" s="25"/>
      <c r="AO402" s="25"/>
      <c r="AP402" s="25"/>
      <c r="AQ402" s="25"/>
      <c r="AR402" s="25"/>
      <c r="AS402" s="25"/>
      <c r="AT402" s="25"/>
      <c r="AU402" s="25"/>
      <c r="AV402" s="43"/>
      <c r="AW402" s="43"/>
      <c r="AX402" s="114" t="s">
        <v>76</v>
      </c>
      <c r="AY402" s="43"/>
      <c r="AZ402" s="43"/>
      <c r="BA402" s="43"/>
      <c r="BB402" s="43"/>
    </row>
    <row r="403" spans="1:54" ht="12.75" customHeight="1">
      <c r="A403" s="80"/>
      <c r="B403" s="320"/>
      <c r="C403" s="272"/>
      <c r="D403" s="273"/>
      <c r="E403" s="503"/>
      <c r="F403" s="305"/>
      <c r="G403" s="265"/>
      <c r="H403" s="266"/>
      <c r="I403" s="295"/>
      <c r="J403" s="296"/>
      <c r="K403" s="296"/>
      <c r="L403" s="296"/>
      <c r="M403" s="21"/>
      <c r="N403" s="21"/>
      <c r="O403" s="21"/>
      <c r="P403" s="21"/>
      <c r="Q403" s="325"/>
      <c r="R403" s="21"/>
      <c r="S403" s="274"/>
      <c r="T403" s="21"/>
      <c r="U403" s="275"/>
      <c r="V403" s="82"/>
      <c r="Z403" s="181"/>
      <c r="AA403" s="183"/>
      <c r="AB403" s="35"/>
      <c r="AC403" s="25"/>
      <c r="AD403" s="279"/>
      <c r="AE403" s="25"/>
      <c r="AF403" s="26"/>
      <c r="AG403" s="278" t="str">
        <f t="shared" si="108"/>
        <v/>
      </c>
      <c r="AH403" s="278" t="str">
        <f t="shared" si="109"/>
        <v/>
      </c>
      <c r="AJ403" s="25"/>
      <c r="AK403" s="25"/>
      <c r="AL403" s="25"/>
      <c r="AM403" s="25"/>
      <c r="AN403" s="25"/>
      <c r="AO403" s="25"/>
      <c r="AP403" s="25"/>
      <c r="AQ403" s="25"/>
      <c r="AR403" s="25"/>
      <c r="AS403" s="25"/>
      <c r="AT403" s="25"/>
      <c r="AU403" s="25"/>
      <c r="AV403" s="43"/>
      <c r="AW403" s="43"/>
      <c r="AX403" s="114" t="s">
        <v>76</v>
      </c>
      <c r="AY403" s="43"/>
      <c r="AZ403" s="43"/>
      <c r="BA403" s="43"/>
      <c r="BB403" s="43"/>
    </row>
    <row r="404" spans="1:54" ht="12.75" customHeight="1">
      <c r="A404" s="80"/>
      <c r="B404" s="320"/>
      <c r="C404" s="272"/>
      <c r="D404" s="273"/>
      <c r="E404" s="503"/>
      <c r="F404" s="305"/>
      <c r="G404" s="265"/>
      <c r="H404" s="266"/>
      <c r="I404" s="295"/>
      <c r="J404" s="296"/>
      <c r="K404" s="296"/>
      <c r="L404" s="296"/>
      <c r="M404" s="21"/>
      <c r="N404" s="21"/>
      <c r="O404" s="21"/>
      <c r="P404" s="21"/>
      <c r="Q404" s="325"/>
      <c r="R404" s="21"/>
      <c r="S404" s="274"/>
      <c r="T404" s="21"/>
      <c r="U404" s="275"/>
      <c r="V404" s="82"/>
      <c r="Z404" s="181"/>
      <c r="AA404" s="183"/>
      <c r="AB404" s="35"/>
      <c r="AC404" s="25"/>
      <c r="AD404" s="279"/>
      <c r="AE404" s="25"/>
      <c r="AF404" s="26"/>
      <c r="AG404" s="278" t="str">
        <f t="shared" si="108"/>
        <v/>
      </c>
      <c r="AH404" s="278" t="str">
        <f t="shared" si="109"/>
        <v/>
      </c>
      <c r="AJ404" s="25"/>
      <c r="AK404" s="25"/>
      <c r="AL404" s="25"/>
      <c r="AM404" s="25"/>
      <c r="AN404" s="25"/>
      <c r="AO404" s="25"/>
      <c r="AP404" s="25"/>
      <c r="AQ404" s="25"/>
      <c r="AR404" s="25"/>
      <c r="AS404" s="25"/>
      <c r="AT404" s="25"/>
      <c r="AU404" s="25"/>
      <c r="AV404" s="43"/>
      <c r="AW404" s="43"/>
      <c r="AX404" s="114" t="s">
        <v>76</v>
      </c>
      <c r="AY404" s="43"/>
      <c r="AZ404" s="43"/>
      <c r="BA404" s="43"/>
      <c r="BB404" s="43"/>
    </row>
    <row r="405" spans="1:54" ht="12.75" customHeight="1">
      <c r="A405" s="80"/>
      <c r="B405" s="320"/>
      <c r="C405" s="272"/>
      <c r="D405" s="273"/>
      <c r="E405" s="503"/>
      <c r="F405" s="305"/>
      <c r="G405" s="265"/>
      <c r="H405" s="266"/>
      <c r="I405" s="295"/>
      <c r="J405" s="296"/>
      <c r="K405" s="296"/>
      <c r="L405" s="296"/>
      <c r="M405" s="21"/>
      <c r="N405" s="21"/>
      <c r="O405" s="21"/>
      <c r="P405" s="21"/>
      <c r="Q405" s="325"/>
      <c r="R405" s="21"/>
      <c r="S405" s="274"/>
      <c r="T405" s="21"/>
      <c r="U405" s="275"/>
      <c r="V405" s="82"/>
      <c r="Z405" s="181"/>
      <c r="AA405" s="183"/>
      <c r="AB405" s="35"/>
      <c r="AC405" s="25"/>
      <c r="AD405" s="279"/>
      <c r="AE405" s="25"/>
      <c r="AF405" s="26"/>
      <c r="AG405" s="278" t="str">
        <f t="shared" si="108"/>
        <v/>
      </c>
      <c r="AH405" s="278" t="str">
        <f t="shared" si="109"/>
        <v/>
      </c>
      <c r="AJ405" s="25"/>
      <c r="AK405" s="25"/>
      <c r="AL405" s="25"/>
      <c r="AM405" s="25"/>
      <c r="AN405" s="25"/>
      <c r="AO405" s="25"/>
      <c r="AP405" s="25"/>
      <c r="AQ405" s="25"/>
      <c r="AR405" s="25"/>
      <c r="AS405" s="25"/>
      <c r="AT405" s="25"/>
      <c r="AU405" s="25"/>
      <c r="AV405" s="43"/>
      <c r="AW405" s="43"/>
      <c r="AX405" s="114" t="s">
        <v>76</v>
      </c>
      <c r="AY405" s="43"/>
      <c r="AZ405" s="43"/>
      <c r="BA405" s="43"/>
      <c r="BB405" s="43"/>
    </row>
    <row r="406" spans="1:54" ht="12.75" customHeight="1">
      <c r="A406" s="80"/>
      <c r="B406" s="320"/>
      <c r="C406" s="272"/>
      <c r="D406" s="273"/>
      <c r="E406" s="503"/>
      <c r="F406" s="305"/>
      <c r="G406" s="265"/>
      <c r="H406" s="266"/>
      <c r="I406" s="295"/>
      <c r="J406" s="296"/>
      <c r="K406" s="296"/>
      <c r="L406" s="296"/>
      <c r="M406" s="21"/>
      <c r="N406" s="21"/>
      <c r="O406" s="21"/>
      <c r="P406" s="21"/>
      <c r="Q406" s="325"/>
      <c r="R406" s="21"/>
      <c r="S406" s="274"/>
      <c r="T406" s="21"/>
      <c r="U406" s="275"/>
      <c r="V406" s="82"/>
      <c r="Z406" s="181"/>
      <c r="AA406" s="183"/>
      <c r="AB406" s="35"/>
      <c r="AC406" s="25"/>
      <c r="AD406" s="279"/>
      <c r="AE406" s="25"/>
      <c r="AF406" s="26"/>
      <c r="AG406" s="278" t="str">
        <f t="shared" si="108"/>
        <v/>
      </c>
      <c r="AH406" s="278" t="str">
        <f t="shared" si="109"/>
        <v/>
      </c>
      <c r="AJ406" s="25"/>
      <c r="AK406" s="25"/>
      <c r="AL406" s="25"/>
      <c r="AM406" s="25"/>
      <c r="AN406" s="25"/>
      <c r="AO406" s="25"/>
      <c r="AP406" s="25"/>
      <c r="AQ406" s="25"/>
      <c r="AR406" s="25"/>
      <c r="AS406" s="25"/>
      <c r="AT406" s="25"/>
      <c r="AU406" s="25"/>
      <c r="AV406" s="43"/>
      <c r="AW406" s="43"/>
      <c r="AX406" s="114" t="s">
        <v>76</v>
      </c>
      <c r="AY406" s="43"/>
      <c r="AZ406" s="43"/>
      <c r="BA406" s="43"/>
      <c r="BB406" s="43"/>
    </row>
    <row r="407" spans="1:54" ht="12.75" customHeight="1">
      <c r="A407" s="80"/>
      <c r="B407" s="320"/>
      <c r="C407" s="272"/>
      <c r="D407" s="273"/>
      <c r="E407" s="503"/>
      <c r="F407" s="305"/>
      <c r="G407" s="265"/>
      <c r="H407" s="266"/>
      <c r="I407" s="295"/>
      <c r="J407" s="296"/>
      <c r="K407" s="296"/>
      <c r="L407" s="296"/>
      <c r="M407" s="21"/>
      <c r="N407" s="21"/>
      <c r="O407" s="21"/>
      <c r="P407" s="21"/>
      <c r="Q407" s="325"/>
      <c r="R407" s="21"/>
      <c r="S407" s="274"/>
      <c r="T407" s="21"/>
      <c r="U407" s="275"/>
      <c r="V407" s="82"/>
      <c r="Z407" s="181"/>
      <c r="AA407" s="183"/>
      <c r="AB407" s="35"/>
      <c r="AC407" s="25"/>
      <c r="AD407" s="279"/>
      <c r="AE407" s="25"/>
      <c r="AF407" s="26"/>
      <c r="AG407" s="278" t="str">
        <f t="shared" si="108"/>
        <v/>
      </c>
      <c r="AH407" s="278" t="str">
        <f t="shared" si="109"/>
        <v/>
      </c>
      <c r="AJ407" s="25"/>
      <c r="AK407" s="25"/>
      <c r="AL407" s="25"/>
      <c r="AM407" s="25"/>
      <c r="AN407" s="25"/>
      <c r="AO407" s="25"/>
      <c r="AP407" s="25"/>
      <c r="AQ407" s="25"/>
      <c r="AR407" s="25"/>
      <c r="AS407" s="25"/>
      <c r="AT407" s="25"/>
      <c r="AU407" s="25"/>
      <c r="AV407" s="43"/>
      <c r="AW407" s="43"/>
      <c r="AX407" s="114" t="s">
        <v>76</v>
      </c>
      <c r="AY407" s="43"/>
      <c r="AZ407" s="43"/>
      <c r="BA407" s="43"/>
      <c r="BB407" s="43"/>
    </row>
    <row r="408" spans="1:54" ht="12.75" customHeight="1">
      <c r="A408" s="80"/>
      <c r="B408" s="320"/>
      <c r="C408" s="272"/>
      <c r="D408" s="273"/>
      <c r="E408" s="503"/>
      <c r="F408" s="305"/>
      <c r="G408" s="265"/>
      <c r="H408" s="266"/>
      <c r="I408" s="295"/>
      <c r="J408" s="296"/>
      <c r="K408" s="296"/>
      <c r="L408" s="296"/>
      <c r="M408" s="21"/>
      <c r="N408" s="21"/>
      <c r="O408" s="21"/>
      <c r="P408" s="21"/>
      <c r="Q408" s="325"/>
      <c r="R408" s="21"/>
      <c r="S408" s="274"/>
      <c r="T408" s="21"/>
      <c r="U408" s="275"/>
      <c r="V408" s="82"/>
      <c r="Z408" s="181"/>
      <c r="AA408" s="183"/>
      <c r="AB408" s="35"/>
      <c r="AC408" s="25"/>
      <c r="AD408" s="279"/>
      <c r="AE408" s="25"/>
      <c r="AF408" s="26"/>
      <c r="AG408" s="278" t="str">
        <f t="shared" si="108"/>
        <v/>
      </c>
      <c r="AH408" s="278" t="str">
        <f t="shared" si="109"/>
        <v/>
      </c>
      <c r="AJ408" s="25"/>
      <c r="AK408" s="25"/>
      <c r="AL408" s="25"/>
      <c r="AM408" s="25"/>
      <c r="AN408" s="25"/>
      <c r="AO408" s="25"/>
      <c r="AP408" s="25"/>
      <c r="AQ408" s="25"/>
      <c r="AR408" s="25"/>
      <c r="AS408" s="25"/>
      <c r="AT408" s="25"/>
      <c r="AU408" s="25"/>
      <c r="AV408" s="43"/>
      <c r="AW408" s="43"/>
      <c r="AX408" s="114" t="s">
        <v>76</v>
      </c>
      <c r="AY408" s="43"/>
      <c r="AZ408" s="43"/>
      <c r="BA408" s="43"/>
      <c r="BB408" s="43"/>
    </row>
    <row r="409" spans="1:54" ht="12.75" customHeight="1">
      <c r="A409" s="80"/>
      <c r="B409" s="320"/>
      <c r="C409" s="272"/>
      <c r="D409" s="273"/>
      <c r="E409" s="503"/>
      <c r="F409" s="305"/>
      <c r="G409" s="265"/>
      <c r="H409" s="266"/>
      <c r="I409" s="295"/>
      <c r="J409" s="296"/>
      <c r="K409" s="296"/>
      <c r="L409" s="296"/>
      <c r="M409" s="21"/>
      <c r="N409" s="21"/>
      <c r="O409" s="21"/>
      <c r="P409" s="21"/>
      <c r="Q409" s="325"/>
      <c r="R409" s="21"/>
      <c r="S409" s="274"/>
      <c r="T409" s="21"/>
      <c r="U409" s="275"/>
      <c r="V409" s="82"/>
      <c r="Z409" s="181"/>
      <c r="AA409" s="183"/>
      <c r="AB409" s="35"/>
      <c r="AC409" s="25"/>
      <c r="AD409" s="279"/>
      <c r="AE409" s="25"/>
      <c r="AF409" s="26"/>
      <c r="AG409" s="278" t="str">
        <f t="shared" si="108"/>
        <v/>
      </c>
      <c r="AH409" s="278" t="str">
        <f t="shared" si="109"/>
        <v/>
      </c>
      <c r="AJ409" s="25"/>
      <c r="AK409" s="25"/>
      <c r="AL409" s="25"/>
      <c r="AM409" s="25"/>
      <c r="AN409" s="25"/>
      <c r="AO409" s="25"/>
      <c r="AP409" s="25"/>
      <c r="AQ409" s="25"/>
      <c r="AR409" s="25"/>
      <c r="AS409" s="25"/>
      <c r="AT409" s="25"/>
      <c r="AU409" s="25"/>
      <c r="AV409" s="43"/>
      <c r="AW409" s="43"/>
      <c r="AX409" s="114" t="s">
        <v>76</v>
      </c>
      <c r="AY409" s="43"/>
      <c r="AZ409" s="43"/>
      <c r="BA409" s="43"/>
      <c r="BB409" s="43"/>
    </row>
    <row r="410" spans="1:54" ht="12.75" customHeight="1">
      <c r="A410" s="80"/>
      <c r="B410" s="320"/>
      <c r="C410" s="272"/>
      <c r="D410" s="273"/>
      <c r="E410" s="503"/>
      <c r="F410" s="305"/>
      <c r="G410" s="265"/>
      <c r="H410" s="266"/>
      <c r="I410" s="295"/>
      <c r="J410" s="296"/>
      <c r="K410" s="296"/>
      <c r="L410" s="296"/>
      <c r="M410" s="21"/>
      <c r="N410" s="21"/>
      <c r="O410" s="21"/>
      <c r="P410" s="21"/>
      <c r="Q410" s="325"/>
      <c r="R410" s="21"/>
      <c r="S410" s="274"/>
      <c r="T410" s="21"/>
      <c r="U410" s="275"/>
      <c r="V410" s="82"/>
      <c r="Z410" s="181"/>
      <c r="AA410" s="183"/>
      <c r="AB410" s="35"/>
      <c r="AC410" s="25"/>
      <c r="AD410" s="279"/>
      <c r="AE410" s="25"/>
      <c r="AF410" s="26"/>
      <c r="AG410" s="278" t="str">
        <f t="shared" si="108"/>
        <v/>
      </c>
      <c r="AH410" s="278" t="str">
        <f t="shared" si="109"/>
        <v/>
      </c>
      <c r="AJ410" s="25"/>
      <c r="AK410" s="25"/>
      <c r="AL410" s="25"/>
      <c r="AM410" s="25"/>
      <c r="AN410" s="25"/>
      <c r="AO410" s="25"/>
      <c r="AP410" s="25"/>
      <c r="AQ410" s="25"/>
      <c r="AR410" s="25"/>
      <c r="AS410" s="25"/>
      <c r="AT410" s="25"/>
      <c r="AU410" s="25"/>
      <c r="AV410" s="43"/>
      <c r="AW410" s="43"/>
      <c r="AX410" s="114" t="s">
        <v>76</v>
      </c>
      <c r="AY410" s="43"/>
      <c r="AZ410" s="43"/>
      <c r="BA410" s="43"/>
      <c r="BB410" s="43"/>
    </row>
    <row r="411" spans="1:54" ht="12.75" customHeight="1">
      <c r="A411" s="80"/>
      <c r="B411" s="320"/>
      <c r="C411" s="272"/>
      <c r="D411" s="273"/>
      <c r="E411" s="503"/>
      <c r="F411" s="305"/>
      <c r="G411" s="265"/>
      <c r="H411" s="266"/>
      <c r="I411" s="295"/>
      <c r="J411" s="296"/>
      <c r="K411" s="296"/>
      <c r="L411" s="296"/>
      <c r="M411" s="21"/>
      <c r="N411" s="21"/>
      <c r="O411" s="21"/>
      <c r="P411" s="21"/>
      <c r="Q411" s="325"/>
      <c r="R411" s="21"/>
      <c r="S411" s="274"/>
      <c r="T411" s="21"/>
      <c r="U411" s="275"/>
      <c r="V411" s="82"/>
      <c r="Z411" s="181"/>
      <c r="AA411" s="183"/>
      <c r="AB411" s="35"/>
      <c r="AC411" s="25"/>
      <c r="AD411" s="279"/>
      <c r="AE411" s="25"/>
      <c r="AF411" s="26"/>
      <c r="AG411" s="278" t="str">
        <f t="shared" si="108"/>
        <v/>
      </c>
      <c r="AH411" s="278" t="str">
        <f t="shared" si="109"/>
        <v/>
      </c>
      <c r="AJ411" s="25"/>
      <c r="AK411" s="25"/>
      <c r="AL411" s="25"/>
      <c r="AM411" s="25"/>
      <c r="AN411" s="25"/>
      <c r="AO411" s="25"/>
      <c r="AP411" s="25"/>
      <c r="AQ411" s="25"/>
      <c r="AR411" s="25"/>
      <c r="AS411" s="25"/>
      <c r="AT411" s="25"/>
      <c r="AU411" s="25"/>
      <c r="AV411" s="43"/>
      <c r="AW411" s="43"/>
      <c r="AX411" s="114" t="s">
        <v>76</v>
      </c>
      <c r="AY411" s="43"/>
      <c r="AZ411" s="43"/>
      <c r="BA411" s="43"/>
      <c r="BB411" s="43"/>
    </row>
    <row r="412" spans="1:54" ht="12.75" customHeight="1">
      <c r="A412" s="80"/>
      <c r="B412" s="320"/>
      <c r="C412" s="272"/>
      <c r="D412" s="273"/>
      <c r="E412" s="503"/>
      <c r="F412" s="305"/>
      <c r="G412" s="265"/>
      <c r="H412" s="266"/>
      <c r="I412" s="295"/>
      <c r="J412" s="296"/>
      <c r="K412" s="296"/>
      <c r="L412" s="296"/>
      <c r="M412" s="21"/>
      <c r="N412" s="21"/>
      <c r="O412" s="21"/>
      <c r="P412" s="21"/>
      <c r="Q412" s="325"/>
      <c r="R412" s="21"/>
      <c r="S412" s="274"/>
      <c r="T412" s="21"/>
      <c r="U412" s="275"/>
      <c r="V412" s="82"/>
      <c r="Z412" s="181"/>
      <c r="AA412" s="183"/>
      <c r="AB412" s="35"/>
      <c r="AC412" s="25"/>
      <c r="AD412" s="279"/>
      <c r="AE412" s="25"/>
      <c r="AF412" s="26"/>
      <c r="AG412" s="278" t="str">
        <f t="shared" si="108"/>
        <v/>
      </c>
      <c r="AH412" s="278" t="str">
        <f t="shared" si="109"/>
        <v/>
      </c>
      <c r="AJ412" s="25"/>
      <c r="AK412" s="25"/>
      <c r="AL412" s="25"/>
      <c r="AM412" s="25"/>
      <c r="AN412" s="25"/>
      <c r="AO412" s="25"/>
      <c r="AP412" s="25"/>
      <c r="AQ412" s="25"/>
      <c r="AR412" s="25"/>
      <c r="AS412" s="25"/>
      <c r="AT412" s="25"/>
      <c r="AU412" s="25"/>
      <c r="AV412" s="43"/>
      <c r="AW412" s="43"/>
      <c r="AX412" s="114" t="s">
        <v>76</v>
      </c>
      <c r="AY412" s="43"/>
      <c r="AZ412" s="43"/>
      <c r="BA412" s="43"/>
      <c r="BB412" s="43"/>
    </row>
    <row r="413" spans="1:54" ht="12.75" customHeight="1">
      <c r="A413" s="80"/>
      <c r="B413" s="320"/>
      <c r="C413" s="272"/>
      <c r="D413" s="273"/>
      <c r="E413" s="503"/>
      <c r="F413" s="305"/>
      <c r="G413" s="265"/>
      <c r="H413" s="266"/>
      <c r="I413" s="295"/>
      <c r="J413" s="296"/>
      <c r="K413" s="296"/>
      <c r="L413" s="296"/>
      <c r="M413" s="21"/>
      <c r="N413" s="21"/>
      <c r="O413" s="21"/>
      <c r="P413" s="21"/>
      <c r="Q413" s="325"/>
      <c r="R413" s="21"/>
      <c r="S413" s="274"/>
      <c r="T413" s="21"/>
      <c r="U413" s="275"/>
      <c r="V413" s="82"/>
      <c r="Z413" s="181"/>
      <c r="AA413" s="183"/>
      <c r="AB413" s="35"/>
      <c r="AC413" s="25"/>
      <c r="AD413" s="279"/>
      <c r="AE413" s="25"/>
      <c r="AF413" s="26"/>
      <c r="AG413" s="278" t="str">
        <f t="shared" si="108"/>
        <v/>
      </c>
      <c r="AH413" s="278" t="str">
        <f t="shared" si="109"/>
        <v/>
      </c>
      <c r="AJ413" s="25"/>
      <c r="AK413" s="25"/>
      <c r="AL413" s="25"/>
      <c r="AM413" s="25"/>
      <c r="AN413" s="25"/>
      <c r="AO413" s="25"/>
      <c r="AP413" s="25"/>
      <c r="AQ413" s="25"/>
      <c r="AR413" s="25"/>
      <c r="AS413" s="25"/>
      <c r="AT413" s="25"/>
      <c r="AU413" s="25"/>
      <c r="AV413" s="43"/>
      <c r="AW413" s="43"/>
      <c r="AX413" s="114" t="s">
        <v>76</v>
      </c>
      <c r="AY413" s="43"/>
      <c r="AZ413" s="43"/>
      <c r="BA413" s="43"/>
      <c r="BB413" s="43"/>
    </row>
    <row r="414" spans="1:54" ht="12.75" customHeight="1">
      <c r="A414" s="80"/>
      <c r="B414" s="320"/>
      <c r="C414" s="272"/>
      <c r="D414" s="273"/>
      <c r="E414" s="503"/>
      <c r="F414" s="305"/>
      <c r="G414" s="265"/>
      <c r="H414" s="266"/>
      <c r="I414" s="295"/>
      <c r="J414" s="296"/>
      <c r="K414" s="296"/>
      <c r="L414" s="296"/>
      <c r="M414" s="21"/>
      <c r="N414" s="21"/>
      <c r="O414" s="21"/>
      <c r="P414" s="21"/>
      <c r="Q414" s="325"/>
      <c r="R414" s="21"/>
      <c r="S414" s="274"/>
      <c r="T414" s="21"/>
      <c r="U414" s="275"/>
      <c r="V414" s="82"/>
      <c r="Z414" s="181"/>
      <c r="AA414" s="183"/>
      <c r="AB414" s="35"/>
      <c r="AC414" s="25"/>
      <c r="AD414" s="279"/>
      <c r="AE414" s="25"/>
      <c r="AF414" s="26"/>
      <c r="AG414" s="278" t="str">
        <f t="shared" si="108"/>
        <v/>
      </c>
      <c r="AH414" s="278" t="str">
        <f t="shared" si="109"/>
        <v/>
      </c>
      <c r="AJ414" s="25"/>
      <c r="AK414" s="25"/>
      <c r="AL414" s="25"/>
      <c r="AM414" s="25"/>
      <c r="AN414" s="25"/>
      <c r="AO414" s="25"/>
      <c r="AP414" s="25"/>
      <c r="AQ414" s="25"/>
      <c r="AR414" s="25"/>
      <c r="AS414" s="25"/>
      <c r="AT414" s="25"/>
      <c r="AU414" s="25"/>
      <c r="AV414" s="43"/>
      <c r="AW414" s="43"/>
      <c r="AX414" s="114" t="s">
        <v>76</v>
      </c>
      <c r="AY414" s="43"/>
      <c r="AZ414" s="43"/>
      <c r="BA414" s="43"/>
      <c r="BB414" s="43"/>
    </row>
    <row r="415" spans="1:54" ht="12.75" customHeight="1">
      <c r="A415" s="80"/>
      <c r="B415" s="320"/>
      <c r="C415" s="272"/>
      <c r="D415" s="273"/>
      <c r="E415" s="503"/>
      <c r="F415" s="305"/>
      <c r="G415" s="265"/>
      <c r="H415" s="266"/>
      <c r="I415" s="295"/>
      <c r="J415" s="296"/>
      <c r="K415" s="296"/>
      <c r="L415" s="296"/>
      <c r="M415" s="21"/>
      <c r="N415" s="21"/>
      <c r="O415" s="21"/>
      <c r="P415" s="21"/>
      <c r="Q415" s="325"/>
      <c r="R415" s="21"/>
      <c r="S415" s="274"/>
      <c r="T415" s="21"/>
      <c r="U415" s="275"/>
      <c r="V415" s="82"/>
      <c r="Z415" s="181"/>
      <c r="AA415" s="183"/>
      <c r="AB415" s="35"/>
      <c r="AC415" s="25"/>
      <c r="AD415" s="279"/>
      <c r="AE415" s="25"/>
      <c r="AF415" s="26"/>
      <c r="AG415" s="278" t="str">
        <f t="shared" si="108"/>
        <v/>
      </c>
      <c r="AH415" s="278" t="str">
        <f t="shared" si="109"/>
        <v/>
      </c>
      <c r="AJ415" s="25"/>
      <c r="AK415" s="25"/>
      <c r="AL415" s="25"/>
      <c r="AM415" s="25"/>
      <c r="AN415" s="25"/>
      <c r="AO415" s="25"/>
      <c r="AP415" s="25"/>
      <c r="AQ415" s="25"/>
      <c r="AR415" s="25"/>
      <c r="AS415" s="25"/>
      <c r="AT415" s="25"/>
      <c r="AU415" s="25"/>
      <c r="AV415" s="43"/>
      <c r="AW415" s="43"/>
      <c r="AX415" s="114" t="s">
        <v>76</v>
      </c>
      <c r="AY415" s="43"/>
      <c r="AZ415" s="43"/>
      <c r="BA415" s="43"/>
      <c r="BB415" s="43"/>
    </row>
    <row r="416" spans="1:54" ht="12.75" customHeight="1">
      <c r="A416" s="80"/>
      <c r="B416" s="320"/>
      <c r="C416" s="272"/>
      <c r="D416" s="273"/>
      <c r="E416" s="503"/>
      <c r="F416" s="305"/>
      <c r="G416" s="265"/>
      <c r="H416" s="266"/>
      <c r="I416" s="295"/>
      <c r="J416" s="296"/>
      <c r="K416" s="296"/>
      <c r="L416" s="296"/>
      <c r="M416" s="21"/>
      <c r="N416" s="21"/>
      <c r="O416" s="21"/>
      <c r="P416" s="21"/>
      <c r="Q416" s="325"/>
      <c r="R416" s="21"/>
      <c r="S416" s="274"/>
      <c r="T416" s="21"/>
      <c r="U416" s="275"/>
      <c r="V416" s="82"/>
      <c r="Z416" s="181"/>
      <c r="AA416" s="183"/>
      <c r="AB416" s="35"/>
      <c r="AC416" s="25"/>
      <c r="AD416" s="279"/>
      <c r="AE416" s="25"/>
      <c r="AF416" s="26"/>
      <c r="AG416" s="278" t="str">
        <f t="shared" si="108"/>
        <v/>
      </c>
      <c r="AH416" s="278" t="str">
        <f t="shared" si="109"/>
        <v/>
      </c>
      <c r="AJ416" s="25"/>
      <c r="AK416" s="25"/>
      <c r="AL416" s="25"/>
      <c r="AM416" s="25"/>
      <c r="AN416" s="25"/>
      <c r="AO416" s="25"/>
      <c r="AP416" s="25"/>
      <c r="AQ416" s="25"/>
      <c r="AR416" s="25"/>
      <c r="AS416" s="25"/>
      <c r="AT416" s="25"/>
      <c r="AU416" s="25"/>
      <c r="AV416" s="43"/>
      <c r="AW416" s="43"/>
      <c r="AX416" s="114" t="s">
        <v>76</v>
      </c>
      <c r="AY416" s="43"/>
      <c r="AZ416" s="43"/>
      <c r="BA416" s="43"/>
      <c r="BB416" s="43"/>
    </row>
    <row r="417" spans="1:54" ht="12.75" customHeight="1">
      <c r="A417" s="80"/>
      <c r="B417" s="320"/>
      <c r="C417" s="272"/>
      <c r="D417" s="273"/>
      <c r="E417" s="503"/>
      <c r="F417" s="305"/>
      <c r="G417" s="265"/>
      <c r="H417" s="266"/>
      <c r="I417" s="295"/>
      <c r="J417" s="296"/>
      <c r="K417" s="296"/>
      <c r="L417" s="296"/>
      <c r="M417" s="21"/>
      <c r="N417" s="21"/>
      <c r="O417" s="21"/>
      <c r="P417" s="21"/>
      <c r="Q417" s="325"/>
      <c r="R417" s="21"/>
      <c r="S417" s="274"/>
      <c r="T417" s="21"/>
      <c r="U417" s="275"/>
      <c r="V417" s="82"/>
      <c r="Z417" s="181"/>
      <c r="AA417" s="183"/>
      <c r="AB417" s="35"/>
      <c r="AC417" s="25"/>
      <c r="AD417" s="279"/>
      <c r="AE417" s="25"/>
      <c r="AF417" s="26"/>
      <c r="AG417" s="278" t="str">
        <f t="shared" si="108"/>
        <v/>
      </c>
      <c r="AH417" s="278" t="str">
        <f t="shared" si="109"/>
        <v/>
      </c>
      <c r="AJ417" s="25"/>
      <c r="AK417" s="25"/>
      <c r="AL417" s="25"/>
      <c r="AM417" s="25"/>
      <c r="AN417" s="25"/>
      <c r="AO417" s="25"/>
      <c r="AP417" s="25"/>
      <c r="AQ417" s="25"/>
      <c r="AR417" s="25"/>
      <c r="AS417" s="25"/>
      <c r="AT417" s="25"/>
      <c r="AU417" s="25"/>
      <c r="AV417" s="43"/>
      <c r="AW417" s="43"/>
      <c r="AX417" s="114" t="s">
        <v>76</v>
      </c>
      <c r="AY417" s="43"/>
      <c r="AZ417" s="43"/>
      <c r="BA417" s="43"/>
      <c r="BB417" s="43"/>
    </row>
    <row r="418" spans="1:54" ht="12.75" customHeight="1">
      <c r="A418" s="80"/>
      <c r="B418" s="320"/>
      <c r="C418" s="272"/>
      <c r="D418" s="273"/>
      <c r="E418" s="503"/>
      <c r="F418" s="305"/>
      <c r="G418" s="265"/>
      <c r="H418" s="266"/>
      <c r="I418" s="295"/>
      <c r="J418" s="296"/>
      <c r="K418" s="296"/>
      <c r="L418" s="296"/>
      <c r="M418" s="21"/>
      <c r="N418" s="21"/>
      <c r="O418" s="21"/>
      <c r="P418" s="21"/>
      <c r="Q418" s="325"/>
      <c r="R418" s="21"/>
      <c r="S418" s="274"/>
      <c r="T418" s="21"/>
      <c r="U418" s="275"/>
      <c r="V418" s="82"/>
      <c r="Z418" s="181"/>
      <c r="AA418" s="183"/>
      <c r="AB418" s="35"/>
      <c r="AC418" s="25"/>
      <c r="AD418" s="279"/>
      <c r="AE418" s="25"/>
      <c r="AF418" s="26"/>
      <c r="AG418" s="278" t="str">
        <f t="shared" si="108"/>
        <v/>
      </c>
      <c r="AH418" s="278" t="str">
        <f t="shared" si="109"/>
        <v/>
      </c>
      <c r="AJ418" s="25"/>
      <c r="AK418" s="25"/>
      <c r="AL418" s="25"/>
      <c r="AM418" s="25"/>
      <c r="AN418" s="25"/>
      <c r="AO418" s="25"/>
      <c r="AP418" s="25"/>
      <c r="AQ418" s="25"/>
      <c r="AR418" s="25"/>
      <c r="AS418" s="25"/>
      <c r="AT418" s="25"/>
      <c r="AU418" s="25"/>
      <c r="AV418" s="43"/>
      <c r="AW418" s="43"/>
      <c r="AX418" s="114" t="s">
        <v>76</v>
      </c>
      <c r="AY418" s="43"/>
      <c r="AZ418" s="43"/>
      <c r="BA418" s="43"/>
      <c r="BB418" s="43"/>
    </row>
    <row r="419" spans="1:54" ht="12.75" customHeight="1">
      <c r="A419" s="80"/>
      <c r="B419" s="320"/>
      <c r="C419" s="272"/>
      <c r="D419" s="273"/>
      <c r="E419" s="503"/>
      <c r="F419" s="305"/>
      <c r="G419" s="265"/>
      <c r="H419" s="266"/>
      <c r="I419" s="295"/>
      <c r="J419" s="296"/>
      <c r="K419" s="296"/>
      <c r="L419" s="296"/>
      <c r="M419" s="21"/>
      <c r="N419" s="21"/>
      <c r="O419" s="21"/>
      <c r="P419" s="21"/>
      <c r="Q419" s="325"/>
      <c r="R419" s="21"/>
      <c r="S419" s="274"/>
      <c r="T419" s="21"/>
      <c r="U419" s="275"/>
      <c r="V419" s="82"/>
      <c r="Z419" s="181"/>
      <c r="AA419" s="183"/>
      <c r="AB419" s="35"/>
      <c r="AC419" s="25"/>
      <c r="AD419" s="279"/>
      <c r="AE419" s="25"/>
      <c r="AF419" s="26"/>
      <c r="AG419" s="278" t="str">
        <f t="shared" si="108"/>
        <v/>
      </c>
      <c r="AH419" s="278" t="str">
        <f t="shared" si="109"/>
        <v/>
      </c>
      <c r="AJ419" s="25"/>
      <c r="AK419" s="25"/>
      <c r="AL419" s="25"/>
      <c r="AM419" s="25"/>
      <c r="AN419" s="25"/>
      <c r="AO419" s="25"/>
      <c r="AP419" s="25"/>
      <c r="AQ419" s="25"/>
      <c r="AR419" s="25"/>
      <c r="AS419" s="25"/>
      <c r="AT419" s="25"/>
      <c r="AU419" s="25"/>
      <c r="AV419" s="43"/>
      <c r="AW419" s="43"/>
      <c r="AX419" s="114" t="s">
        <v>76</v>
      </c>
      <c r="AY419" s="43"/>
      <c r="AZ419" s="43"/>
      <c r="BA419" s="43"/>
      <c r="BB419" s="43"/>
    </row>
    <row r="420" spans="1:54" ht="12.75" customHeight="1">
      <c r="A420" s="80"/>
      <c r="B420" s="320"/>
      <c r="C420" s="272"/>
      <c r="D420" s="273"/>
      <c r="E420" s="503"/>
      <c r="F420" s="305"/>
      <c r="G420" s="265"/>
      <c r="H420" s="266"/>
      <c r="I420" s="295"/>
      <c r="J420" s="296"/>
      <c r="K420" s="296"/>
      <c r="L420" s="296"/>
      <c r="M420" s="21"/>
      <c r="N420" s="21"/>
      <c r="O420" s="21"/>
      <c r="P420" s="21"/>
      <c r="Q420" s="325"/>
      <c r="R420" s="21"/>
      <c r="S420" s="274"/>
      <c r="T420" s="21"/>
      <c r="U420" s="275"/>
      <c r="V420" s="82"/>
      <c r="Z420" s="181"/>
      <c r="AA420" s="183"/>
      <c r="AB420" s="35"/>
      <c r="AC420" s="25"/>
      <c r="AD420" s="279"/>
      <c r="AE420" s="25"/>
      <c r="AF420" s="26"/>
      <c r="AG420" s="278" t="str">
        <f t="shared" si="108"/>
        <v/>
      </c>
      <c r="AH420" s="278" t="str">
        <f t="shared" si="109"/>
        <v/>
      </c>
      <c r="AJ420" s="25"/>
      <c r="AK420" s="25"/>
      <c r="AL420" s="25"/>
      <c r="AM420" s="25"/>
      <c r="AN420" s="25"/>
      <c r="AO420" s="25"/>
      <c r="AP420" s="25"/>
      <c r="AQ420" s="25"/>
      <c r="AR420" s="25"/>
      <c r="AS420" s="25"/>
      <c r="AT420" s="25"/>
      <c r="AU420" s="25"/>
      <c r="AV420" s="43"/>
      <c r="AW420" s="43"/>
      <c r="AX420" s="114" t="s">
        <v>76</v>
      </c>
      <c r="AY420" s="43"/>
      <c r="AZ420" s="43"/>
      <c r="BA420" s="43"/>
      <c r="BB420" s="43"/>
    </row>
    <row r="421" spans="1:54" ht="12.75" customHeight="1">
      <c r="A421" s="80"/>
      <c r="B421" s="320"/>
      <c r="C421" s="272"/>
      <c r="D421" s="273"/>
      <c r="E421" s="503"/>
      <c r="F421" s="305"/>
      <c r="G421" s="265"/>
      <c r="H421" s="266"/>
      <c r="I421" s="295"/>
      <c r="J421" s="296"/>
      <c r="K421" s="296"/>
      <c r="L421" s="296"/>
      <c r="M421" s="21"/>
      <c r="N421" s="21"/>
      <c r="O421" s="21"/>
      <c r="P421" s="21"/>
      <c r="Q421" s="325"/>
      <c r="R421" s="21"/>
      <c r="S421" s="274"/>
      <c r="T421" s="21"/>
      <c r="U421" s="275"/>
      <c r="V421" s="82"/>
      <c r="Z421" s="181"/>
      <c r="AA421" s="183"/>
      <c r="AB421" s="35"/>
      <c r="AC421" s="25"/>
      <c r="AD421" s="279"/>
      <c r="AE421" s="25"/>
      <c r="AF421" s="26"/>
      <c r="AG421" s="278" t="str">
        <f t="shared" si="108"/>
        <v/>
      </c>
      <c r="AH421" s="278" t="str">
        <f t="shared" si="109"/>
        <v/>
      </c>
      <c r="AJ421" s="25"/>
      <c r="AK421" s="25"/>
      <c r="AL421" s="25"/>
      <c r="AM421" s="25"/>
      <c r="AN421" s="25"/>
      <c r="AO421" s="25"/>
      <c r="AP421" s="25"/>
      <c r="AQ421" s="25"/>
      <c r="AR421" s="25"/>
      <c r="AS421" s="25"/>
      <c r="AT421" s="25"/>
      <c r="AU421" s="25"/>
      <c r="AV421" s="43"/>
      <c r="AW421" s="43"/>
      <c r="AX421" s="114" t="s">
        <v>76</v>
      </c>
      <c r="AY421" s="43"/>
      <c r="AZ421" s="43"/>
      <c r="BA421" s="43"/>
      <c r="BB421" s="43"/>
    </row>
    <row r="422" spans="1:54" ht="12.75" customHeight="1">
      <c r="A422" s="80"/>
      <c r="B422" s="320"/>
      <c r="C422" s="272"/>
      <c r="D422" s="273"/>
      <c r="E422" s="503"/>
      <c r="F422" s="305"/>
      <c r="G422" s="265"/>
      <c r="H422" s="266"/>
      <c r="I422" s="295"/>
      <c r="J422" s="296"/>
      <c r="K422" s="296"/>
      <c r="L422" s="296"/>
      <c r="M422" s="21"/>
      <c r="N422" s="21"/>
      <c r="O422" s="21"/>
      <c r="P422" s="21"/>
      <c r="Q422" s="325"/>
      <c r="R422" s="21"/>
      <c r="S422" s="274"/>
      <c r="T422" s="21"/>
      <c r="U422" s="275"/>
      <c r="V422" s="82"/>
      <c r="Z422" s="181"/>
      <c r="AA422" s="183"/>
      <c r="AB422" s="35"/>
      <c r="AC422" s="25"/>
      <c r="AD422" s="279"/>
      <c r="AE422" s="25"/>
      <c r="AF422" s="26"/>
      <c r="AG422" s="278" t="str">
        <f t="shared" si="108"/>
        <v/>
      </c>
      <c r="AH422" s="278" t="str">
        <f t="shared" si="109"/>
        <v/>
      </c>
      <c r="AJ422" s="25"/>
      <c r="AK422" s="25"/>
      <c r="AL422" s="25"/>
      <c r="AM422" s="25"/>
      <c r="AN422" s="25"/>
      <c r="AO422" s="25"/>
      <c r="AP422" s="25"/>
      <c r="AQ422" s="25"/>
      <c r="AR422" s="25"/>
      <c r="AS422" s="25"/>
      <c r="AT422" s="25"/>
      <c r="AU422" s="25"/>
      <c r="AV422" s="43"/>
      <c r="AW422" s="43"/>
      <c r="AX422" s="114" t="s">
        <v>76</v>
      </c>
      <c r="AY422" s="43"/>
      <c r="AZ422" s="43"/>
      <c r="BA422" s="43"/>
      <c r="BB422" s="43"/>
    </row>
    <row r="423" spans="1:54" ht="12.75" customHeight="1">
      <c r="A423" s="80"/>
      <c r="B423" s="320"/>
      <c r="C423" s="272"/>
      <c r="D423" s="273"/>
      <c r="E423" s="503"/>
      <c r="F423" s="305"/>
      <c r="G423" s="265"/>
      <c r="H423" s="266"/>
      <c r="I423" s="295"/>
      <c r="J423" s="296"/>
      <c r="K423" s="296"/>
      <c r="L423" s="296"/>
      <c r="M423" s="21"/>
      <c r="N423" s="21"/>
      <c r="O423" s="21"/>
      <c r="P423" s="21"/>
      <c r="Q423" s="325"/>
      <c r="R423" s="21"/>
      <c r="S423" s="274"/>
      <c r="T423" s="21"/>
      <c r="U423" s="275"/>
      <c r="V423" s="82"/>
      <c r="Z423" s="181"/>
      <c r="AA423" s="183"/>
      <c r="AB423" s="35"/>
      <c r="AC423" s="25"/>
      <c r="AD423" s="279"/>
      <c r="AE423" s="25"/>
      <c r="AF423" s="26"/>
      <c r="AG423" s="278" t="str">
        <f t="shared" si="108"/>
        <v/>
      </c>
      <c r="AH423" s="278" t="str">
        <f t="shared" si="109"/>
        <v/>
      </c>
      <c r="AJ423" s="25"/>
      <c r="AK423" s="25"/>
      <c r="AL423" s="25"/>
      <c r="AM423" s="25"/>
      <c r="AN423" s="25"/>
      <c r="AO423" s="25"/>
      <c r="AP423" s="25"/>
      <c r="AQ423" s="25"/>
      <c r="AR423" s="25"/>
      <c r="AS423" s="25"/>
      <c r="AT423" s="25"/>
      <c r="AU423" s="25"/>
      <c r="AV423" s="43"/>
      <c r="AW423" s="43"/>
      <c r="AX423" s="114" t="s">
        <v>76</v>
      </c>
      <c r="AY423" s="43"/>
      <c r="AZ423" s="43"/>
      <c r="BA423" s="43"/>
      <c r="BB423" s="43"/>
    </row>
    <row r="424" spans="1:54" ht="12.75" customHeight="1">
      <c r="A424" s="80"/>
      <c r="B424" s="320"/>
      <c r="C424" s="272"/>
      <c r="D424" s="273"/>
      <c r="E424" s="503"/>
      <c r="F424" s="305"/>
      <c r="G424" s="265"/>
      <c r="H424" s="266"/>
      <c r="I424" s="295"/>
      <c r="J424" s="296"/>
      <c r="K424" s="296"/>
      <c r="L424" s="296"/>
      <c r="M424" s="21"/>
      <c r="N424" s="21"/>
      <c r="O424" s="21"/>
      <c r="P424" s="21"/>
      <c r="Q424" s="325"/>
      <c r="R424" s="21"/>
      <c r="S424" s="274"/>
      <c r="T424" s="21"/>
      <c r="U424" s="275"/>
      <c r="V424" s="82"/>
      <c r="Z424" s="181"/>
      <c r="AA424" s="183"/>
      <c r="AB424" s="35"/>
      <c r="AC424" s="25"/>
      <c r="AD424" s="279"/>
      <c r="AE424" s="25"/>
      <c r="AF424" s="26"/>
      <c r="AG424" s="278" t="str">
        <f t="shared" si="108"/>
        <v/>
      </c>
      <c r="AH424" s="278" t="str">
        <f t="shared" si="109"/>
        <v/>
      </c>
      <c r="AJ424" s="25"/>
      <c r="AK424" s="25"/>
      <c r="AL424" s="25"/>
      <c r="AM424" s="25"/>
      <c r="AN424" s="25"/>
      <c r="AO424" s="25"/>
      <c r="AP424" s="25"/>
      <c r="AQ424" s="25"/>
      <c r="AR424" s="25"/>
      <c r="AS424" s="25"/>
      <c r="AT424" s="25"/>
      <c r="AU424" s="25"/>
      <c r="AV424" s="43"/>
      <c r="AW424" s="43"/>
      <c r="AX424" s="114" t="s">
        <v>76</v>
      </c>
      <c r="AY424" s="43"/>
      <c r="AZ424" s="43"/>
      <c r="BA424" s="43"/>
      <c r="BB424" s="43"/>
    </row>
    <row r="425" spans="1:54" ht="12.75" customHeight="1">
      <c r="A425" s="80"/>
      <c r="B425" s="320"/>
      <c r="C425" s="272"/>
      <c r="D425" s="273"/>
      <c r="E425" s="503"/>
      <c r="F425" s="305"/>
      <c r="G425" s="265"/>
      <c r="H425" s="266"/>
      <c r="I425" s="295"/>
      <c r="J425" s="296"/>
      <c r="K425" s="296"/>
      <c r="L425" s="296"/>
      <c r="M425" s="21"/>
      <c r="N425" s="21"/>
      <c r="O425" s="21"/>
      <c r="P425" s="21"/>
      <c r="Q425" s="325"/>
      <c r="R425" s="21"/>
      <c r="S425" s="274"/>
      <c r="T425" s="21"/>
      <c r="U425" s="275"/>
      <c r="V425" s="82"/>
      <c r="Z425" s="181"/>
      <c r="AA425" s="183"/>
      <c r="AB425" s="35"/>
      <c r="AC425" s="25"/>
      <c r="AD425" s="279"/>
      <c r="AE425" s="25"/>
      <c r="AF425" s="26"/>
      <c r="AG425" s="278" t="str">
        <f t="shared" si="108"/>
        <v/>
      </c>
      <c r="AH425" s="278" t="str">
        <f t="shared" si="109"/>
        <v/>
      </c>
      <c r="AJ425" s="25"/>
      <c r="AK425" s="25"/>
      <c r="AL425" s="25"/>
      <c r="AM425" s="25"/>
      <c r="AN425" s="25"/>
      <c r="AO425" s="25"/>
      <c r="AP425" s="25"/>
      <c r="AQ425" s="25"/>
      <c r="AR425" s="25"/>
      <c r="AS425" s="25"/>
      <c r="AT425" s="25"/>
      <c r="AU425" s="25"/>
      <c r="AV425" s="43"/>
      <c r="AW425" s="43"/>
      <c r="AX425" s="114" t="s">
        <v>76</v>
      </c>
      <c r="AY425" s="43"/>
      <c r="AZ425" s="43"/>
      <c r="BA425" s="43"/>
      <c r="BB425" s="43"/>
    </row>
    <row r="426" spans="1:54" ht="12.75" customHeight="1">
      <c r="A426" s="80"/>
      <c r="B426" s="320"/>
      <c r="C426" s="272"/>
      <c r="D426" s="273"/>
      <c r="E426" s="503"/>
      <c r="F426" s="305"/>
      <c r="G426" s="265"/>
      <c r="H426" s="266"/>
      <c r="I426" s="295"/>
      <c r="J426" s="296"/>
      <c r="K426" s="296"/>
      <c r="L426" s="296"/>
      <c r="M426" s="21"/>
      <c r="N426" s="21"/>
      <c r="O426" s="21"/>
      <c r="P426" s="21"/>
      <c r="Q426" s="325"/>
      <c r="R426" s="21"/>
      <c r="S426" s="274"/>
      <c r="T426" s="21"/>
      <c r="U426" s="275"/>
      <c r="V426" s="82"/>
      <c r="Z426" s="181"/>
      <c r="AA426" s="183"/>
      <c r="AB426" s="35"/>
      <c r="AC426" s="25"/>
      <c r="AD426" s="279"/>
      <c r="AE426" s="25"/>
      <c r="AF426" s="26"/>
      <c r="AG426" s="278" t="str">
        <f t="shared" si="108"/>
        <v/>
      </c>
      <c r="AH426" s="278" t="str">
        <f t="shared" si="109"/>
        <v/>
      </c>
      <c r="AJ426" s="25"/>
      <c r="AK426" s="25"/>
      <c r="AL426" s="25"/>
      <c r="AM426" s="25"/>
      <c r="AN426" s="25"/>
      <c r="AO426" s="25"/>
      <c r="AP426" s="25"/>
      <c r="AQ426" s="25"/>
      <c r="AR426" s="25"/>
      <c r="AS426" s="25"/>
      <c r="AT426" s="25"/>
      <c r="AU426" s="25"/>
      <c r="AV426" s="43"/>
      <c r="AW426" s="43"/>
      <c r="AX426" s="114" t="s">
        <v>76</v>
      </c>
      <c r="AY426" s="43"/>
      <c r="AZ426" s="43"/>
      <c r="BA426" s="43"/>
      <c r="BB426" s="43"/>
    </row>
    <row r="427" spans="1:54" ht="12.75" customHeight="1">
      <c r="A427" s="80"/>
      <c r="B427" s="320"/>
      <c r="C427" s="272"/>
      <c r="D427" s="273"/>
      <c r="E427" s="503"/>
      <c r="F427" s="305"/>
      <c r="G427" s="265"/>
      <c r="H427" s="266"/>
      <c r="I427" s="295"/>
      <c r="J427" s="296"/>
      <c r="K427" s="296"/>
      <c r="L427" s="296"/>
      <c r="M427" s="21"/>
      <c r="N427" s="21"/>
      <c r="O427" s="21"/>
      <c r="P427" s="21"/>
      <c r="Q427" s="325"/>
      <c r="R427" s="21"/>
      <c r="S427" s="274"/>
      <c r="T427" s="21"/>
      <c r="U427" s="275"/>
      <c r="V427" s="82"/>
      <c r="Z427" s="181"/>
      <c r="AA427" s="183"/>
      <c r="AB427" s="35"/>
      <c r="AC427" s="25"/>
      <c r="AD427" s="279"/>
      <c r="AE427" s="25"/>
      <c r="AF427" s="26"/>
      <c r="AG427" s="278" t="str">
        <f t="shared" si="108"/>
        <v/>
      </c>
      <c r="AH427" s="278" t="str">
        <f t="shared" si="109"/>
        <v/>
      </c>
      <c r="AJ427" s="25"/>
      <c r="AK427" s="25"/>
      <c r="AL427" s="25"/>
      <c r="AM427" s="25"/>
      <c r="AN427" s="25"/>
      <c r="AO427" s="25"/>
      <c r="AP427" s="25"/>
      <c r="AQ427" s="25"/>
      <c r="AR427" s="25"/>
      <c r="AS427" s="25"/>
      <c r="AT427" s="25"/>
      <c r="AU427" s="25"/>
      <c r="AV427" s="43"/>
      <c r="AW427" s="43"/>
      <c r="AX427" s="114" t="s">
        <v>76</v>
      </c>
      <c r="AY427" s="43"/>
      <c r="AZ427" s="43"/>
      <c r="BA427" s="43"/>
      <c r="BB427" s="43"/>
    </row>
    <row r="428" spans="1:54" ht="12.75" customHeight="1">
      <c r="A428" s="80"/>
      <c r="B428" s="320"/>
      <c r="C428" s="272"/>
      <c r="D428" s="273"/>
      <c r="E428" s="503"/>
      <c r="F428" s="305"/>
      <c r="G428" s="265"/>
      <c r="H428" s="266"/>
      <c r="I428" s="295"/>
      <c r="J428" s="296"/>
      <c r="K428" s="296"/>
      <c r="L428" s="296"/>
      <c r="M428" s="21"/>
      <c r="N428" s="21"/>
      <c r="O428" s="21"/>
      <c r="P428" s="21"/>
      <c r="Q428" s="325"/>
      <c r="R428" s="21"/>
      <c r="S428" s="274"/>
      <c r="T428" s="21"/>
      <c r="U428" s="275"/>
      <c r="V428" s="82"/>
      <c r="Z428" s="181"/>
      <c r="AA428" s="183"/>
      <c r="AB428" s="35"/>
      <c r="AC428" s="25"/>
      <c r="AD428" s="279"/>
      <c r="AE428" s="25"/>
      <c r="AF428" s="26"/>
      <c r="AG428" s="278" t="str">
        <f t="shared" si="108"/>
        <v/>
      </c>
      <c r="AH428" s="278" t="str">
        <f t="shared" si="109"/>
        <v/>
      </c>
      <c r="AJ428" s="25"/>
      <c r="AK428" s="25"/>
      <c r="AL428" s="25"/>
      <c r="AM428" s="25"/>
      <c r="AN428" s="25"/>
      <c r="AO428" s="25"/>
      <c r="AP428" s="25"/>
      <c r="AQ428" s="25"/>
      <c r="AR428" s="25"/>
      <c r="AS428" s="25"/>
      <c r="AT428" s="25"/>
      <c r="AU428" s="25"/>
      <c r="AV428" s="43"/>
      <c r="AW428" s="43"/>
      <c r="AX428" s="114" t="s">
        <v>76</v>
      </c>
      <c r="AY428" s="43"/>
      <c r="AZ428" s="43"/>
      <c r="BA428" s="43"/>
      <c r="BB428" s="43"/>
    </row>
    <row r="429" spans="1:54" ht="12.75" customHeight="1">
      <c r="A429" s="80"/>
      <c r="B429" s="320"/>
      <c r="C429" s="272"/>
      <c r="D429" s="273"/>
      <c r="E429" s="503"/>
      <c r="F429" s="305"/>
      <c r="G429" s="265"/>
      <c r="H429" s="266"/>
      <c r="I429" s="295"/>
      <c r="J429" s="296"/>
      <c r="K429" s="296"/>
      <c r="L429" s="296"/>
      <c r="M429" s="21"/>
      <c r="N429" s="21"/>
      <c r="O429" s="21"/>
      <c r="P429" s="21"/>
      <c r="Q429" s="325"/>
      <c r="R429" s="21"/>
      <c r="S429" s="274"/>
      <c r="T429" s="21"/>
      <c r="U429" s="275"/>
      <c r="V429" s="82"/>
      <c r="Z429" s="181"/>
      <c r="AA429" s="183"/>
      <c r="AB429" s="35"/>
      <c r="AC429" s="25"/>
      <c r="AD429" s="279"/>
      <c r="AE429" s="25"/>
      <c r="AF429" s="26"/>
      <c r="AG429" s="278" t="str">
        <f t="shared" si="108"/>
        <v/>
      </c>
      <c r="AH429" s="278" t="str">
        <f t="shared" si="109"/>
        <v/>
      </c>
      <c r="AJ429" s="25"/>
      <c r="AK429" s="25"/>
      <c r="AL429" s="25"/>
      <c r="AM429" s="25"/>
      <c r="AN429" s="25"/>
      <c r="AO429" s="25"/>
      <c r="AP429" s="25"/>
      <c r="AQ429" s="25"/>
      <c r="AR429" s="25"/>
      <c r="AS429" s="25"/>
      <c r="AT429" s="25"/>
      <c r="AU429" s="25"/>
      <c r="AV429" s="43"/>
      <c r="AW429" s="43"/>
      <c r="AX429" s="114" t="s">
        <v>76</v>
      </c>
      <c r="AY429" s="43"/>
      <c r="AZ429" s="43"/>
      <c r="BA429" s="43"/>
      <c r="BB429" s="43"/>
    </row>
    <row r="430" spans="1:54" ht="12.75" customHeight="1">
      <c r="A430" s="80"/>
      <c r="B430" s="320"/>
      <c r="C430" s="272"/>
      <c r="D430" s="273"/>
      <c r="E430" s="503"/>
      <c r="F430" s="305"/>
      <c r="G430" s="265"/>
      <c r="H430" s="266"/>
      <c r="I430" s="295"/>
      <c r="J430" s="296"/>
      <c r="K430" s="296"/>
      <c r="L430" s="296"/>
      <c r="M430" s="21"/>
      <c r="N430" s="21"/>
      <c r="O430" s="21"/>
      <c r="P430" s="21"/>
      <c r="Q430" s="325"/>
      <c r="R430" s="21"/>
      <c r="S430" s="274"/>
      <c r="T430" s="21"/>
      <c r="U430" s="275"/>
      <c r="V430" s="82"/>
      <c r="Z430" s="181"/>
      <c r="AA430" s="183"/>
      <c r="AB430" s="35"/>
      <c r="AC430" s="25"/>
      <c r="AD430" s="279"/>
      <c r="AE430" s="25"/>
      <c r="AF430" s="26"/>
      <c r="AG430" s="278" t="str">
        <f t="shared" si="108"/>
        <v/>
      </c>
      <c r="AH430" s="278" t="str">
        <f t="shared" si="109"/>
        <v/>
      </c>
      <c r="AJ430" s="25"/>
      <c r="AK430" s="25"/>
      <c r="AL430" s="25"/>
      <c r="AM430" s="25"/>
      <c r="AN430" s="25"/>
      <c r="AO430" s="25"/>
      <c r="AP430" s="25"/>
      <c r="AQ430" s="25"/>
      <c r="AR430" s="25"/>
      <c r="AS430" s="25"/>
      <c r="AT430" s="25"/>
      <c r="AU430" s="25"/>
      <c r="AV430" s="43"/>
      <c r="AW430" s="43"/>
      <c r="AX430" s="114" t="s">
        <v>76</v>
      </c>
      <c r="AY430" s="43"/>
      <c r="AZ430" s="43"/>
      <c r="BA430" s="43"/>
      <c r="BB430" s="43"/>
    </row>
    <row r="431" spans="1:54" ht="12.75" customHeight="1">
      <c r="A431" s="80"/>
      <c r="B431" s="320"/>
      <c r="C431" s="272"/>
      <c r="D431" s="273"/>
      <c r="E431" s="503"/>
      <c r="F431" s="305"/>
      <c r="G431" s="265"/>
      <c r="H431" s="266"/>
      <c r="I431" s="295"/>
      <c r="J431" s="296"/>
      <c r="K431" s="296"/>
      <c r="L431" s="296"/>
      <c r="M431" s="21"/>
      <c r="N431" s="21"/>
      <c r="O431" s="21"/>
      <c r="P431" s="21"/>
      <c r="Q431" s="325"/>
      <c r="R431" s="21"/>
      <c r="S431" s="274"/>
      <c r="T431" s="21"/>
      <c r="U431" s="275"/>
      <c r="V431" s="82"/>
      <c r="Z431" s="181"/>
      <c r="AA431" s="183"/>
      <c r="AB431" s="35"/>
      <c r="AC431" s="25"/>
      <c r="AD431" s="279"/>
      <c r="AE431" s="25"/>
      <c r="AF431" s="26"/>
      <c r="AG431" s="278" t="str">
        <f t="shared" si="108"/>
        <v/>
      </c>
      <c r="AH431" s="278" t="str">
        <f t="shared" si="109"/>
        <v/>
      </c>
      <c r="AJ431" s="25"/>
      <c r="AK431" s="25"/>
      <c r="AL431" s="25"/>
      <c r="AM431" s="25"/>
      <c r="AN431" s="25"/>
      <c r="AO431" s="25"/>
      <c r="AP431" s="25"/>
      <c r="AQ431" s="25"/>
      <c r="AR431" s="25"/>
      <c r="AS431" s="25"/>
      <c r="AT431" s="25"/>
      <c r="AU431" s="25"/>
      <c r="AV431" s="43"/>
      <c r="AW431" s="43"/>
      <c r="AX431" s="114" t="s">
        <v>76</v>
      </c>
      <c r="AY431" s="43"/>
      <c r="AZ431" s="43"/>
      <c r="BA431" s="43"/>
      <c r="BB431" s="43"/>
    </row>
    <row r="432" spans="1:54" ht="12.75" customHeight="1">
      <c r="A432" s="80"/>
      <c r="B432" s="320"/>
      <c r="C432" s="272"/>
      <c r="D432" s="273"/>
      <c r="E432" s="503"/>
      <c r="F432" s="305"/>
      <c r="G432" s="265"/>
      <c r="H432" s="266"/>
      <c r="I432" s="295"/>
      <c r="J432" s="296"/>
      <c r="K432" s="296"/>
      <c r="L432" s="296"/>
      <c r="M432" s="21"/>
      <c r="N432" s="21"/>
      <c r="O432" s="21"/>
      <c r="P432" s="21"/>
      <c r="Q432" s="325"/>
      <c r="R432" s="21"/>
      <c r="S432" s="274"/>
      <c r="T432" s="21"/>
      <c r="U432" s="275"/>
      <c r="V432" s="82"/>
      <c r="Z432" s="181"/>
      <c r="AA432" s="183"/>
      <c r="AB432" s="35"/>
      <c r="AC432" s="25"/>
      <c r="AD432" s="279"/>
      <c r="AE432" s="25"/>
      <c r="AF432" s="26"/>
      <c r="AG432" s="278" t="str">
        <f t="shared" si="108"/>
        <v/>
      </c>
      <c r="AH432" s="278" t="str">
        <f t="shared" si="109"/>
        <v/>
      </c>
      <c r="AJ432" s="25"/>
      <c r="AK432" s="25"/>
      <c r="AL432" s="25"/>
      <c r="AM432" s="25"/>
      <c r="AN432" s="25"/>
      <c r="AO432" s="25"/>
      <c r="AP432" s="25"/>
      <c r="AQ432" s="25"/>
      <c r="AR432" s="25"/>
      <c r="AS432" s="25"/>
      <c r="AT432" s="25"/>
      <c r="AU432" s="25"/>
      <c r="AV432" s="43"/>
      <c r="AW432" s="43"/>
      <c r="AX432" s="114" t="s">
        <v>76</v>
      </c>
      <c r="AY432" s="43"/>
      <c r="AZ432" s="43"/>
      <c r="BA432" s="43"/>
      <c r="BB432" s="43"/>
    </row>
    <row r="433" spans="1:54" ht="12.75" customHeight="1">
      <c r="A433" s="80"/>
      <c r="B433" s="320"/>
      <c r="C433" s="272"/>
      <c r="D433" s="273"/>
      <c r="E433" s="503"/>
      <c r="F433" s="305"/>
      <c r="G433" s="265"/>
      <c r="H433" s="266"/>
      <c r="I433" s="295"/>
      <c r="J433" s="296"/>
      <c r="K433" s="296"/>
      <c r="L433" s="296"/>
      <c r="M433" s="21"/>
      <c r="N433" s="21"/>
      <c r="O433" s="21"/>
      <c r="P433" s="21"/>
      <c r="Q433" s="325"/>
      <c r="R433" s="21"/>
      <c r="S433" s="274"/>
      <c r="T433" s="21"/>
      <c r="U433" s="275"/>
      <c r="V433" s="82"/>
      <c r="Z433" s="181"/>
      <c r="AA433" s="183"/>
      <c r="AB433" s="35"/>
      <c r="AC433" s="25"/>
      <c r="AD433" s="279"/>
      <c r="AE433" s="25"/>
      <c r="AF433" s="26"/>
      <c r="AG433" s="278" t="str">
        <f t="shared" si="108"/>
        <v/>
      </c>
      <c r="AH433" s="278" t="str">
        <f t="shared" si="109"/>
        <v/>
      </c>
      <c r="AJ433" s="25"/>
      <c r="AK433" s="25"/>
      <c r="AL433" s="25"/>
      <c r="AM433" s="25"/>
      <c r="AN433" s="25"/>
      <c r="AO433" s="25"/>
      <c r="AP433" s="25"/>
      <c r="AQ433" s="25"/>
      <c r="AR433" s="25"/>
      <c r="AS433" s="25"/>
      <c r="AT433" s="25"/>
      <c r="AU433" s="25"/>
      <c r="AV433" s="43"/>
      <c r="AW433" s="43"/>
      <c r="AX433" s="114" t="s">
        <v>76</v>
      </c>
      <c r="AY433" s="43"/>
      <c r="AZ433" s="43"/>
      <c r="BA433" s="43"/>
      <c r="BB433" s="43"/>
    </row>
    <row r="434" spans="1:54" ht="12.75" customHeight="1">
      <c r="A434" s="80"/>
      <c r="B434" s="320"/>
      <c r="C434" s="272"/>
      <c r="D434" s="273"/>
      <c r="E434" s="503"/>
      <c r="F434" s="305"/>
      <c r="G434" s="265"/>
      <c r="H434" s="266"/>
      <c r="I434" s="295"/>
      <c r="J434" s="296"/>
      <c r="K434" s="296"/>
      <c r="L434" s="296"/>
      <c r="M434" s="21"/>
      <c r="N434" s="21"/>
      <c r="O434" s="21"/>
      <c r="P434" s="21"/>
      <c r="Q434" s="325"/>
      <c r="R434" s="21"/>
      <c r="S434" s="274"/>
      <c r="T434" s="21"/>
      <c r="U434" s="275"/>
      <c r="V434" s="82"/>
      <c r="Z434" s="181"/>
      <c r="AA434" s="183"/>
      <c r="AB434" s="35"/>
      <c r="AC434" s="25"/>
      <c r="AD434" s="279"/>
      <c r="AE434" s="25"/>
      <c r="AF434" s="26"/>
      <c r="AG434" s="278" t="str">
        <f t="shared" si="108"/>
        <v/>
      </c>
      <c r="AH434" s="278" t="str">
        <f t="shared" si="109"/>
        <v/>
      </c>
      <c r="AJ434" s="25"/>
      <c r="AK434" s="25"/>
      <c r="AL434" s="25"/>
      <c r="AM434" s="25"/>
      <c r="AN434" s="25"/>
      <c r="AO434" s="25"/>
      <c r="AP434" s="25"/>
      <c r="AQ434" s="25"/>
      <c r="AR434" s="25"/>
      <c r="AS434" s="25"/>
      <c r="AT434" s="25"/>
      <c r="AU434" s="25"/>
      <c r="AV434" s="43"/>
      <c r="AW434" s="43"/>
      <c r="AX434" s="114" t="s">
        <v>76</v>
      </c>
      <c r="AY434" s="43"/>
      <c r="AZ434" s="43"/>
      <c r="BA434" s="43"/>
      <c r="BB434" s="43"/>
    </row>
    <row r="435" spans="1:54" ht="12.75" customHeight="1">
      <c r="A435" s="80"/>
      <c r="B435" s="320"/>
      <c r="C435" s="272"/>
      <c r="D435" s="273"/>
      <c r="E435" s="503"/>
      <c r="F435" s="305"/>
      <c r="G435" s="265"/>
      <c r="H435" s="266"/>
      <c r="I435" s="295"/>
      <c r="J435" s="296"/>
      <c r="K435" s="296"/>
      <c r="L435" s="296"/>
      <c r="M435" s="21"/>
      <c r="N435" s="21"/>
      <c r="O435" s="21"/>
      <c r="P435" s="21"/>
      <c r="Q435" s="325"/>
      <c r="R435" s="21"/>
      <c r="S435" s="274"/>
      <c r="T435" s="21"/>
      <c r="U435" s="275"/>
      <c r="V435" s="82"/>
      <c r="Z435" s="181"/>
      <c r="AA435" s="183"/>
      <c r="AB435" s="35"/>
      <c r="AC435" s="25"/>
      <c r="AD435" s="279"/>
      <c r="AE435" s="25"/>
      <c r="AF435" s="26"/>
      <c r="AG435" s="278" t="str">
        <f t="shared" si="108"/>
        <v/>
      </c>
      <c r="AH435" s="278" t="str">
        <f t="shared" si="109"/>
        <v/>
      </c>
      <c r="AJ435" s="25"/>
      <c r="AK435" s="25"/>
      <c r="AL435" s="25"/>
      <c r="AM435" s="25"/>
      <c r="AN435" s="25"/>
      <c r="AO435" s="25"/>
      <c r="AP435" s="25"/>
      <c r="AQ435" s="25"/>
      <c r="AR435" s="25"/>
      <c r="AS435" s="25"/>
      <c r="AT435" s="25"/>
      <c r="AU435" s="25"/>
      <c r="AV435" s="43"/>
      <c r="AW435" s="43"/>
      <c r="AX435" s="114" t="s">
        <v>76</v>
      </c>
      <c r="AY435" s="43"/>
      <c r="AZ435" s="43"/>
      <c r="BA435" s="43"/>
      <c r="BB435" s="43"/>
    </row>
    <row r="436" spans="1:54" ht="12.75" customHeight="1">
      <c r="A436" s="80"/>
      <c r="B436" s="320"/>
      <c r="C436" s="272"/>
      <c r="D436" s="273"/>
      <c r="E436" s="503"/>
      <c r="F436" s="305"/>
      <c r="G436" s="265"/>
      <c r="H436" s="266"/>
      <c r="I436" s="295"/>
      <c r="J436" s="296"/>
      <c r="K436" s="296"/>
      <c r="L436" s="296"/>
      <c r="M436" s="21"/>
      <c r="N436" s="21"/>
      <c r="O436" s="21"/>
      <c r="P436" s="21"/>
      <c r="Q436" s="325"/>
      <c r="R436" s="21"/>
      <c r="S436" s="274"/>
      <c r="T436" s="21"/>
      <c r="U436" s="275"/>
      <c r="V436" s="82"/>
      <c r="Z436" s="181"/>
      <c r="AA436" s="183"/>
      <c r="AB436" s="35"/>
      <c r="AC436" s="25"/>
      <c r="AD436" s="279"/>
      <c r="AE436" s="25"/>
      <c r="AF436" s="26"/>
      <c r="AG436" s="278" t="str">
        <f t="shared" si="108"/>
        <v/>
      </c>
      <c r="AH436" s="278" t="str">
        <f t="shared" si="109"/>
        <v/>
      </c>
      <c r="AJ436" s="25"/>
      <c r="AK436" s="25"/>
      <c r="AL436" s="25"/>
      <c r="AM436" s="25"/>
      <c r="AN436" s="25"/>
      <c r="AO436" s="25"/>
      <c r="AP436" s="25"/>
      <c r="AQ436" s="25"/>
      <c r="AR436" s="25"/>
      <c r="AS436" s="25"/>
      <c r="AT436" s="25"/>
      <c r="AU436" s="25"/>
      <c r="AV436" s="43"/>
      <c r="AW436" s="43"/>
      <c r="AX436" s="114" t="s">
        <v>76</v>
      </c>
      <c r="AY436" s="43"/>
      <c r="AZ436" s="43"/>
      <c r="BA436" s="43"/>
      <c r="BB436" s="43"/>
    </row>
    <row r="437" spans="1:54" ht="12.75" customHeight="1">
      <c r="A437" s="80"/>
      <c r="B437" s="320"/>
      <c r="C437" s="272"/>
      <c r="D437" s="273"/>
      <c r="E437" s="503"/>
      <c r="F437" s="305"/>
      <c r="G437" s="265"/>
      <c r="H437" s="266"/>
      <c r="I437" s="295"/>
      <c r="J437" s="296"/>
      <c r="K437" s="296"/>
      <c r="L437" s="296"/>
      <c r="M437" s="21"/>
      <c r="N437" s="21"/>
      <c r="O437" s="21"/>
      <c r="P437" s="21"/>
      <c r="Q437" s="325"/>
      <c r="R437" s="21"/>
      <c r="S437" s="274"/>
      <c r="T437" s="21"/>
      <c r="U437" s="275"/>
      <c r="V437" s="82"/>
      <c r="Z437" s="181"/>
      <c r="AA437" s="183"/>
      <c r="AB437" s="35"/>
      <c r="AC437" s="25"/>
      <c r="AD437" s="279"/>
      <c r="AE437" s="25"/>
      <c r="AF437" s="26"/>
      <c r="AG437" s="278" t="str">
        <f t="shared" si="108"/>
        <v/>
      </c>
      <c r="AH437" s="278" t="str">
        <f t="shared" si="109"/>
        <v/>
      </c>
      <c r="AJ437" s="25"/>
      <c r="AK437" s="25"/>
      <c r="AL437" s="25"/>
      <c r="AM437" s="25"/>
      <c r="AN437" s="25"/>
      <c r="AO437" s="25"/>
      <c r="AP437" s="25"/>
      <c r="AQ437" s="25"/>
      <c r="AR437" s="25"/>
      <c r="AS437" s="25"/>
      <c r="AT437" s="25"/>
      <c r="AU437" s="25"/>
      <c r="AV437" s="43"/>
      <c r="AW437" s="43"/>
      <c r="AX437" s="114" t="s">
        <v>76</v>
      </c>
      <c r="AY437" s="43"/>
      <c r="AZ437" s="43"/>
      <c r="BA437" s="43"/>
      <c r="BB437" s="43"/>
    </row>
    <row r="438" spans="1:54" ht="12.75" customHeight="1">
      <c r="A438" s="80"/>
      <c r="B438" s="320"/>
      <c r="C438" s="272"/>
      <c r="D438" s="273"/>
      <c r="E438" s="503"/>
      <c r="F438" s="305"/>
      <c r="G438" s="265"/>
      <c r="H438" s="266"/>
      <c r="I438" s="295"/>
      <c r="J438" s="296"/>
      <c r="K438" s="296"/>
      <c r="L438" s="296"/>
      <c r="M438" s="21"/>
      <c r="N438" s="21"/>
      <c r="O438" s="21"/>
      <c r="P438" s="21"/>
      <c r="Q438" s="325"/>
      <c r="R438" s="21"/>
      <c r="S438" s="274"/>
      <c r="T438" s="21"/>
      <c r="U438" s="275"/>
      <c r="V438" s="82"/>
      <c r="Z438" s="181"/>
      <c r="AA438" s="183"/>
      <c r="AB438" s="35"/>
      <c r="AC438" s="25"/>
      <c r="AD438" s="279"/>
      <c r="AE438" s="25"/>
      <c r="AF438" s="26"/>
      <c r="AG438" s="278" t="str">
        <f t="shared" si="108"/>
        <v/>
      </c>
      <c r="AH438" s="278" t="str">
        <f t="shared" si="109"/>
        <v/>
      </c>
      <c r="AJ438" s="25"/>
      <c r="AK438" s="25"/>
      <c r="AL438" s="25"/>
      <c r="AM438" s="25"/>
      <c r="AN438" s="25"/>
      <c r="AO438" s="25"/>
      <c r="AP438" s="25"/>
      <c r="AQ438" s="25"/>
      <c r="AR438" s="25"/>
      <c r="AS438" s="25"/>
      <c r="AT438" s="25"/>
      <c r="AU438" s="25"/>
      <c r="AV438" s="43"/>
      <c r="AW438" s="43"/>
      <c r="AX438" s="114" t="s">
        <v>76</v>
      </c>
      <c r="AY438" s="43"/>
      <c r="AZ438" s="43"/>
      <c r="BA438" s="43"/>
      <c r="BB438" s="43"/>
    </row>
    <row r="439" spans="1:54" ht="12.75" customHeight="1">
      <c r="A439" s="80"/>
      <c r="B439" s="320"/>
      <c r="C439" s="272"/>
      <c r="D439" s="273"/>
      <c r="E439" s="503"/>
      <c r="F439" s="305"/>
      <c r="G439" s="265"/>
      <c r="H439" s="266"/>
      <c r="I439" s="295"/>
      <c r="J439" s="296"/>
      <c r="K439" s="296"/>
      <c r="L439" s="296"/>
      <c r="M439" s="21"/>
      <c r="N439" s="21"/>
      <c r="O439" s="21"/>
      <c r="P439" s="21"/>
      <c r="Q439" s="325"/>
      <c r="R439" s="21"/>
      <c r="S439" s="274"/>
      <c r="T439" s="21"/>
      <c r="U439" s="275"/>
      <c r="V439" s="82"/>
      <c r="Z439" s="181"/>
      <c r="AA439" s="183"/>
      <c r="AB439" s="35"/>
      <c r="AC439" s="25"/>
      <c r="AD439" s="279"/>
      <c r="AE439" s="25"/>
      <c r="AF439" s="26"/>
      <c r="AG439" s="278" t="str">
        <f t="shared" si="108"/>
        <v/>
      </c>
      <c r="AH439" s="278" t="str">
        <f t="shared" si="109"/>
        <v/>
      </c>
      <c r="AJ439" s="25"/>
      <c r="AK439" s="25"/>
      <c r="AL439" s="25"/>
      <c r="AM439" s="25"/>
      <c r="AN439" s="25"/>
      <c r="AO439" s="25"/>
      <c r="AP439" s="25"/>
      <c r="AQ439" s="25"/>
      <c r="AR439" s="25"/>
      <c r="AS439" s="25"/>
      <c r="AT439" s="25"/>
      <c r="AU439" s="25"/>
      <c r="AV439" s="43"/>
      <c r="AW439" s="43"/>
      <c r="AX439" s="114" t="s">
        <v>76</v>
      </c>
      <c r="AY439" s="43"/>
      <c r="AZ439" s="43"/>
      <c r="BA439" s="43"/>
      <c r="BB439" s="43"/>
    </row>
    <row r="440" spans="1:54" ht="12.75" customHeight="1">
      <c r="A440" s="80"/>
      <c r="B440" s="320"/>
      <c r="C440" s="272"/>
      <c r="D440" s="273"/>
      <c r="E440" s="503"/>
      <c r="F440" s="305"/>
      <c r="G440" s="265"/>
      <c r="H440" s="266"/>
      <c r="I440" s="295"/>
      <c r="J440" s="296"/>
      <c r="K440" s="296"/>
      <c r="L440" s="296"/>
      <c r="M440" s="21"/>
      <c r="N440" s="21"/>
      <c r="O440" s="21"/>
      <c r="P440" s="21"/>
      <c r="Q440" s="325"/>
      <c r="R440" s="21"/>
      <c r="S440" s="274"/>
      <c r="T440" s="21"/>
      <c r="U440" s="275"/>
      <c r="V440" s="82"/>
      <c r="Z440" s="181"/>
      <c r="AA440" s="183"/>
      <c r="AB440" s="35"/>
      <c r="AC440" s="25"/>
      <c r="AD440" s="279"/>
      <c r="AE440" s="25"/>
      <c r="AF440" s="26"/>
      <c r="AG440" s="278" t="str">
        <f t="shared" si="108"/>
        <v/>
      </c>
      <c r="AH440" s="278" t="str">
        <f t="shared" si="109"/>
        <v/>
      </c>
      <c r="AJ440" s="25"/>
      <c r="AK440" s="25"/>
      <c r="AL440" s="25"/>
      <c r="AM440" s="25"/>
      <c r="AN440" s="25"/>
      <c r="AO440" s="25"/>
      <c r="AP440" s="25"/>
      <c r="AQ440" s="25"/>
      <c r="AR440" s="25"/>
      <c r="AS440" s="25"/>
      <c r="AT440" s="25"/>
      <c r="AU440" s="25"/>
      <c r="AV440" s="43"/>
      <c r="AW440" s="43"/>
      <c r="AX440" s="114" t="s">
        <v>76</v>
      </c>
      <c r="AY440" s="43"/>
      <c r="AZ440" s="43"/>
      <c r="BA440" s="43"/>
      <c r="BB440" s="43"/>
    </row>
    <row r="441" spans="1:54" ht="12.75" customHeight="1">
      <c r="A441" s="80"/>
      <c r="B441" s="320"/>
      <c r="C441" s="272"/>
      <c r="D441" s="273"/>
      <c r="E441" s="503"/>
      <c r="F441" s="305"/>
      <c r="G441" s="265"/>
      <c r="H441" s="266"/>
      <c r="I441" s="295"/>
      <c r="J441" s="296"/>
      <c r="K441" s="296"/>
      <c r="L441" s="296"/>
      <c r="M441" s="21"/>
      <c r="N441" s="21"/>
      <c r="O441" s="21"/>
      <c r="P441" s="21"/>
      <c r="Q441" s="325"/>
      <c r="R441" s="21"/>
      <c r="S441" s="274"/>
      <c r="T441" s="21"/>
      <c r="U441" s="275"/>
      <c r="V441" s="82"/>
      <c r="Z441" s="181"/>
      <c r="AA441" s="183"/>
      <c r="AB441" s="35"/>
      <c r="AC441" s="25"/>
      <c r="AD441" s="279"/>
      <c r="AE441" s="25"/>
      <c r="AF441" s="26"/>
      <c r="AG441" s="278" t="str">
        <f t="shared" si="108"/>
        <v/>
      </c>
      <c r="AH441" s="278" t="str">
        <f t="shared" si="109"/>
        <v/>
      </c>
      <c r="AJ441" s="25"/>
      <c r="AK441" s="25"/>
      <c r="AL441" s="25"/>
      <c r="AM441" s="25"/>
      <c r="AN441" s="25"/>
      <c r="AO441" s="25"/>
      <c r="AP441" s="25"/>
      <c r="AQ441" s="25"/>
      <c r="AR441" s="25"/>
      <c r="AS441" s="25"/>
      <c r="AT441" s="25"/>
      <c r="AU441" s="25"/>
      <c r="AV441" s="43"/>
      <c r="AW441" s="43"/>
      <c r="AX441" s="114" t="s">
        <v>76</v>
      </c>
      <c r="AY441" s="43"/>
      <c r="AZ441" s="43"/>
      <c r="BA441" s="43"/>
      <c r="BB441" s="43"/>
    </row>
    <row r="442" spans="1:54" ht="12.75" customHeight="1">
      <c r="A442" s="80"/>
      <c r="B442" s="320"/>
      <c r="C442" s="272"/>
      <c r="D442" s="273"/>
      <c r="E442" s="503"/>
      <c r="F442" s="305"/>
      <c r="G442" s="265"/>
      <c r="H442" s="266"/>
      <c r="I442" s="295"/>
      <c r="J442" s="296"/>
      <c r="K442" s="296"/>
      <c r="L442" s="296"/>
      <c r="M442" s="21"/>
      <c r="N442" s="21"/>
      <c r="O442" s="21"/>
      <c r="P442" s="21"/>
      <c r="Q442" s="325"/>
      <c r="R442" s="21"/>
      <c r="S442" s="274"/>
      <c r="T442" s="21"/>
      <c r="U442" s="275"/>
      <c r="V442" s="82"/>
      <c r="Z442" s="181"/>
      <c r="AA442" s="183"/>
      <c r="AB442" s="35"/>
      <c r="AC442" s="25"/>
      <c r="AD442" s="279"/>
      <c r="AE442" s="25"/>
      <c r="AF442" s="26"/>
      <c r="AG442" s="278" t="str">
        <f t="shared" si="108"/>
        <v/>
      </c>
      <c r="AH442" s="278" t="str">
        <f t="shared" si="109"/>
        <v/>
      </c>
      <c r="AJ442" s="25"/>
      <c r="AK442" s="25"/>
      <c r="AL442" s="25"/>
      <c r="AM442" s="25"/>
      <c r="AN442" s="25"/>
      <c r="AO442" s="25"/>
      <c r="AP442" s="25"/>
      <c r="AQ442" s="25"/>
      <c r="AR442" s="25"/>
      <c r="AS442" s="25"/>
      <c r="AT442" s="25"/>
      <c r="AU442" s="25"/>
      <c r="AV442" s="43"/>
      <c r="AW442" s="43"/>
      <c r="AX442" s="114" t="s">
        <v>76</v>
      </c>
      <c r="AY442" s="43"/>
      <c r="AZ442" s="43"/>
      <c r="BA442" s="43"/>
      <c r="BB442" s="43"/>
    </row>
    <row r="443" spans="1:54" ht="12.75" customHeight="1">
      <c r="A443" s="80"/>
      <c r="B443" s="320"/>
      <c r="C443" s="272"/>
      <c r="D443" s="273"/>
      <c r="E443" s="503"/>
      <c r="F443" s="305"/>
      <c r="G443" s="265"/>
      <c r="H443" s="266"/>
      <c r="I443" s="295"/>
      <c r="J443" s="296"/>
      <c r="K443" s="296"/>
      <c r="L443" s="296"/>
      <c r="M443" s="21"/>
      <c r="N443" s="21"/>
      <c r="O443" s="21"/>
      <c r="P443" s="21"/>
      <c r="Q443" s="325"/>
      <c r="R443" s="21"/>
      <c r="S443" s="274"/>
      <c r="T443" s="21"/>
      <c r="U443" s="275"/>
      <c r="V443" s="82"/>
      <c r="Z443" s="181"/>
      <c r="AA443" s="183"/>
      <c r="AB443" s="35"/>
      <c r="AC443" s="25"/>
      <c r="AD443" s="279"/>
      <c r="AE443" s="25"/>
      <c r="AF443" s="26"/>
      <c r="AG443" s="278" t="str">
        <f t="shared" si="108"/>
        <v/>
      </c>
      <c r="AH443" s="278" t="str">
        <f t="shared" si="109"/>
        <v/>
      </c>
      <c r="AJ443" s="25"/>
      <c r="AK443" s="25"/>
      <c r="AL443" s="25"/>
      <c r="AM443" s="25"/>
      <c r="AN443" s="25"/>
      <c r="AO443" s="25"/>
      <c r="AP443" s="25"/>
      <c r="AQ443" s="25"/>
      <c r="AR443" s="25"/>
      <c r="AS443" s="25"/>
      <c r="AT443" s="25"/>
      <c r="AU443" s="25"/>
      <c r="AV443" s="43"/>
      <c r="AW443" s="43"/>
      <c r="AX443" s="114" t="s">
        <v>76</v>
      </c>
      <c r="AY443" s="43"/>
      <c r="AZ443" s="43"/>
      <c r="BA443" s="43"/>
      <c r="BB443" s="43"/>
    </row>
    <row r="444" spans="1:54" ht="12.75" customHeight="1">
      <c r="A444" s="80"/>
      <c r="B444" s="320"/>
      <c r="C444" s="272"/>
      <c r="D444" s="273"/>
      <c r="E444" s="503"/>
      <c r="F444" s="305"/>
      <c r="G444" s="265"/>
      <c r="H444" s="266"/>
      <c r="I444" s="295"/>
      <c r="J444" s="296"/>
      <c r="K444" s="296"/>
      <c r="L444" s="296"/>
      <c r="M444" s="21"/>
      <c r="N444" s="21"/>
      <c r="O444" s="21"/>
      <c r="P444" s="21"/>
      <c r="Q444" s="325"/>
      <c r="R444" s="21"/>
      <c r="S444" s="274"/>
      <c r="T444" s="21"/>
      <c r="U444" s="275"/>
      <c r="V444" s="82"/>
      <c r="Z444" s="181"/>
      <c r="AA444" s="183"/>
      <c r="AB444" s="35"/>
      <c r="AC444" s="25"/>
      <c r="AD444" s="279"/>
      <c r="AE444" s="25"/>
      <c r="AF444" s="26"/>
      <c r="AG444" s="278" t="str">
        <f t="shared" si="108"/>
        <v/>
      </c>
      <c r="AH444" s="278" t="str">
        <f t="shared" si="109"/>
        <v/>
      </c>
      <c r="AJ444" s="25"/>
      <c r="AK444" s="25"/>
      <c r="AL444" s="25"/>
      <c r="AM444" s="25"/>
      <c r="AN444" s="25"/>
      <c r="AO444" s="25"/>
      <c r="AP444" s="25"/>
      <c r="AQ444" s="25"/>
      <c r="AR444" s="25"/>
      <c r="AS444" s="25"/>
      <c r="AT444" s="25"/>
      <c r="AU444" s="25"/>
      <c r="AV444" s="43"/>
      <c r="AW444" s="43"/>
      <c r="AX444" s="114" t="s">
        <v>76</v>
      </c>
      <c r="AY444" s="43"/>
      <c r="AZ444" s="43"/>
      <c r="BA444" s="43"/>
      <c r="BB444" s="43"/>
    </row>
    <row r="445" spans="1:54" ht="12.75" customHeight="1">
      <c r="A445" s="80"/>
      <c r="B445" s="320"/>
      <c r="C445" s="272"/>
      <c r="D445" s="273"/>
      <c r="E445" s="503"/>
      <c r="F445" s="305"/>
      <c r="G445" s="265"/>
      <c r="H445" s="266"/>
      <c r="I445" s="295"/>
      <c r="J445" s="296"/>
      <c r="K445" s="296"/>
      <c r="L445" s="296"/>
      <c r="M445" s="21"/>
      <c r="N445" s="21"/>
      <c r="O445" s="21"/>
      <c r="P445" s="21"/>
      <c r="Q445" s="325"/>
      <c r="R445" s="21"/>
      <c r="S445" s="274"/>
      <c r="T445" s="21"/>
      <c r="U445" s="275"/>
      <c r="V445" s="82"/>
      <c r="Z445" s="181"/>
      <c r="AA445" s="183"/>
      <c r="AB445" s="35"/>
      <c r="AC445" s="25"/>
      <c r="AD445" s="279"/>
      <c r="AE445" s="25"/>
      <c r="AF445" s="26"/>
      <c r="AG445" s="278" t="str">
        <f t="shared" si="108"/>
        <v/>
      </c>
      <c r="AH445" s="278" t="str">
        <f t="shared" si="109"/>
        <v/>
      </c>
      <c r="AJ445" s="25"/>
      <c r="AK445" s="25"/>
      <c r="AL445" s="25"/>
      <c r="AM445" s="25"/>
      <c r="AN445" s="25"/>
      <c r="AO445" s="25"/>
      <c r="AP445" s="25"/>
      <c r="AQ445" s="25"/>
      <c r="AR445" s="25"/>
      <c r="AS445" s="25"/>
      <c r="AT445" s="25"/>
      <c r="AU445" s="25"/>
      <c r="AV445" s="43"/>
      <c r="AW445" s="43"/>
      <c r="AX445" s="114" t="s">
        <v>76</v>
      </c>
      <c r="AY445" s="43"/>
      <c r="AZ445" s="43"/>
      <c r="BA445" s="43"/>
      <c r="BB445" s="43"/>
    </row>
    <row r="446" spans="1:54" ht="12.75" customHeight="1">
      <c r="A446" s="80"/>
      <c r="B446" s="320"/>
      <c r="C446" s="272"/>
      <c r="D446" s="273"/>
      <c r="E446" s="503"/>
      <c r="F446" s="305"/>
      <c r="G446" s="265"/>
      <c r="H446" s="266"/>
      <c r="I446" s="295"/>
      <c r="J446" s="296"/>
      <c r="K446" s="296"/>
      <c r="L446" s="296"/>
      <c r="M446" s="21"/>
      <c r="N446" s="21"/>
      <c r="O446" s="21"/>
      <c r="P446" s="21"/>
      <c r="Q446" s="325"/>
      <c r="R446" s="21"/>
      <c r="S446" s="274"/>
      <c r="T446" s="21"/>
      <c r="U446" s="275"/>
      <c r="V446" s="82"/>
      <c r="Z446" s="181"/>
      <c r="AA446" s="183"/>
      <c r="AB446" s="35"/>
      <c r="AC446" s="25"/>
      <c r="AD446" s="279"/>
      <c r="AE446" s="25"/>
      <c r="AF446" s="26"/>
      <c r="AG446" s="278" t="str">
        <f t="shared" si="108"/>
        <v/>
      </c>
      <c r="AH446" s="278" t="str">
        <f t="shared" si="109"/>
        <v/>
      </c>
      <c r="AJ446" s="25"/>
      <c r="AK446" s="25"/>
      <c r="AL446" s="25"/>
      <c r="AM446" s="25"/>
      <c r="AN446" s="25"/>
      <c r="AO446" s="25"/>
      <c r="AP446" s="25"/>
      <c r="AQ446" s="25"/>
      <c r="AR446" s="25"/>
      <c r="AS446" s="25"/>
      <c r="AT446" s="25"/>
      <c r="AU446" s="25"/>
      <c r="AV446" s="43"/>
      <c r="AW446" s="43"/>
      <c r="AX446" s="114" t="s">
        <v>76</v>
      </c>
      <c r="AY446" s="43"/>
      <c r="AZ446" s="43"/>
      <c r="BA446" s="43"/>
      <c r="BB446" s="43"/>
    </row>
    <row r="447" spans="1:54" ht="12.75" customHeight="1">
      <c r="A447" s="80"/>
      <c r="B447" s="320"/>
      <c r="C447" s="272"/>
      <c r="D447" s="273"/>
      <c r="E447" s="503"/>
      <c r="F447" s="305"/>
      <c r="G447" s="265"/>
      <c r="H447" s="266"/>
      <c r="I447" s="295"/>
      <c r="J447" s="296"/>
      <c r="K447" s="296"/>
      <c r="L447" s="296"/>
      <c r="M447" s="21"/>
      <c r="N447" s="21"/>
      <c r="O447" s="21"/>
      <c r="P447" s="21"/>
      <c r="Q447" s="325"/>
      <c r="R447" s="21"/>
      <c r="S447" s="274"/>
      <c r="T447" s="21"/>
      <c r="U447" s="275"/>
      <c r="V447" s="82"/>
      <c r="Z447" s="181"/>
      <c r="AA447" s="183"/>
      <c r="AB447" s="35"/>
      <c r="AC447" s="25"/>
      <c r="AD447" s="279"/>
      <c r="AE447" s="25"/>
      <c r="AF447" s="26"/>
      <c r="AG447" s="278" t="str">
        <f t="shared" si="108"/>
        <v/>
      </c>
      <c r="AH447" s="278" t="str">
        <f t="shared" si="109"/>
        <v/>
      </c>
      <c r="AJ447" s="25"/>
      <c r="AK447" s="25"/>
      <c r="AL447" s="25"/>
      <c r="AM447" s="25"/>
      <c r="AN447" s="25"/>
      <c r="AO447" s="25"/>
      <c r="AP447" s="25"/>
      <c r="AQ447" s="25"/>
      <c r="AR447" s="25"/>
      <c r="AS447" s="25"/>
      <c r="AT447" s="25"/>
      <c r="AU447" s="25"/>
      <c r="AV447" s="43"/>
      <c r="AW447" s="43"/>
      <c r="AX447" s="114" t="s">
        <v>76</v>
      </c>
      <c r="AY447" s="43"/>
      <c r="AZ447" s="43"/>
      <c r="BA447" s="43"/>
      <c r="BB447" s="43"/>
    </row>
    <row r="448" spans="1:54" ht="12.75" customHeight="1">
      <c r="A448" s="80"/>
      <c r="B448" s="320"/>
      <c r="C448" s="272"/>
      <c r="D448" s="273"/>
      <c r="E448" s="503"/>
      <c r="F448" s="305"/>
      <c r="G448" s="265"/>
      <c r="H448" s="266"/>
      <c r="I448" s="295"/>
      <c r="J448" s="296"/>
      <c r="K448" s="296"/>
      <c r="L448" s="296"/>
      <c r="M448" s="21"/>
      <c r="N448" s="21"/>
      <c r="O448" s="21"/>
      <c r="P448" s="21"/>
      <c r="Q448" s="325"/>
      <c r="R448" s="21"/>
      <c r="S448" s="274"/>
      <c r="T448" s="21"/>
      <c r="U448" s="275"/>
      <c r="V448" s="82"/>
      <c r="Z448" s="181"/>
      <c r="AA448" s="183"/>
      <c r="AB448" s="35"/>
      <c r="AC448" s="25"/>
      <c r="AD448" s="279"/>
      <c r="AE448" s="25"/>
      <c r="AF448" s="26"/>
      <c r="AG448" s="278" t="str">
        <f t="shared" si="108"/>
        <v/>
      </c>
      <c r="AH448" s="278" t="str">
        <f t="shared" si="109"/>
        <v/>
      </c>
      <c r="AJ448" s="25"/>
      <c r="AK448" s="25"/>
      <c r="AL448" s="25"/>
      <c r="AM448" s="25"/>
      <c r="AN448" s="25"/>
      <c r="AO448" s="25"/>
      <c r="AP448" s="25"/>
      <c r="AQ448" s="25"/>
      <c r="AR448" s="25"/>
      <c r="AS448" s="25"/>
      <c r="AT448" s="25"/>
      <c r="AU448" s="25"/>
      <c r="AV448" s="43"/>
      <c r="AW448" s="43"/>
      <c r="AX448" s="114" t="s">
        <v>76</v>
      </c>
      <c r="AY448" s="43"/>
      <c r="AZ448" s="43"/>
      <c r="BA448" s="43"/>
      <c r="BB448" s="43"/>
    </row>
    <row r="449" spans="1:54" ht="12.75" customHeight="1">
      <c r="A449" s="80"/>
      <c r="B449" s="320"/>
      <c r="C449" s="272"/>
      <c r="D449" s="273"/>
      <c r="E449" s="503"/>
      <c r="F449" s="305"/>
      <c r="G449" s="265"/>
      <c r="H449" s="266"/>
      <c r="I449" s="295"/>
      <c r="J449" s="296"/>
      <c r="K449" s="296"/>
      <c r="L449" s="296"/>
      <c r="M449" s="21"/>
      <c r="N449" s="21"/>
      <c r="O449" s="21"/>
      <c r="P449" s="21"/>
      <c r="Q449" s="325"/>
      <c r="R449" s="21"/>
      <c r="S449" s="274"/>
      <c r="T449" s="21"/>
      <c r="U449" s="275"/>
      <c r="V449" s="82"/>
      <c r="Z449" s="181"/>
      <c r="AA449" s="183"/>
      <c r="AB449" s="35"/>
      <c r="AC449" s="25"/>
      <c r="AD449" s="279"/>
      <c r="AE449" s="25"/>
      <c r="AF449" s="26"/>
      <c r="AG449" s="278" t="str">
        <f t="shared" si="108"/>
        <v/>
      </c>
      <c r="AH449" s="278" t="str">
        <f t="shared" si="109"/>
        <v/>
      </c>
      <c r="AJ449" s="25"/>
      <c r="AK449" s="25"/>
      <c r="AL449" s="25"/>
      <c r="AM449" s="25"/>
      <c r="AN449" s="25"/>
      <c r="AO449" s="25"/>
      <c r="AP449" s="25"/>
      <c r="AQ449" s="25"/>
      <c r="AR449" s="25"/>
      <c r="AS449" s="25"/>
      <c r="AT449" s="25"/>
      <c r="AU449" s="25"/>
      <c r="AV449" s="43"/>
      <c r="AW449" s="43"/>
      <c r="AX449" s="114" t="s">
        <v>76</v>
      </c>
      <c r="AY449" s="43"/>
      <c r="AZ449" s="43"/>
      <c r="BA449" s="43"/>
      <c r="BB449" s="43"/>
    </row>
    <row r="450" spans="1:54" ht="12.75" customHeight="1">
      <c r="A450" s="80"/>
      <c r="B450" s="320"/>
      <c r="C450" s="272"/>
      <c r="D450" s="273"/>
      <c r="E450" s="503"/>
      <c r="F450" s="305"/>
      <c r="G450" s="265"/>
      <c r="H450" s="266"/>
      <c r="I450" s="295"/>
      <c r="J450" s="296"/>
      <c r="K450" s="296"/>
      <c r="L450" s="296"/>
      <c r="M450" s="21"/>
      <c r="N450" s="21"/>
      <c r="O450" s="21"/>
      <c r="P450" s="21"/>
      <c r="Q450" s="325"/>
      <c r="R450" s="21"/>
      <c r="S450" s="274"/>
      <c r="T450" s="21"/>
      <c r="U450" s="275"/>
      <c r="V450" s="82"/>
      <c r="Z450" s="181"/>
      <c r="AA450" s="183"/>
      <c r="AB450" s="35"/>
      <c r="AC450" s="25"/>
      <c r="AD450" s="279"/>
      <c r="AE450" s="25"/>
      <c r="AF450" s="26"/>
      <c r="AG450" s="278" t="str">
        <f t="shared" si="108"/>
        <v/>
      </c>
      <c r="AH450" s="278" t="str">
        <f t="shared" si="109"/>
        <v/>
      </c>
      <c r="AJ450" s="25"/>
      <c r="AK450" s="25"/>
      <c r="AL450" s="25"/>
      <c r="AM450" s="25"/>
      <c r="AN450" s="25"/>
      <c r="AO450" s="25"/>
      <c r="AP450" s="25"/>
      <c r="AQ450" s="25"/>
      <c r="AR450" s="25"/>
      <c r="AS450" s="25"/>
      <c r="AT450" s="25"/>
      <c r="AU450" s="25"/>
      <c r="AV450" s="43"/>
      <c r="AW450" s="43"/>
      <c r="AX450" s="114" t="s">
        <v>76</v>
      </c>
      <c r="AY450" s="43"/>
      <c r="AZ450" s="43"/>
      <c r="BA450" s="43"/>
      <c r="BB450" s="43"/>
    </row>
    <row r="451" spans="1:54" ht="12.75" customHeight="1">
      <c r="A451" s="80"/>
      <c r="B451" s="320"/>
      <c r="C451" s="272"/>
      <c r="D451" s="273"/>
      <c r="E451" s="503"/>
      <c r="F451" s="305"/>
      <c r="G451" s="265"/>
      <c r="H451" s="266"/>
      <c r="I451" s="295"/>
      <c r="J451" s="296"/>
      <c r="K451" s="296"/>
      <c r="L451" s="296"/>
      <c r="M451" s="21"/>
      <c r="N451" s="21"/>
      <c r="O451" s="21"/>
      <c r="P451" s="21"/>
      <c r="Q451" s="325"/>
      <c r="R451" s="21"/>
      <c r="S451" s="274"/>
      <c r="T451" s="21"/>
      <c r="U451" s="275"/>
      <c r="V451" s="82"/>
      <c r="Z451" s="181"/>
      <c r="AA451" s="183"/>
      <c r="AB451" s="35"/>
      <c r="AC451" s="25"/>
      <c r="AD451" s="279"/>
      <c r="AE451" s="25"/>
      <c r="AF451" s="26"/>
      <c r="AG451" s="278" t="str">
        <f t="shared" si="108"/>
        <v/>
      </c>
      <c r="AH451" s="278" t="str">
        <f t="shared" si="109"/>
        <v/>
      </c>
      <c r="AJ451" s="25"/>
      <c r="AK451" s="25"/>
      <c r="AL451" s="25"/>
      <c r="AM451" s="25"/>
      <c r="AN451" s="25"/>
      <c r="AO451" s="25"/>
      <c r="AP451" s="25"/>
      <c r="AQ451" s="25"/>
      <c r="AR451" s="25"/>
      <c r="AS451" s="25"/>
      <c r="AT451" s="25"/>
      <c r="AU451" s="25"/>
      <c r="AV451" s="43"/>
      <c r="AW451" s="43"/>
      <c r="AX451" s="114" t="s">
        <v>76</v>
      </c>
      <c r="AY451" s="43"/>
      <c r="AZ451" s="43"/>
      <c r="BA451" s="43"/>
      <c r="BB451" s="43"/>
    </row>
    <row r="452" spans="1:54" ht="12.75" customHeight="1">
      <c r="A452" s="80"/>
      <c r="B452" s="320"/>
      <c r="C452" s="272"/>
      <c r="D452" s="273"/>
      <c r="E452" s="503"/>
      <c r="F452" s="305"/>
      <c r="G452" s="265"/>
      <c r="H452" s="266"/>
      <c r="I452" s="295"/>
      <c r="J452" s="296"/>
      <c r="K452" s="296"/>
      <c r="L452" s="296"/>
      <c r="M452" s="21"/>
      <c r="N452" s="21"/>
      <c r="O452" s="21"/>
      <c r="P452" s="21"/>
      <c r="Q452" s="325"/>
      <c r="R452" s="21"/>
      <c r="S452" s="274"/>
      <c r="T452" s="21"/>
      <c r="U452" s="275"/>
      <c r="V452" s="82"/>
      <c r="Z452" s="181"/>
      <c r="AA452" s="183"/>
      <c r="AB452" s="35"/>
      <c r="AC452" s="25"/>
      <c r="AD452" s="279"/>
      <c r="AE452" s="25"/>
      <c r="AF452" s="26"/>
      <c r="AG452" s="278" t="str">
        <f t="shared" si="108"/>
        <v/>
      </c>
      <c r="AH452" s="278" t="str">
        <f t="shared" si="109"/>
        <v/>
      </c>
      <c r="AJ452" s="25"/>
      <c r="AK452" s="25"/>
      <c r="AL452" s="25"/>
      <c r="AM452" s="25"/>
      <c r="AN452" s="25"/>
      <c r="AO452" s="25"/>
      <c r="AP452" s="25"/>
      <c r="AQ452" s="25"/>
      <c r="AR452" s="25"/>
      <c r="AS452" s="25"/>
      <c r="AT452" s="25"/>
      <c r="AU452" s="25"/>
      <c r="AV452" s="43"/>
      <c r="AW452" s="43"/>
      <c r="AX452" s="114" t="s">
        <v>76</v>
      </c>
      <c r="AY452" s="43"/>
      <c r="AZ452" s="43"/>
      <c r="BA452" s="43"/>
      <c r="BB452" s="43"/>
    </row>
    <row r="453" spans="1:54" ht="12.75" customHeight="1">
      <c r="A453" s="80"/>
      <c r="B453" s="320"/>
      <c r="C453" s="272"/>
      <c r="D453" s="273"/>
      <c r="E453" s="503"/>
      <c r="F453" s="305"/>
      <c r="G453" s="265"/>
      <c r="H453" s="266"/>
      <c r="I453" s="295"/>
      <c r="J453" s="296"/>
      <c r="K453" s="296"/>
      <c r="L453" s="296"/>
      <c r="M453" s="21"/>
      <c r="N453" s="21"/>
      <c r="O453" s="21"/>
      <c r="P453" s="21"/>
      <c r="Q453" s="325"/>
      <c r="R453" s="21"/>
      <c r="S453" s="274"/>
      <c r="T453" s="21"/>
      <c r="U453" s="275"/>
      <c r="V453" s="82"/>
      <c r="Z453" s="181"/>
      <c r="AA453" s="183"/>
      <c r="AB453" s="35"/>
      <c r="AC453" s="25"/>
      <c r="AD453" s="279"/>
      <c r="AE453" s="25"/>
      <c r="AF453" s="26"/>
      <c r="AG453" s="278" t="str">
        <f t="shared" si="108"/>
        <v/>
      </c>
      <c r="AH453" s="278" t="str">
        <f t="shared" si="109"/>
        <v/>
      </c>
      <c r="AJ453" s="25"/>
      <c r="AK453" s="25"/>
      <c r="AL453" s="25"/>
      <c r="AM453" s="25"/>
      <c r="AN453" s="25"/>
      <c r="AO453" s="25"/>
      <c r="AP453" s="25"/>
      <c r="AQ453" s="25"/>
      <c r="AR453" s="25"/>
      <c r="AS453" s="25"/>
      <c r="AT453" s="25"/>
      <c r="AU453" s="25"/>
      <c r="AV453" s="43"/>
      <c r="AW453" s="43"/>
      <c r="AX453" s="114" t="s">
        <v>76</v>
      </c>
      <c r="AY453" s="43"/>
      <c r="AZ453" s="43"/>
      <c r="BA453" s="43"/>
      <c r="BB453" s="43"/>
    </row>
    <row r="454" spans="1:54" ht="12.75" customHeight="1">
      <c r="A454" s="80"/>
      <c r="B454" s="320"/>
      <c r="C454" s="272"/>
      <c r="D454" s="273"/>
      <c r="E454" s="503"/>
      <c r="F454" s="305"/>
      <c r="G454" s="265"/>
      <c r="H454" s="266"/>
      <c r="I454" s="295"/>
      <c r="J454" s="296"/>
      <c r="K454" s="296"/>
      <c r="L454" s="296"/>
      <c r="M454" s="21"/>
      <c r="N454" s="21"/>
      <c r="O454" s="21"/>
      <c r="P454" s="21"/>
      <c r="Q454" s="325"/>
      <c r="R454" s="21"/>
      <c r="S454" s="274"/>
      <c r="T454" s="21"/>
      <c r="U454" s="275"/>
      <c r="V454" s="82"/>
      <c r="Z454" s="181"/>
      <c r="AA454" s="183"/>
      <c r="AB454" s="35"/>
      <c r="AC454" s="25"/>
      <c r="AD454" s="279"/>
      <c r="AE454" s="25"/>
      <c r="AF454" s="26"/>
      <c r="AG454" s="278" t="str">
        <f t="shared" ref="AG454:AG517" si="110">IF(AE454="","",AE454*AltBounce)</f>
        <v/>
      </c>
      <c r="AH454" s="278" t="str">
        <f t="shared" ref="AH454:AH517" si="111">IF(AA454="","",AE454*(1/AltBounce))</f>
        <v/>
      </c>
      <c r="AJ454" s="25"/>
      <c r="AK454" s="25"/>
      <c r="AL454" s="25"/>
      <c r="AM454" s="25"/>
      <c r="AN454" s="25"/>
      <c r="AO454" s="25"/>
      <c r="AP454" s="25"/>
      <c r="AQ454" s="25"/>
      <c r="AR454" s="25"/>
      <c r="AS454" s="25"/>
      <c r="AT454" s="25"/>
      <c r="AU454" s="25"/>
      <c r="AV454" s="43"/>
      <c r="AW454" s="43"/>
      <c r="AX454" s="114" t="s">
        <v>76</v>
      </c>
      <c r="AY454" s="43"/>
      <c r="AZ454" s="43"/>
      <c r="BA454" s="43"/>
      <c r="BB454" s="43"/>
    </row>
    <row r="455" spans="1:54" ht="12.75" customHeight="1">
      <c r="A455" s="80"/>
      <c r="B455" s="320"/>
      <c r="C455" s="272"/>
      <c r="D455" s="273"/>
      <c r="E455" s="503"/>
      <c r="F455" s="305"/>
      <c r="G455" s="265"/>
      <c r="H455" s="266"/>
      <c r="I455" s="295"/>
      <c r="J455" s="296"/>
      <c r="K455" s="296"/>
      <c r="L455" s="296"/>
      <c r="M455" s="21"/>
      <c r="N455" s="21"/>
      <c r="O455" s="21"/>
      <c r="P455" s="21"/>
      <c r="Q455" s="325"/>
      <c r="R455" s="21"/>
      <c r="S455" s="274"/>
      <c r="T455" s="21"/>
      <c r="U455" s="275"/>
      <c r="V455" s="82"/>
      <c r="Z455" s="181"/>
      <c r="AA455" s="183"/>
      <c r="AB455" s="35"/>
      <c r="AC455" s="25"/>
      <c r="AD455" s="279"/>
      <c r="AE455" s="25"/>
      <c r="AF455" s="26"/>
      <c r="AG455" s="278" t="str">
        <f t="shared" si="110"/>
        <v/>
      </c>
      <c r="AH455" s="278" t="str">
        <f t="shared" si="111"/>
        <v/>
      </c>
      <c r="AJ455" s="25"/>
      <c r="AK455" s="25"/>
      <c r="AL455" s="25"/>
      <c r="AM455" s="25"/>
      <c r="AN455" s="25"/>
      <c r="AO455" s="25"/>
      <c r="AP455" s="25"/>
      <c r="AQ455" s="25"/>
      <c r="AR455" s="25"/>
      <c r="AS455" s="25"/>
      <c r="AT455" s="25"/>
      <c r="AU455" s="25"/>
      <c r="AV455" s="43"/>
      <c r="AW455" s="43"/>
      <c r="AX455" s="114" t="s">
        <v>76</v>
      </c>
      <c r="AY455" s="43"/>
      <c r="AZ455" s="43"/>
      <c r="BA455" s="43"/>
      <c r="BB455" s="43"/>
    </row>
    <row r="456" spans="1:54" ht="12.75" customHeight="1">
      <c r="A456" s="80"/>
      <c r="B456" s="320"/>
      <c r="C456" s="272"/>
      <c r="D456" s="273"/>
      <c r="E456" s="503"/>
      <c r="F456" s="305"/>
      <c r="G456" s="265"/>
      <c r="H456" s="266"/>
      <c r="I456" s="295"/>
      <c r="J456" s="296"/>
      <c r="K456" s="296"/>
      <c r="L456" s="296"/>
      <c r="M456" s="21"/>
      <c r="N456" s="21"/>
      <c r="O456" s="21"/>
      <c r="P456" s="21"/>
      <c r="Q456" s="325"/>
      <c r="R456" s="21"/>
      <c r="S456" s="274"/>
      <c r="T456" s="21"/>
      <c r="U456" s="275"/>
      <c r="V456" s="82"/>
      <c r="Z456" s="181"/>
      <c r="AA456" s="183"/>
      <c r="AB456" s="35"/>
      <c r="AC456" s="25"/>
      <c r="AD456" s="279"/>
      <c r="AE456" s="25"/>
      <c r="AF456" s="26"/>
      <c r="AG456" s="278" t="str">
        <f t="shared" si="110"/>
        <v/>
      </c>
      <c r="AH456" s="278" t="str">
        <f t="shared" si="111"/>
        <v/>
      </c>
      <c r="AJ456" s="25"/>
      <c r="AK456" s="25"/>
      <c r="AL456" s="25"/>
      <c r="AM456" s="25"/>
      <c r="AN456" s="25"/>
      <c r="AO456" s="25"/>
      <c r="AP456" s="25"/>
      <c r="AQ456" s="25"/>
      <c r="AR456" s="25"/>
      <c r="AS456" s="25"/>
      <c r="AT456" s="25"/>
      <c r="AU456" s="25"/>
      <c r="AV456" s="43"/>
      <c r="AW456" s="43"/>
      <c r="AX456" s="114" t="s">
        <v>76</v>
      </c>
      <c r="AY456" s="43"/>
      <c r="AZ456" s="43"/>
      <c r="BA456" s="43"/>
      <c r="BB456" s="43"/>
    </row>
    <row r="457" spans="1:54" ht="12.75" customHeight="1">
      <c r="A457" s="80"/>
      <c r="B457" s="320"/>
      <c r="C457" s="272"/>
      <c r="D457" s="273"/>
      <c r="E457" s="503"/>
      <c r="F457" s="305"/>
      <c r="G457" s="265"/>
      <c r="H457" s="266"/>
      <c r="I457" s="295"/>
      <c r="J457" s="296"/>
      <c r="K457" s="296"/>
      <c r="L457" s="296"/>
      <c r="M457" s="21"/>
      <c r="N457" s="21"/>
      <c r="O457" s="21"/>
      <c r="P457" s="21"/>
      <c r="Q457" s="325"/>
      <c r="R457" s="21"/>
      <c r="S457" s="274"/>
      <c r="T457" s="21"/>
      <c r="U457" s="275"/>
      <c r="V457" s="82"/>
      <c r="Z457" s="181"/>
      <c r="AA457" s="183"/>
      <c r="AB457" s="35"/>
      <c r="AC457" s="25"/>
      <c r="AD457" s="279"/>
      <c r="AE457" s="25"/>
      <c r="AF457" s="26"/>
      <c r="AG457" s="278" t="str">
        <f t="shared" si="110"/>
        <v/>
      </c>
      <c r="AH457" s="278" t="str">
        <f t="shared" si="111"/>
        <v/>
      </c>
      <c r="AJ457" s="25"/>
      <c r="AK457" s="25"/>
      <c r="AL457" s="25"/>
      <c r="AM457" s="25"/>
      <c r="AN457" s="25"/>
      <c r="AO457" s="25"/>
      <c r="AP457" s="25"/>
      <c r="AQ457" s="25"/>
      <c r="AR457" s="25"/>
      <c r="AS457" s="25"/>
      <c r="AT457" s="25"/>
      <c r="AU457" s="25"/>
      <c r="AV457" s="43"/>
      <c r="AW457" s="43"/>
      <c r="AX457" s="114" t="s">
        <v>76</v>
      </c>
      <c r="AY457" s="43"/>
      <c r="AZ457" s="43"/>
      <c r="BA457" s="43"/>
      <c r="BB457" s="43"/>
    </row>
    <row r="458" spans="1:54" ht="12.75" customHeight="1">
      <c r="A458" s="80"/>
      <c r="B458" s="320"/>
      <c r="C458" s="272"/>
      <c r="D458" s="273"/>
      <c r="E458" s="503"/>
      <c r="F458" s="305"/>
      <c r="G458" s="265"/>
      <c r="H458" s="266"/>
      <c r="I458" s="295"/>
      <c r="J458" s="296"/>
      <c r="K458" s="296"/>
      <c r="L458" s="296"/>
      <c r="M458" s="21"/>
      <c r="N458" s="21"/>
      <c r="O458" s="21"/>
      <c r="P458" s="21"/>
      <c r="Q458" s="325"/>
      <c r="R458" s="21"/>
      <c r="S458" s="274"/>
      <c r="T458" s="21"/>
      <c r="U458" s="275"/>
      <c r="V458" s="82"/>
      <c r="Z458" s="181"/>
      <c r="AA458" s="183"/>
      <c r="AB458" s="35"/>
      <c r="AC458" s="25"/>
      <c r="AD458" s="279"/>
      <c r="AE458" s="25"/>
      <c r="AF458" s="26"/>
      <c r="AG458" s="278" t="str">
        <f t="shared" si="110"/>
        <v/>
      </c>
      <c r="AH458" s="278" t="str">
        <f t="shared" si="111"/>
        <v/>
      </c>
      <c r="AJ458" s="25"/>
      <c r="AK458" s="25"/>
      <c r="AL458" s="25"/>
      <c r="AM458" s="25"/>
      <c r="AN458" s="25"/>
      <c r="AO458" s="25"/>
      <c r="AP458" s="25"/>
      <c r="AQ458" s="25"/>
      <c r="AR458" s="25"/>
      <c r="AS458" s="25"/>
      <c r="AT458" s="25"/>
      <c r="AU458" s="25"/>
      <c r="AV458" s="43"/>
      <c r="AW458" s="43"/>
      <c r="AX458" s="114" t="s">
        <v>76</v>
      </c>
      <c r="AY458" s="43"/>
      <c r="AZ458" s="43"/>
      <c r="BA458" s="43"/>
      <c r="BB458" s="43"/>
    </row>
    <row r="459" spans="1:54" ht="12.75" customHeight="1">
      <c r="A459" s="80"/>
      <c r="B459" s="320"/>
      <c r="C459" s="272"/>
      <c r="D459" s="273"/>
      <c r="E459" s="503"/>
      <c r="F459" s="305"/>
      <c r="G459" s="265"/>
      <c r="H459" s="266"/>
      <c r="I459" s="295"/>
      <c r="J459" s="296"/>
      <c r="K459" s="296"/>
      <c r="L459" s="296"/>
      <c r="M459" s="21"/>
      <c r="N459" s="21"/>
      <c r="O459" s="21"/>
      <c r="P459" s="21"/>
      <c r="Q459" s="325"/>
      <c r="R459" s="21"/>
      <c r="S459" s="274"/>
      <c r="T459" s="21"/>
      <c r="U459" s="275"/>
      <c r="V459" s="82"/>
      <c r="Z459" s="181"/>
      <c r="AA459" s="183"/>
      <c r="AB459" s="35"/>
      <c r="AC459" s="25"/>
      <c r="AD459" s="279"/>
      <c r="AE459" s="25"/>
      <c r="AF459" s="26"/>
      <c r="AG459" s="278" t="str">
        <f t="shared" si="110"/>
        <v/>
      </c>
      <c r="AH459" s="278" t="str">
        <f t="shared" si="111"/>
        <v/>
      </c>
      <c r="AJ459" s="25"/>
      <c r="AK459" s="25"/>
      <c r="AL459" s="25"/>
      <c r="AM459" s="25"/>
      <c r="AN459" s="25"/>
      <c r="AO459" s="25"/>
      <c r="AP459" s="25"/>
      <c r="AQ459" s="25"/>
      <c r="AR459" s="25"/>
      <c r="AS459" s="25"/>
      <c r="AT459" s="25"/>
      <c r="AU459" s="25"/>
      <c r="AV459" s="43"/>
      <c r="AW459" s="43"/>
      <c r="AX459" s="114" t="s">
        <v>76</v>
      </c>
      <c r="AY459" s="43"/>
      <c r="AZ459" s="43"/>
      <c r="BA459" s="43"/>
      <c r="BB459" s="43"/>
    </row>
    <row r="460" spans="1:54" ht="12.75" customHeight="1">
      <c r="A460" s="80"/>
      <c r="B460" s="320"/>
      <c r="C460" s="272"/>
      <c r="D460" s="273"/>
      <c r="E460" s="503"/>
      <c r="F460" s="305"/>
      <c r="G460" s="265"/>
      <c r="H460" s="266"/>
      <c r="I460" s="295"/>
      <c r="J460" s="296"/>
      <c r="K460" s="296"/>
      <c r="L460" s="296"/>
      <c r="M460" s="21"/>
      <c r="N460" s="21"/>
      <c r="O460" s="21"/>
      <c r="P460" s="21"/>
      <c r="Q460" s="325"/>
      <c r="R460" s="21"/>
      <c r="S460" s="274"/>
      <c r="T460" s="21"/>
      <c r="U460" s="275"/>
      <c r="V460" s="82"/>
      <c r="Z460" s="181"/>
      <c r="AA460" s="183"/>
      <c r="AB460" s="35"/>
      <c r="AC460" s="25"/>
      <c r="AD460" s="279"/>
      <c r="AE460" s="25"/>
      <c r="AF460" s="26"/>
      <c r="AG460" s="278" t="str">
        <f t="shared" si="110"/>
        <v/>
      </c>
      <c r="AH460" s="278" t="str">
        <f t="shared" si="111"/>
        <v/>
      </c>
      <c r="AJ460" s="25"/>
      <c r="AK460" s="25"/>
      <c r="AL460" s="25"/>
      <c r="AM460" s="25"/>
      <c r="AN460" s="25"/>
      <c r="AO460" s="25"/>
      <c r="AP460" s="25"/>
      <c r="AQ460" s="25"/>
      <c r="AR460" s="25"/>
      <c r="AS460" s="25"/>
      <c r="AT460" s="25"/>
      <c r="AU460" s="25"/>
      <c r="AV460" s="43"/>
      <c r="AW460" s="43"/>
      <c r="AX460" s="114" t="s">
        <v>76</v>
      </c>
      <c r="AY460" s="43"/>
      <c r="AZ460" s="43"/>
      <c r="BA460" s="43"/>
      <c r="BB460" s="43"/>
    </row>
    <row r="461" spans="1:54" ht="12.75" customHeight="1">
      <c r="A461" s="80"/>
      <c r="B461" s="320"/>
      <c r="C461" s="272"/>
      <c r="D461" s="273"/>
      <c r="E461" s="503"/>
      <c r="F461" s="305"/>
      <c r="G461" s="265"/>
      <c r="H461" s="266"/>
      <c r="I461" s="295"/>
      <c r="J461" s="296"/>
      <c r="K461" s="296"/>
      <c r="L461" s="296"/>
      <c r="M461" s="21"/>
      <c r="N461" s="21"/>
      <c r="O461" s="21"/>
      <c r="P461" s="21"/>
      <c r="Q461" s="325"/>
      <c r="R461" s="21"/>
      <c r="S461" s="274"/>
      <c r="T461" s="21"/>
      <c r="U461" s="275"/>
      <c r="V461" s="82"/>
      <c r="Z461" s="181"/>
      <c r="AA461" s="183"/>
      <c r="AB461" s="35"/>
      <c r="AC461" s="25"/>
      <c r="AD461" s="279"/>
      <c r="AE461" s="25"/>
      <c r="AF461" s="26"/>
      <c r="AG461" s="278" t="str">
        <f t="shared" si="110"/>
        <v/>
      </c>
      <c r="AH461" s="278" t="str">
        <f t="shared" si="111"/>
        <v/>
      </c>
      <c r="AJ461" s="25"/>
      <c r="AK461" s="25"/>
      <c r="AL461" s="25"/>
      <c r="AM461" s="25"/>
      <c r="AN461" s="25"/>
      <c r="AO461" s="25"/>
      <c r="AP461" s="25"/>
      <c r="AQ461" s="25"/>
      <c r="AR461" s="25"/>
      <c r="AS461" s="25"/>
      <c r="AT461" s="25"/>
      <c r="AU461" s="25"/>
      <c r="AV461" s="43"/>
      <c r="AW461" s="43"/>
      <c r="AX461" s="114" t="s">
        <v>76</v>
      </c>
      <c r="AY461" s="43"/>
      <c r="AZ461" s="43"/>
      <c r="BA461" s="43"/>
      <c r="BB461" s="43"/>
    </row>
    <row r="462" spans="1:54" ht="12.75" customHeight="1">
      <c r="A462" s="80"/>
      <c r="B462" s="320"/>
      <c r="C462" s="272"/>
      <c r="D462" s="273"/>
      <c r="E462" s="503"/>
      <c r="F462" s="305"/>
      <c r="G462" s="265"/>
      <c r="H462" s="266"/>
      <c r="I462" s="295"/>
      <c r="J462" s="296"/>
      <c r="K462" s="296"/>
      <c r="L462" s="296"/>
      <c r="M462" s="21"/>
      <c r="N462" s="21"/>
      <c r="O462" s="21"/>
      <c r="P462" s="21"/>
      <c r="Q462" s="325"/>
      <c r="R462" s="21"/>
      <c r="S462" s="274"/>
      <c r="T462" s="21"/>
      <c r="U462" s="275"/>
      <c r="V462" s="82"/>
      <c r="Z462" s="181"/>
      <c r="AA462" s="183"/>
      <c r="AB462" s="35"/>
      <c r="AC462" s="25"/>
      <c r="AD462" s="279"/>
      <c r="AE462" s="25"/>
      <c r="AF462" s="26"/>
      <c r="AG462" s="278" t="str">
        <f t="shared" si="110"/>
        <v/>
      </c>
      <c r="AH462" s="278" t="str">
        <f t="shared" si="111"/>
        <v/>
      </c>
      <c r="AJ462" s="25"/>
      <c r="AK462" s="25"/>
      <c r="AL462" s="25"/>
      <c r="AM462" s="25"/>
      <c r="AN462" s="25"/>
      <c r="AO462" s="25"/>
      <c r="AP462" s="25"/>
      <c r="AQ462" s="25"/>
      <c r="AR462" s="25"/>
      <c r="AS462" s="25"/>
      <c r="AT462" s="25"/>
      <c r="AU462" s="25"/>
      <c r="AV462" s="43"/>
      <c r="AW462" s="43"/>
      <c r="AX462" s="114" t="s">
        <v>76</v>
      </c>
      <c r="AY462" s="43"/>
      <c r="AZ462" s="43"/>
      <c r="BA462" s="43"/>
      <c r="BB462" s="43"/>
    </row>
    <row r="463" spans="1:54" ht="12.75" customHeight="1">
      <c r="A463" s="80"/>
      <c r="B463" s="320"/>
      <c r="C463" s="272"/>
      <c r="D463" s="273"/>
      <c r="E463" s="503"/>
      <c r="F463" s="305"/>
      <c r="G463" s="265"/>
      <c r="H463" s="266"/>
      <c r="I463" s="295"/>
      <c r="J463" s="296"/>
      <c r="K463" s="296"/>
      <c r="L463" s="296"/>
      <c r="M463" s="21"/>
      <c r="N463" s="21"/>
      <c r="O463" s="21"/>
      <c r="P463" s="21"/>
      <c r="Q463" s="325"/>
      <c r="R463" s="21"/>
      <c r="S463" s="274"/>
      <c r="T463" s="21"/>
      <c r="U463" s="275"/>
      <c r="V463" s="82"/>
      <c r="Z463" s="181"/>
      <c r="AA463" s="183"/>
      <c r="AB463" s="35"/>
      <c r="AC463" s="25"/>
      <c r="AD463" s="279"/>
      <c r="AE463" s="25"/>
      <c r="AF463" s="26"/>
      <c r="AG463" s="278" t="str">
        <f t="shared" si="110"/>
        <v/>
      </c>
      <c r="AH463" s="278" t="str">
        <f t="shared" si="111"/>
        <v/>
      </c>
      <c r="AJ463" s="25"/>
      <c r="AK463" s="25"/>
      <c r="AL463" s="25"/>
      <c r="AM463" s="25"/>
      <c r="AN463" s="25"/>
      <c r="AO463" s="25"/>
      <c r="AP463" s="25"/>
      <c r="AQ463" s="25"/>
      <c r="AR463" s="25"/>
      <c r="AS463" s="25"/>
      <c r="AT463" s="25"/>
      <c r="AU463" s="25"/>
      <c r="AV463" s="43"/>
      <c r="AW463" s="43"/>
      <c r="AX463" s="114" t="s">
        <v>76</v>
      </c>
      <c r="AY463" s="43"/>
      <c r="AZ463" s="43"/>
      <c r="BA463" s="43"/>
      <c r="BB463" s="43"/>
    </row>
    <row r="464" spans="1:54" ht="12.75" customHeight="1">
      <c r="A464" s="80"/>
      <c r="B464" s="320"/>
      <c r="C464" s="272"/>
      <c r="D464" s="273"/>
      <c r="E464" s="503"/>
      <c r="F464" s="305"/>
      <c r="G464" s="265"/>
      <c r="H464" s="266"/>
      <c r="I464" s="295"/>
      <c r="J464" s="296"/>
      <c r="K464" s="296"/>
      <c r="L464" s="296"/>
      <c r="M464" s="21"/>
      <c r="N464" s="21"/>
      <c r="O464" s="21"/>
      <c r="P464" s="21"/>
      <c r="Q464" s="325"/>
      <c r="R464" s="21"/>
      <c r="S464" s="274"/>
      <c r="T464" s="21"/>
      <c r="U464" s="275"/>
      <c r="V464" s="82"/>
      <c r="Z464" s="181"/>
      <c r="AA464" s="183"/>
      <c r="AB464" s="35"/>
      <c r="AC464" s="25"/>
      <c r="AD464" s="279"/>
      <c r="AE464" s="25"/>
      <c r="AF464" s="26"/>
      <c r="AG464" s="278" t="str">
        <f t="shared" si="110"/>
        <v/>
      </c>
      <c r="AH464" s="278" t="str">
        <f t="shared" si="111"/>
        <v/>
      </c>
      <c r="AJ464" s="25"/>
      <c r="AK464" s="25"/>
      <c r="AL464" s="25"/>
      <c r="AM464" s="25"/>
      <c r="AN464" s="25"/>
      <c r="AO464" s="25"/>
      <c r="AP464" s="25"/>
      <c r="AQ464" s="25"/>
      <c r="AR464" s="25"/>
      <c r="AS464" s="25"/>
      <c r="AT464" s="25"/>
      <c r="AU464" s="25"/>
      <c r="AV464" s="43"/>
      <c r="AW464" s="43"/>
      <c r="AX464" s="114" t="s">
        <v>76</v>
      </c>
      <c r="AY464" s="43"/>
      <c r="AZ464" s="43"/>
      <c r="BA464" s="43"/>
      <c r="BB464" s="43"/>
    </row>
    <row r="465" spans="1:54" ht="12.75" customHeight="1">
      <c r="A465" s="80"/>
      <c r="B465" s="320"/>
      <c r="C465" s="272"/>
      <c r="D465" s="273"/>
      <c r="E465" s="503"/>
      <c r="F465" s="305"/>
      <c r="G465" s="265"/>
      <c r="H465" s="266"/>
      <c r="I465" s="295"/>
      <c r="J465" s="296"/>
      <c r="K465" s="296"/>
      <c r="L465" s="296"/>
      <c r="M465" s="21"/>
      <c r="N465" s="21"/>
      <c r="O465" s="21"/>
      <c r="P465" s="21"/>
      <c r="Q465" s="325"/>
      <c r="R465" s="21"/>
      <c r="S465" s="274"/>
      <c r="T465" s="21"/>
      <c r="U465" s="275"/>
      <c r="V465" s="82"/>
      <c r="Z465" s="181"/>
      <c r="AA465" s="183"/>
      <c r="AB465" s="35"/>
      <c r="AC465" s="25"/>
      <c r="AD465" s="279"/>
      <c r="AE465" s="25"/>
      <c r="AF465" s="26"/>
      <c r="AG465" s="278" t="str">
        <f t="shared" si="110"/>
        <v/>
      </c>
      <c r="AH465" s="278" t="str">
        <f t="shared" si="111"/>
        <v/>
      </c>
      <c r="AJ465" s="25"/>
      <c r="AK465" s="25"/>
      <c r="AL465" s="25"/>
      <c r="AM465" s="25"/>
      <c r="AN465" s="25"/>
      <c r="AO465" s="25"/>
      <c r="AP465" s="25"/>
      <c r="AQ465" s="25"/>
      <c r="AR465" s="25"/>
      <c r="AS465" s="25"/>
      <c r="AT465" s="25"/>
      <c r="AU465" s="25"/>
      <c r="AV465" s="43"/>
      <c r="AW465" s="43"/>
      <c r="AX465" s="114" t="s">
        <v>76</v>
      </c>
      <c r="AY465" s="43"/>
      <c r="AZ465" s="43"/>
      <c r="BA465" s="43"/>
      <c r="BB465" s="43"/>
    </row>
    <row r="466" spans="1:54" ht="12.75" customHeight="1">
      <c r="A466" s="80"/>
      <c r="B466" s="320"/>
      <c r="C466" s="272"/>
      <c r="D466" s="273"/>
      <c r="E466" s="503"/>
      <c r="F466" s="305"/>
      <c r="G466" s="265"/>
      <c r="H466" s="266"/>
      <c r="I466" s="295"/>
      <c r="J466" s="296"/>
      <c r="K466" s="296"/>
      <c r="L466" s="296"/>
      <c r="M466" s="21"/>
      <c r="N466" s="21"/>
      <c r="O466" s="21"/>
      <c r="P466" s="21"/>
      <c r="Q466" s="325"/>
      <c r="R466" s="21"/>
      <c r="S466" s="274"/>
      <c r="T466" s="21"/>
      <c r="U466" s="275"/>
      <c r="V466" s="82"/>
      <c r="Z466" s="181"/>
      <c r="AA466" s="183"/>
      <c r="AB466" s="35"/>
      <c r="AC466" s="25"/>
      <c r="AD466" s="279"/>
      <c r="AE466" s="25"/>
      <c r="AF466" s="26"/>
      <c r="AG466" s="278" t="str">
        <f t="shared" si="110"/>
        <v/>
      </c>
      <c r="AH466" s="278" t="str">
        <f t="shared" si="111"/>
        <v/>
      </c>
      <c r="AJ466" s="25"/>
      <c r="AK466" s="25"/>
      <c r="AL466" s="25"/>
      <c r="AM466" s="25"/>
      <c r="AN466" s="25"/>
      <c r="AO466" s="25"/>
      <c r="AP466" s="25"/>
      <c r="AQ466" s="25"/>
      <c r="AR466" s="25"/>
      <c r="AS466" s="25"/>
      <c r="AT466" s="25"/>
      <c r="AU466" s="25"/>
      <c r="AV466" s="43"/>
      <c r="AW466" s="43"/>
      <c r="AX466" s="114" t="s">
        <v>76</v>
      </c>
      <c r="AY466" s="43"/>
      <c r="AZ466" s="43"/>
      <c r="BA466" s="43"/>
      <c r="BB466" s="43"/>
    </row>
    <row r="467" spans="1:54" ht="12.75" customHeight="1">
      <c r="A467" s="80"/>
      <c r="B467" s="320"/>
      <c r="C467" s="272"/>
      <c r="D467" s="273"/>
      <c r="E467" s="503"/>
      <c r="F467" s="305"/>
      <c r="G467" s="265"/>
      <c r="H467" s="266"/>
      <c r="I467" s="295"/>
      <c r="J467" s="296"/>
      <c r="K467" s="296"/>
      <c r="L467" s="296"/>
      <c r="M467" s="21"/>
      <c r="N467" s="21"/>
      <c r="O467" s="21"/>
      <c r="P467" s="21"/>
      <c r="Q467" s="325"/>
      <c r="R467" s="21"/>
      <c r="S467" s="274"/>
      <c r="T467" s="21"/>
      <c r="U467" s="275"/>
      <c r="V467" s="82"/>
      <c r="Z467" s="181"/>
      <c r="AA467" s="183"/>
      <c r="AB467" s="35"/>
      <c r="AC467" s="25"/>
      <c r="AD467" s="279"/>
      <c r="AE467" s="25"/>
      <c r="AF467" s="26"/>
      <c r="AG467" s="278" t="str">
        <f t="shared" si="110"/>
        <v/>
      </c>
      <c r="AH467" s="278" t="str">
        <f t="shared" si="111"/>
        <v/>
      </c>
      <c r="AJ467" s="25"/>
      <c r="AK467" s="25"/>
      <c r="AL467" s="25"/>
      <c r="AM467" s="25"/>
      <c r="AN467" s="25"/>
      <c r="AO467" s="25"/>
      <c r="AP467" s="25"/>
      <c r="AQ467" s="25"/>
      <c r="AR467" s="25"/>
      <c r="AS467" s="25"/>
      <c r="AT467" s="25"/>
      <c r="AU467" s="25"/>
      <c r="AV467" s="43"/>
      <c r="AW467" s="43"/>
      <c r="AX467" s="114" t="s">
        <v>76</v>
      </c>
      <c r="AY467" s="43"/>
      <c r="AZ467" s="43"/>
      <c r="BA467" s="43"/>
      <c r="BB467" s="43"/>
    </row>
    <row r="468" spans="1:54" ht="12.75" customHeight="1">
      <c r="A468" s="80"/>
      <c r="B468" s="320"/>
      <c r="C468" s="272"/>
      <c r="D468" s="273"/>
      <c r="E468" s="503"/>
      <c r="F468" s="305"/>
      <c r="G468" s="265"/>
      <c r="H468" s="266"/>
      <c r="I468" s="295"/>
      <c r="J468" s="296"/>
      <c r="K468" s="296"/>
      <c r="L468" s="296"/>
      <c r="M468" s="21"/>
      <c r="N468" s="21"/>
      <c r="O468" s="21"/>
      <c r="P468" s="21"/>
      <c r="Q468" s="325"/>
      <c r="R468" s="21"/>
      <c r="S468" s="274"/>
      <c r="T468" s="21"/>
      <c r="U468" s="275"/>
      <c r="V468" s="82"/>
      <c r="Z468" s="181"/>
      <c r="AA468" s="183"/>
      <c r="AB468" s="35"/>
      <c r="AC468" s="25"/>
      <c r="AD468" s="279"/>
      <c r="AE468" s="25"/>
      <c r="AF468" s="26"/>
      <c r="AG468" s="278" t="str">
        <f t="shared" si="110"/>
        <v/>
      </c>
      <c r="AH468" s="278" t="str">
        <f t="shared" si="111"/>
        <v/>
      </c>
      <c r="AJ468" s="25"/>
      <c r="AK468" s="25"/>
      <c r="AL468" s="25"/>
      <c r="AM468" s="25"/>
      <c r="AN468" s="25"/>
      <c r="AO468" s="25"/>
      <c r="AP468" s="25"/>
      <c r="AQ468" s="25"/>
      <c r="AR468" s="25"/>
      <c r="AS468" s="25"/>
      <c r="AT468" s="25"/>
      <c r="AU468" s="25"/>
      <c r="AV468" s="43"/>
      <c r="AW468" s="43"/>
      <c r="AX468" s="114" t="s">
        <v>76</v>
      </c>
      <c r="AY468" s="43"/>
      <c r="AZ468" s="43"/>
      <c r="BA468" s="43"/>
      <c r="BB468" s="43"/>
    </row>
    <row r="469" spans="1:54" ht="12.75" customHeight="1">
      <c r="A469" s="80"/>
      <c r="B469" s="320"/>
      <c r="C469" s="272"/>
      <c r="D469" s="273"/>
      <c r="E469" s="503"/>
      <c r="F469" s="305"/>
      <c r="G469" s="265"/>
      <c r="H469" s="266"/>
      <c r="I469" s="295"/>
      <c r="J469" s="296"/>
      <c r="K469" s="296"/>
      <c r="L469" s="296"/>
      <c r="M469" s="21"/>
      <c r="N469" s="21"/>
      <c r="O469" s="21"/>
      <c r="P469" s="21"/>
      <c r="Q469" s="325"/>
      <c r="R469" s="21"/>
      <c r="S469" s="274"/>
      <c r="T469" s="21"/>
      <c r="U469" s="275"/>
      <c r="V469" s="82"/>
      <c r="Z469" s="181"/>
      <c r="AA469" s="183"/>
      <c r="AB469" s="35"/>
      <c r="AC469" s="25"/>
      <c r="AD469" s="279"/>
      <c r="AE469" s="25"/>
      <c r="AF469" s="26"/>
      <c r="AG469" s="278" t="str">
        <f t="shared" si="110"/>
        <v/>
      </c>
      <c r="AH469" s="278" t="str">
        <f t="shared" si="111"/>
        <v/>
      </c>
      <c r="AJ469" s="25"/>
      <c r="AK469" s="25"/>
      <c r="AL469" s="25"/>
      <c r="AM469" s="25"/>
      <c r="AN469" s="25"/>
      <c r="AO469" s="25"/>
      <c r="AP469" s="25"/>
      <c r="AQ469" s="25"/>
      <c r="AR469" s="25"/>
      <c r="AS469" s="25"/>
      <c r="AT469" s="25"/>
      <c r="AU469" s="25"/>
      <c r="AV469" s="43"/>
      <c r="AW469" s="43"/>
      <c r="AX469" s="114" t="s">
        <v>76</v>
      </c>
      <c r="AY469" s="43"/>
      <c r="AZ469" s="43"/>
      <c r="BA469" s="43"/>
      <c r="BB469" s="43"/>
    </row>
    <row r="470" spans="1:54" ht="12.75" customHeight="1">
      <c r="A470" s="80"/>
      <c r="B470" s="320"/>
      <c r="C470" s="272"/>
      <c r="D470" s="273"/>
      <c r="E470" s="503"/>
      <c r="F470" s="305"/>
      <c r="G470" s="265"/>
      <c r="H470" s="266"/>
      <c r="I470" s="295"/>
      <c r="J470" s="296"/>
      <c r="K470" s="296"/>
      <c r="L470" s="296"/>
      <c r="M470" s="21"/>
      <c r="N470" s="21"/>
      <c r="O470" s="21"/>
      <c r="P470" s="21"/>
      <c r="Q470" s="325"/>
      <c r="R470" s="21"/>
      <c r="S470" s="274"/>
      <c r="T470" s="21"/>
      <c r="U470" s="275"/>
      <c r="V470" s="82"/>
      <c r="Z470" s="181"/>
      <c r="AA470" s="183"/>
      <c r="AB470" s="35"/>
      <c r="AC470" s="25"/>
      <c r="AD470" s="279"/>
      <c r="AE470" s="25"/>
      <c r="AF470" s="26"/>
      <c r="AG470" s="278" t="str">
        <f t="shared" si="110"/>
        <v/>
      </c>
      <c r="AH470" s="278" t="str">
        <f t="shared" si="111"/>
        <v/>
      </c>
      <c r="AJ470" s="25"/>
      <c r="AK470" s="25"/>
      <c r="AL470" s="25"/>
      <c r="AM470" s="25"/>
      <c r="AN470" s="25"/>
      <c r="AO470" s="25"/>
      <c r="AP470" s="25"/>
      <c r="AQ470" s="25"/>
      <c r="AR470" s="25"/>
      <c r="AS470" s="25"/>
      <c r="AT470" s="25"/>
      <c r="AU470" s="25"/>
      <c r="AV470" s="43"/>
      <c r="AW470" s="43"/>
      <c r="AX470" s="114" t="s">
        <v>76</v>
      </c>
      <c r="AY470" s="43"/>
      <c r="AZ470" s="43"/>
      <c r="BA470" s="43"/>
      <c r="BB470" s="43"/>
    </row>
    <row r="471" spans="1:54" ht="12.75" customHeight="1">
      <c r="A471" s="80"/>
      <c r="B471" s="320"/>
      <c r="C471" s="272"/>
      <c r="D471" s="273"/>
      <c r="E471" s="503"/>
      <c r="F471" s="305"/>
      <c r="G471" s="265"/>
      <c r="H471" s="266"/>
      <c r="I471" s="295"/>
      <c r="J471" s="296"/>
      <c r="K471" s="296"/>
      <c r="L471" s="296"/>
      <c r="M471" s="21"/>
      <c r="N471" s="21"/>
      <c r="O471" s="21"/>
      <c r="P471" s="21"/>
      <c r="Q471" s="325"/>
      <c r="R471" s="21"/>
      <c r="S471" s="274"/>
      <c r="T471" s="21"/>
      <c r="U471" s="275"/>
      <c r="V471" s="82"/>
      <c r="Z471" s="181"/>
      <c r="AA471" s="183"/>
      <c r="AB471" s="35"/>
      <c r="AC471" s="25"/>
      <c r="AD471" s="279"/>
      <c r="AE471" s="25"/>
      <c r="AF471" s="26"/>
      <c r="AG471" s="278" t="str">
        <f t="shared" si="110"/>
        <v/>
      </c>
      <c r="AH471" s="278" t="str">
        <f t="shared" si="111"/>
        <v/>
      </c>
      <c r="AJ471" s="25"/>
      <c r="AK471" s="25"/>
      <c r="AL471" s="25"/>
      <c r="AM471" s="25"/>
      <c r="AN471" s="25"/>
      <c r="AO471" s="25"/>
      <c r="AP471" s="25"/>
      <c r="AQ471" s="25"/>
      <c r="AR471" s="25"/>
      <c r="AS471" s="25"/>
      <c r="AT471" s="25"/>
      <c r="AU471" s="25"/>
      <c r="AV471" s="43"/>
      <c r="AW471" s="43"/>
      <c r="AX471" s="114" t="s">
        <v>76</v>
      </c>
      <c r="AY471" s="43"/>
      <c r="AZ471" s="43"/>
      <c r="BA471" s="43"/>
      <c r="BB471" s="43"/>
    </row>
    <row r="472" spans="1:54" ht="12.75" customHeight="1">
      <c r="A472" s="80"/>
      <c r="B472" s="320"/>
      <c r="C472" s="272"/>
      <c r="D472" s="273"/>
      <c r="E472" s="503"/>
      <c r="F472" s="305"/>
      <c r="G472" s="265"/>
      <c r="H472" s="266"/>
      <c r="I472" s="295"/>
      <c r="J472" s="296"/>
      <c r="K472" s="296"/>
      <c r="L472" s="296"/>
      <c r="M472" s="21"/>
      <c r="N472" s="21"/>
      <c r="O472" s="21"/>
      <c r="P472" s="21"/>
      <c r="Q472" s="325"/>
      <c r="R472" s="21"/>
      <c r="S472" s="274"/>
      <c r="T472" s="21"/>
      <c r="U472" s="275"/>
      <c r="V472" s="82"/>
      <c r="Z472" s="181"/>
      <c r="AA472" s="183"/>
      <c r="AB472" s="35"/>
      <c r="AC472" s="25"/>
      <c r="AD472" s="279"/>
      <c r="AE472" s="25"/>
      <c r="AF472" s="26"/>
      <c r="AG472" s="278" t="str">
        <f t="shared" si="110"/>
        <v/>
      </c>
      <c r="AH472" s="278" t="str">
        <f t="shared" si="111"/>
        <v/>
      </c>
      <c r="AJ472" s="25"/>
      <c r="AK472" s="25"/>
      <c r="AL472" s="25"/>
      <c r="AM472" s="25"/>
      <c r="AN472" s="25"/>
      <c r="AO472" s="25"/>
      <c r="AP472" s="25"/>
      <c r="AQ472" s="25"/>
      <c r="AR472" s="25"/>
      <c r="AS472" s="25"/>
      <c r="AT472" s="25"/>
      <c r="AU472" s="25"/>
      <c r="AV472" s="43"/>
      <c r="AW472" s="43"/>
      <c r="AX472" s="114" t="s">
        <v>76</v>
      </c>
      <c r="AY472" s="43"/>
      <c r="AZ472" s="43"/>
      <c r="BA472" s="43"/>
      <c r="BB472" s="43"/>
    </row>
    <row r="473" spans="1:54" ht="12.75" customHeight="1">
      <c r="A473" s="80"/>
      <c r="B473" s="320"/>
      <c r="C473" s="272"/>
      <c r="D473" s="273"/>
      <c r="E473" s="503"/>
      <c r="F473" s="305"/>
      <c r="G473" s="265"/>
      <c r="H473" s="266"/>
      <c r="I473" s="295"/>
      <c r="J473" s="296"/>
      <c r="K473" s="296"/>
      <c r="L473" s="296"/>
      <c r="M473" s="21"/>
      <c r="N473" s="21"/>
      <c r="O473" s="21"/>
      <c r="P473" s="21"/>
      <c r="Q473" s="325"/>
      <c r="R473" s="21"/>
      <c r="S473" s="274"/>
      <c r="T473" s="21"/>
      <c r="U473" s="275"/>
      <c r="V473" s="82"/>
      <c r="Z473" s="181"/>
      <c r="AA473" s="183"/>
      <c r="AB473" s="35"/>
      <c r="AC473" s="25"/>
      <c r="AD473" s="279"/>
      <c r="AE473" s="25"/>
      <c r="AF473" s="26"/>
      <c r="AG473" s="278" t="str">
        <f t="shared" si="110"/>
        <v/>
      </c>
      <c r="AH473" s="278" t="str">
        <f t="shared" si="111"/>
        <v/>
      </c>
      <c r="AJ473" s="25"/>
      <c r="AK473" s="25"/>
      <c r="AL473" s="25"/>
      <c r="AM473" s="25"/>
      <c r="AN473" s="25"/>
      <c r="AO473" s="25"/>
      <c r="AP473" s="25"/>
      <c r="AQ473" s="25"/>
      <c r="AR473" s="25"/>
      <c r="AS473" s="25"/>
      <c r="AT473" s="25"/>
      <c r="AU473" s="25"/>
      <c r="AV473" s="43"/>
      <c r="AW473" s="43"/>
      <c r="AX473" s="114" t="s">
        <v>76</v>
      </c>
      <c r="AY473" s="43"/>
      <c r="AZ473" s="43"/>
      <c r="BA473" s="43"/>
      <c r="BB473" s="43"/>
    </row>
    <row r="474" spans="1:54" ht="12.75" customHeight="1">
      <c r="A474" s="80"/>
      <c r="B474" s="320"/>
      <c r="C474" s="272"/>
      <c r="D474" s="273"/>
      <c r="E474" s="503"/>
      <c r="F474" s="305"/>
      <c r="G474" s="265"/>
      <c r="H474" s="266"/>
      <c r="I474" s="295"/>
      <c r="J474" s="296"/>
      <c r="K474" s="296"/>
      <c r="L474" s="296"/>
      <c r="M474" s="21"/>
      <c r="N474" s="21"/>
      <c r="O474" s="21"/>
      <c r="P474" s="21"/>
      <c r="Q474" s="325"/>
      <c r="R474" s="21"/>
      <c r="S474" s="274"/>
      <c r="T474" s="21"/>
      <c r="U474" s="275"/>
      <c r="V474" s="82"/>
      <c r="Z474" s="181"/>
      <c r="AA474" s="183"/>
      <c r="AB474" s="35"/>
      <c r="AC474" s="25"/>
      <c r="AD474" s="279"/>
      <c r="AE474" s="25"/>
      <c r="AF474" s="26"/>
      <c r="AG474" s="278" t="str">
        <f t="shared" si="110"/>
        <v/>
      </c>
      <c r="AH474" s="278" t="str">
        <f t="shared" si="111"/>
        <v/>
      </c>
      <c r="AJ474" s="25"/>
      <c r="AK474" s="25"/>
      <c r="AL474" s="25"/>
      <c r="AM474" s="25"/>
      <c r="AN474" s="25"/>
      <c r="AO474" s="25"/>
      <c r="AP474" s="25"/>
      <c r="AQ474" s="25"/>
      <c r="AR474" s="25"/>
      <c r="AS474" s="25"/>
      <c r="AT474" s="25"/>
      <c r="AU474" s="25"/>
      <c r="AV474" s="43"/>
      <c r="AW474" s="43"/>
      <c r="AX474" s="114" t="s">
        <v>76</v>
      </c>
      <c r="AY474" s="43"/>
      <c r="AZ474" s="43"/>
      <c r="BA474" s="43"/>
      <c r="BB474" s="43"/>
    </row>
    <row r="475" spans="1:54" ht="12.75" customHeight="1">
      <c r="A475" s="80"/>
      <c r="B475" s="320"/>
      <c r="C475" s="272"/>
      <c r="D475" s="273"/>
      <c r="E475" s="503"/>
      <c r="F475" s="305"/>
      <c r="G475" s="265"/>
      <c r="H475" s="266"/>
      <c r="I475" s="295"/>
      <c r="J475" s="296"/>
      <c r="K475" s="296"/>
      <c r="L475" s="296"/>
      <c r="M475" s="21"/>
      <c r="N475" s="21"/>
      <c r="O475" s="21"/>
      <c r="P475" s="21"/>
      <c r="Q475" s="325"/>
      <c r="R475" s="21"/>
      <c r="S475" s="274"/>
      <c r="T475" s="21"/>
      <c r="U475" s="275"/>
      <c r="V475" s="82"/>
      <c r="Z475" s="181"/>
      <c r="AA475" s="183"/>
      <c r="AB475" s="35"/>
      <c r="AC475" s="25"/>
      <c r="AD475" s="279"/>
      <c r="AE475" s="25"/>
      <c r="AF475" s="26"/>
      <c r="AG475" s="278" t="str">
        <f t="shared" si="110"/>
        <v/>
      </c>
      <c r="AH475" s="278" t="str">
        <f t="shared" si="111"/>
        <v/>
      </c>
      <c r="AJ475" s="25"/>
      <c r="AK475" s="25"/>
      <c r="AL475" s="25"/>
      <c r="AM475" s="25"/>
      <c r="AN475" s="25"/>
      <c r="AO475" s="25"/>
      <c r="AP475" s="25"/>
      <c r="AQ475" s="25"/>
      <c r="AR475" s="25"/>
      <c r="AS475" s="25"/>
      <c r="AT475" s="25"/>
      <c r="AU475" s="25"/>
      <c r="AV475" s="43"/>
      <c r="AW475" s="43"/>
      <c r="AX475" s="114" t="s">
        <v>76</v>
      </c>
      <c r="AY475" s="43"/>
      <c r="AZ475" s="43"/>
      <c r="BA475" s="43"/>
      <c r="BB475" s="43"/>
    </row>
    <row r="476" spans="1:54" ht="12.75" customHeight="1">
      <c r="A476" s="80"/>
      <c r="B476" s="320"/>
      <c r="C476" s="272"/>
      <c r="D476" s="273"/>
      <c r="E476" s="503"/>
      <c r="F476" s="305"/>
      <c r="G476" s="265"/>
      <c r="H476" s="266"/>
      <c r="I476" s="295"/>
      <c r="J476" s="296"/>
      <c r="K476" s="296"/>
      <c r="L476" s="296"/>
      <c r="M476" s="21"/>
      <c r="N476" s="21"/>
      <c r="O476" s="21"/>
      <c r="P476" s="21"/>
      <c r="Q476" s="325"/>
      <c r="R476" s="21"/>
      <c r="S476" s="274"/>
      <c r="T476" s="21"/>
      <c r="U476" s="275"/>
      <c r="V476" s="82"/>
      <c r="Z476" s="181"/>
      <c r="AA476" s="183"/>
      <c r="AB476" s="35"/>
      <c r="AC476" s="25"/>
      <c r="AD476" s="279"/>
      <c r="AE476" s="25"/>
      <c r="AF476" s="26"/>
      <c r="AG476" s="278" t="str">
        <f t="shared" si="110"/>
        <v/>
      </c>
      <c r="AH476" s="278" t="str">
        <f t="shared" si="111"/>
        <v/>
      </c>
      <c r="AJ476" s="25"/>
      <c r="AK476" s="25"/>
      <c r="AL476" s="25"/>
      <c r="AM476" s="25"/>
      <c r="AN476" s="25"/>
      <c r="AO476" s="25"/>
      <c r="AP476" s="25"/>
      <c r="AQ476" s="25"/>
      <c r="AR476" s="25"/>
      <c r="AS476" s="25"/>
      <c r="AT476" s="25"/>
      <c r="AU476" s="25"/>
      <c r="AV476" s="43"/>
      <c r="AW476" s="43"/>
      <c r="AX476" s="114" t="s">
        <v>76</v>
      </c>
      <c r="AY476" s="43"/>
      <c r="AZ476" s="43"/>
      <c r="BA476" s="43"/>
      <c r="BB476" s="43"/>
    </row>
    <row r="477" spans="1:54" ht="12.75" customHeight="1">
      <c r="A477" s="80"/>
      <c r="B477" s="320"/>
      <c r="C477" s="272"/>
      <c r="D477" s="273"/>
      <c r="E477" s="503"/>
      <c r="F477" s="305"/>
      <c r="G477" s="265"/>
      <c r="H477" s="266"/>
      <c r="I477" s="295"/>
      <c r="J477" s="296"/>
      <c r="K477" s="296"/>
      <c r="L477" s="296"/>
      <c r="M477" s="21"/>
      <c r="N477" s="21"/>
      <c r="O477" s="21"/>
      <c r="P477" s="21"/>
      <c r="Q477" s="325"/>
      <c r="R477" s="21"/>
      <c r="S477" s="274"/>
      <c r="T477" s="21"/>
      <c r="U477" s="275"/>
      <c r="V477" s="82"/>
      <c r="Z477" s="181"/>
      <c r="AA477" s="183"/>
      <c r="AB477" s="35"/>
      <c r="AC477" s="25"/>
      <c r="AD477" s="279"/>
      <c r="AE477" s="25"/>
      <c r="AF477" s="26"/>
      <c r="AG477" s="278" t="str">
        <f t="shared" si="110"/>
        <v/>
      </c>
      <c r="AH477" s="278" t="str">
        <f t="shared" si="111"/>
        <v/>
      </c>
      <c r="AJ477" s="25"/>
      <c r="AK477" s="25"/>
      <c r="AL477" s="25"/>
      <c r="AM477" s="25"/>
      <c r="AN477" s="25"/>
      <c r="AO477" s="25"/>
      <c r="AP477" s="25"/>
      <c r="AQ477" s="25"/>
      <c r="AR477" s="25"/>
      <c r="AS477" s="25"/>
      <c r="AT477" s="25"/>
      <c r="AU477" s="25"/>
      <c r="AV477" s="43"/>
      <c r="AW477" s="43"/>
      <c r="AX477" s="114" t="s">
        <v>76</v>
      </c>
      <c r="AY477" s="43"/>
      <c r="AZ477" s="43"/>
      <c r="BA477" s="43"/>
      <c r="BB477" s="43"/>
    </row>
    <row r="478" spans="1:54" ht="12.75" customHeight="1">
      <c r="A478" s="80"/>
      <c r="B478" s="320"/>
      <c r="C478" s="272"/>
      <c r="D478" s="273"/>
      <c r="E478" s="503"/>
      <c r="F478" s="305"/>
      <c r="G478" s="265"/>
      <c r="H478" s="266"/>
      <c r="I478" s="295"/>
      <c r="J478" s="296"/>
      <c r="K478" s="296"/>
      <c r="L478" s="296"/>
      <c r="M478" s="21"/>
      <c r="N478" s="21"/>
      <c r="O478" s="21"/>
      <c r="P478" s="21"/>
      <c r="Q478" s="325"/>
      <c r="R478" s="21"/>
      <c r="S478" s="274"/>
      <c r="T478" s="21"/>
      <c r="U478" s="275"/>
      <c r="V478" s="82"/>
      <c r="Z478" s="181"/>
      <c r="AA478" s="183"/>
      <c r="AB478" s="35"/>
      <c r="AC478" s="25"/>
      <c r="AD478" s="279"/>
      <c r="AE478" s="25"/>
      <c r="AF478" s="26"/>
      <c r="AG478" s="278" t="str">
        <f t="shared" si="110"/>
        <v/>
      </c>
      <c r="AH478" s="278" t="str">
        <f t="shared" si="111"/>
        <v/>
      </c>
      <c r="AJ478" s="25"/>
      <c r="AK478" s="25"/>
      <c r="AL478" s="25"/>
      <c r="AM478" s="25"/>
      <c r="AN478" s="25"/>
      <c r="AO478" s="25"/>
      <c r="AP478" s="25"/>
      <c r="AQ478" s="25"/>
      <c r="AR478" s="25"/>
      <c r="AS478" s="25"/>
      <c r="AT478" s="25"/>
      <c r="AU478" s="25"/>
      <c r="AV478" s="43"/>
      <c r="AW478" s="43"/>
      <c r="AX478" s="114" t="s">
        <v>76</v>
      </c>
      <c r="AY478" s="43"/>
      <c r="AZ478" s="43"/>
      <c r="BA478" s="43"/>
      <c r="BB478" s="43"/>
    </row>
    <row r="479" spans="1:54" ht="12.75" customHeight="1">
      <c r="A479" s="80"/>
      <c r="B479" s="320"/>
      <c r="C479" s="272"/>
      <c r="D479" s="273"/>
      <c r="E479" s="503"/>
      <c r="F479" s="305"/>
      <c r="G479" s="265"/>
      <c r="H479" s="266"/>
      <c r="I479" s="295"/>
      <c r="J479" s="296"/>
      <c r="K479" s="296"/>
      <c r="L479" s="296"/>
      <c r="M479" s="21"/>
      <c r="N479" s="21"/>
      <c r="O479" s="21"/>
      <c r="P479" s="21"/>
      <c r="Q479" s="325"/>
      <c r="R479" s="21"/>
      <c r="S479" s="274"/>
      <c r="T479" s="21"/>
      <c r="U479" s="275"/>
      <c r="V479" s="82"/>
      <c r="Z479" s="181"/>
      <c r="AA479" s="183"/>
      <c r="AB479" s="35"/>
      <c r="AC479" s="25"/>
      <c r="AD479" s="279"/>
      <c r="AE479" s="25"/>
      <c r="AF479" s="26"/>
      <c r="AG479" s="278" t="str">
        <f t="shared" si="110"/>
        <v/>
      </c>
      <c r="AH479" s="278" t="str">
        <f t="shared" si="111"/>
        <v/>
      </c>
      <c r="AJ479" s="25"/>
      <c r="AK479" s="25"/>
      <c r="AL479" s="25"/>
      <c r="AM479" s="25"/>
      <c r="AN479" s="25"/>
      <c r="AO479" s="25"/>
      <c r="AP479" s="25"/>
      <c r="AQ479" s="25"/>
      <c r="AR479" s="25"/>
      <c r="AS479" s="25"/>
      <c r="AT479" s="25"/>
      <c r="AU479" s="25"/>
      <c r="AV479" s="43"/>
      <c r="AW479" s="43"/>
      <c r="AX479" s="114" t="s">
        <v>76</v>
      </c>
      <c r="AY479" s="43"/>
      <c r="AZ479" s="43"/>
      <c r="BA479" s="43"/>
      <c r="BB479" s="43"/>
    </row>
    <row r="480" spans="1:54" ht="12.75" customHeight="1">
      <c r="A480" s="80"/>
      <c r="B480" s="320"/>
      <c r="C480" s="272"/>
      <c r="D480" s="273"/>
      <c r="E480" s="503"/>
      <c r="F480" s="305"/>
      <c r="G480" s="265"/>
      <c r="H480" s="266"/>
      <c r="I480" s="295"/>
      <c r="J480" s="296"/>
      <c r="K480" s="296"/>
      <c r="L480" s="296"/>
      <c r="M480" s="21"/>
      <c r="N480" s="21"/>
      <c r="O480" s="21"/>
      <c r="P480" s="21"/>
      <c r="Q480" s="325"/>
      <c r="R480" s="21"/>
      <c r="S480" s="274"/>
      <c r="T480" s="21"/>
      <c r="U480" s="275"/>
      <c r="V480" s="82"/>
      <c r="Z480" s="181"/>
      <c r="AA480" s="183"/>
      <c r="AB480" s="35"/>
      <c r="AC480" s="25"/>
      <c r="AD480" s="279"/>
      <c r="AE480" s="25"/>
      <c r="AF480" s="26"/>
      <c r="AG480" s="278" t="str">
        <f t="shared" si="110"/>
        <v/>
      </c>
      <c r="AH480" s="278" t="str">
        <f t="shared" si="111"/>
        <v/>
      </c>
      <c r="AJ480" s="25"/>
      <c r="AK480" s="25"/>
      <c r="AL480" s="25"/>
      <c r="AM480" s="25"/>
      <c r="AN480" s="25"/>
      <c r="AO480" s="25"/>
      <c r="AP480" s="25"/>
      <c r="AQ480" s="25"/>
      <c r="AR480" s="25"/>
      <c r="AS480" s="25"/>
      <c r="AT480" s="25"/>
      <c r="AU480" s="25"/>
      <c r="AV480" s="43"/>
      <c r="AW480" s="43"/>
      <c r="AX480" s="114" t="s">
        <v>76</v>
      </c>
      <c r="AY480" s="43"/>
      <c r="AZ480" s="43"/>
      <c r="BA480" s="43"/>
      <c r="BB480" s="43"/>
    </row>
    <row r="481" spans="1:54" ht="12.75" customHeight="1">
      <c r="A481" s="80"/>
      <c r="B481" s="320"/>
      <c r="C481" s="272"/>
      <c r="D481" s="273"/>
      <c r="E481" s="503"/>
      <c r="F481" s="305"/>
      <c r="G481" s="265"/>
      <c r="H481" s="266"/>
      <c r="I481" s="295"/>
      <c r="J481" s="296"/>
      <c r="K481" s="296"/>
      <c r="L481" s="296"/>
      <c r="M481" s="21"/>
      <c r="N481" s="21"/>
      <c r="O481" s="21"/>
      <c r="P481" s="21"/>
      <c r="Q481" s="325"/>
      <c r="R481" s="21"/>
      <c r="S481" s="274"/>
      <c r="T481" s="21"/>
      <c r="U481" s="275"/>
      <c r="V481" s="82"/>
      <c r="Z481" s="181"/>
      <c r="AA481" s="183"/>
      <c r="AB481" s="35"/>
      <c r="AC481" s="25"/>
      <c r="AD481" s="279"/>
      <c r="AE481" s="25"/>
      <c r="AF481" s="26"/>
      <c r="AG481" s="278" t="str">
        <f t="shared" si="110"/>
        <v/>
      </c>
      <c r="AH481" s="278" t="str">
        <f t="shared" si="111"/>
        <v/>
      </c>
      <c r="AJ481" s="25"/>
      <c r="AK481" s="25"/>
      <c r="AL481" s="25"/>
      <c r="AM481" s="25"/>
      <c r="AN481" s="25"/>
      <c r="AO481" s="25"/>
      <c r="AP481" s="25"/>
      <c r="AQ481" s="25"/>
      <c r="AR481" s="25"/>
      <c r="AS481" s="25"/>
      <c r="AT481" s="25"/>
      <c r="AU481" s="25"/>
      <c r="AV481" s="43"/>
      <c r="AW481" s="43"/>
      <c r="AX481" s="114" t="s">
        <v>76</v>
      </c>
      <c r="AY481" s="43"/>
      <c r="AZ481" s="43"/>
      <c r="BA481" s="43"/>
      <c r="BB481" s="43"/>
    </row>
    <row r="482" spans="1:54" ht="12.75" customHeight="1">
      <c r="A482" s="80"/>
      <c r="B482" s="320"/>
      <c r="C482" s="272"/>
      <c r="D482" s="273"/>
      <c r="E482" s="503"/>
      <c r="F482" s="305"/>
      <c r="G482" s="265"/>
      <c r="H482" s="266"/>
      <c r="I482" s="295"/>
      <c r="J482" s="296"/>
      <c r="K482" s="296"/>
      <c r="L482" s="296"/>
      <c r="M482" s="21"/>
      <c r="N482" s="21"/>
      <c r="O482" s="21"/>
      <c r="P482" s="21"/>
      <c r="Q482" s="325"/>
      <c r="R482" s="21"/>
      <c r="S482" s="274"/>
      <c r="T482" s="21"/>
      <c r="U482" s="275"/>
      <c r="V482" s="82"/>
      <c r="Z482" s="181"/>
      <c r="AA482" s="183"/>
      <c r="AB482" s="35"/>
      <c r="AC482" s="25"/>
      <c r="AD482" s="279"/>
      <c r="AE482" s="25"/>
      <c r="AF482" s="26"/>
      <c r="AG482" s="278" t="str">
        <f t="shared" si="110"/>
        <v/>
      </c>
      <c r="AH482" s="278" t="str">
        <f t="shared" si="111"/>
        <v/>
      </c>
      <c r="AJ482" s="25"/>
      <c r="AK482" s="25"/>
      <c r="AL482" s="25"/>
      <c r="AM482" s="25"/>
      <c r="AN482" s="25"/>
      <c r="AO482" s="25"/>
      <c r="AP482" s="25"/>
      <c r="AQ482" s="25"/>
      <c r="AR482" s="25"/>
      <c r="AS482" s="25"/>
      <c r="AT482" s="25"/>
      <c r="AU482" s="25"/>
      <c r="AV482" s="43"/>
      <c r="AW482" s="43"/>
      <c r="AX482" s="114" t="s">
        <v>76</v>
      </c>
      <c r="AY482" s="43"/>
      <c r="AZ482" s="43"/>
      <c r="BA482" s="43"/>
      <c r="BB482" s="43"/>
    </row>
    <row r="483" spans="1:54" ht="12.75" customHeight="1">
      <c r="A483" s="80"/>
      <c r="B483" s="320"/>
      <c r="C483" s="272"/>
      <c r="D483" s="273"/>
      <c r="E483" s="503"/>
      <c r="F483" s="305"/>
      <c r="G483" s="265"/>
      <c r="H483" s="266"/>
      <c r="I483" s="295"/>
      <c r="J483" s="296"/>
      <c r="K483" s="296"/>
      <c r="L483" s="296"/>
      <c r="M483" s="21"/>
      <c r="N483" s="21"/>
      <c r="O483" s="21"/>
      <c r="P483" s="21"/>
      <c r="Q483" s="325"/>
      <c r="R483" s="21"/>
      <c r="S483" s="274"/>
      <c r="T483" s="21"/>
      <c r="U483" s="275"/>
      <c r="V483" s="82"/>
      <c r="Z483" s="181"/>
      <c r="AA483" s="183"/>
      <c r="AB483" s="35"/>
      <c r="AC483" s="25"/>
      <c r="AD483" s="279"/>
      <c r="AE483" s="25"/>
      <c r="AF483" s="26"/>
      <c r="AG483" s="278" t="str">
        <f t="shared" si="110"/>
        <v/>
      </c>
      <c r="AH483" s="278" t="str">
        <f t="shared" si="111"/>
        <v/>
      </c>
      <c r="AJ483" s="25"/>
      <c r="AK483" s="25"/>
      <c r="AL483" s="25"/>
      <c r="AM483" s="25"/>
      <c r="AN483" s="25"/>
      <c r="AO483" s="25"/>
      <c r="AP483" s="25"/>
      <c r="AQ483" s="25"/>
      <c r="AR483" s="25"/>
      <c r="AS483" s="25"/>
      <c r="AT483" s="25"/>
      <c r="AU483" s="25"/>
      <c r="AV483" s="43"/>
      <c r="AW483" s="43"/>
      <c r="AX483" s="114" t="s">
        <v>76</v>
      </c>
      <c r="AY483" s="43"/>
      <c r="AZ483" s="43"/>
      <c r="BA483" s="43"/>
      <c r="BB483" s="43"/>
    </row>
    <row r="484" spans="1:54" ht="12.75" customHeight="1">
      <c r="A484" s="80"/>
      <c r="B484" s="320"/>
      <c r="C484" s="272"/>
      <c r="D484" s="273"/>
      <c r="E484" s="503"/>
      <c r="F484" s="305"/>
      <c r="G484" s="265"/>
      <c r="H484" s="266"/>
      <c r="I484" s="295"/>
      <c r="J484" s="296"/>
      <c r="K484" s="296"/>
      <c r="L484" s="296"/>
      <c r="M484" s="21"/>
      <c r="N484" s="21"/>
      <c r="O484" s="21"/>
      <c r="P484" s="21"/>
      <c r="Q484" s="325"/>
      <c r="R484" s="21"/>
      <c r="S484" s="274"/>
      <c r="T484" s="21"/>
      <c r="U484" s="275"/>
      <c r="V484" s="82"/>
      <c r="Z484" s="181"/>
      <c r="AA484" s="183"/>
      <c r="AB484" s="35"/>
      <c r="AC484" s="25"/>
      <c r="AD484" s="279"/>
      <c r="AE484" s="25"/>
      <c r="AF484" s="26"/>
      <c r="AG484" s="278" t="str">
        <f t="shared" si="110"/>
        <v/>
      </c>
      <c r="AH484" s="278" t="str">
        <f t="shared" si="111"/>
        <v/>
      </c>
      <c r="AJ484" s="25"/>
      <c r="AK484" s="25"/>
      <c r="AL484" s="25"/>
      <c r="AM484" s="25"/>
      <c r="AN484" s="25"/>
      <c r="AO484" s="25"/>
      <c r="AP484" s="25"/>
      <c r="AQ484" s="25"/>
      <c r="AR484" s="25"/>
      <c r="AS484" s="25"/>
      <c r="AT484" s="25"/>
      <c r="AU484" s="25"/>
      <c r="AV484" s="43"/>
      <c r="AW484" s="43"/>
      <c r="AX484" s="114" t="s">
        <v>76</v>
      </c>
      <c r="AY484" s="43"/>
      <c r="AZ484" s="43"/>
      <c r="BA484" s="43"/>
      <c r="BB484" s="43"/>
    </row>
    <row r="485" spans="1:54" ht="12.75" customHeight="1">
      <c r="A485" s="80"/>
      <c r="B485" s="320"/>
      <c r="C485" s="272"/>
      <c r="D485" s="273"/>
      <c r="E485" s="503"/>
      <c r="F485" s="305"/>
      <c r="G485" s="265"/>
      <c r="H485" s="266"/>
      <c r="I485" s="295"/>
      <c r="J485" s="296"/>
      <c r="K485" s="296"/>
      <c r="L485" s="296"/>
      <c r="M485" s="21"/>
      <c r="N485" s="21"/>
      <c r="O485" s="21"/>
      <c r="P485" s="21"/>
      <c r="Q485" s="325"/>
      <c r="R485" s="21"/>
      <c r="S485" s="274"/>
      <c r="T485" s="21"/>
      <c r="U485" s="275"/>
      <c r="V485" s="82"/>
      <c r="Z485" s="181"/>
      <c r="AA485" s="183"/>
      <c r="AB485" s="35"/>
      <c r="AC485" s="25"/>
      <c r="AD485" s="279"/>
      <c r="AE485" s="25"/>
      <c r="AF485" s="26"/>
      <c r="AG485" s="278" t="str">
        <f t="shared" si="110"/>
        <v/>
      </c>
      <c r="AH485" s="278" t="str">
        <f t="shared" si="111"/>
        <v/>
      </c>
      <c r="AJ485" s="25"/>
      <c r="AK485" s="25"/>
      <c r="AL485" s="25"/>
      <c r="AM485" s="25"/>
      <c r="AN485" s="25"/>
      <c r="AO485" s="25"/>
      <c r="AP485" s="25"/>
      <c r="AQ485" s="25"/>
      <c r="AR485" s="25"/>
      <c r="AS485" s="25"/>
      <c r="AT485" s="25"/>
      <c r="AU485" s="25"/>
      <c r="AV485" s="43"/>
      <c r="AW485" s="43"/>
      <c r="AX485" s="114" t="s">
        <v>76</v>
      </c>
      <c r="AY485" s="43"/>
      <c r="AZ485" s="43"/>
      <c r="BA485" s="43"/>
      <c r="BB485" s="43"/>
    </row>
    <row r="486" spans="1:54" ht="12.75" customHeight="1">
      <c r="A486" s="80"/>
      <c r="B486" s="320"/>
      <c r="C486" s="272"/>
      <c r="D486" s="273"/>
      <c r="E486" s="503"/>
      <c r="F486" s="305"/>
      <c r="G486" s="265"/>
      <c r="H486" s="266"/>
      <c r="I486" s="295"/>
      <c r="J486" s="296"/>
      <c r="K486" s="296"/>
      <c r="L486" s="296"/>
      <c r="M486" s="21"/>
      <c r="N486" s="21"/>
      <c r="O486" s="21"/>
      <c r="P486" s="21"/>
      <c r="Q486" s="325"/>
      <c r="R486" s="21"/>
      <c r="S486" s="274"/>
      <c r="T486" s="21"/>
      <c r="U486" s="275"/>
      <c r="V486" s="82"/>
      <c r="Z486" s="181"/>
      <c r="AA486" s="183"/>
      <c r="AB486" s="35"/>
      <c r="AC486" s="25"/>
      <c r="AD486" s="279"/>
      <c r="AE486" s="25"/>
      <c r="AF486" s="26"/>
      <c r="AG486" s="278" t="str">
        <f t="shared" si="110"/>
        <v/>
      </c>
      <c r="AH486" s="278" t="str">
        <f t="shared" si="111"/>
        <v/>
      </c>
      <c r="AJ486" s="25"/>
      <c r="AK486" s="25"/>
      <c r="AL486" s="25"/>
      <c r="AM486" s="25"/>
      <c r="AN486" s="25"/>
      <c r="AO486" s="25"/>
      <c r="AP486" s="25"/>
      <c r="AQ486" s="25"/>
      <c r="AR486" s="25"/>
      <c r="AS486" s="25"/>
      <c r="AT486" s="25"/>
      <c r="AU486" s="25"/>
      <c r="AV486" s="43"/>
      <c r="AW486" s="43"/>
      <c r="AX486" s="114" t="s">
        <v>76</v>
      </c>
      <c r="AY486" s="43"/>
      <c r="AZ486" s="43"/>
      <c r="BA486" s="43"/>
      <c r="BB486" s="43"/>
    </row>
    <row r="487" spans="1:54" ht="12.75" customHeight="1">
      <c r="A487" s="80"/>
      <c r="B487" s="320"/>
      <c r="C487" s="272"/>
      <c r="D487" s="273"/>
      <c r="E487" s="503"/>
      <c r="F487" s="305"/>
      <c r="G487" s="265"/>
      <c r="H487" s="266"/>
      <c r="I487" s="295"/>
      <c r="J487" s="296"/>
      <c r="K487" s="296"/>
      <c r="L487" s="296"/>
      <c r="M487" s="21"/>
      <c r="N487" s="21"/>
      <c r="O487" s="21"/>
      <c r="P487" s="21"/>
      <c r="Q487" s="325"/>
      <c r="R487" s="21"/>
      <c r="S487" s="274"/>
      <c r="T487" s="21"/>
      <c r="U487" s="275"/>
      <c r="V487" s="82"/>
      <c r="Z487" s="181"/>
      <c r="AA487" s="183"/>
      <c r="AB487" s="35"/>
      <c r="AC487" s="25"/>
      <c r="AD487" s="279"/>
      <c r="AE487" s="25"/>
      <c r="AF487" s="26"/>
      <c r="AG487" s="278" t="str">
        <f t="shared" si="110"/>
        <v/>
      </c>
      <c r="AH487" s="278" t="str">
        <f t="shared" si="111"/>
        <v/>
      </c>
      <c r="AJ487" s="25"/>
      <c r="AK487" s="25"/>
      <c r="AL487" s="25"/>
      <c r="AM487" s="25"/>
      <c r="AN487" s="25"/>
      <c r="AO487" s="25"/>
      <c r="AP487" s="25"/>
      <c r="AQ487" s="25"/>
      <c r="AR487" s="25"/>
      <c r="AS487" s="25"/>
      <c r="AT487" s="25"/>
      <c r="AU487" s="25"/>
      <c r="AV487" s="43"/>
      <c r="AW487" s="43"/>
      <c r="AX487" s="114" t="s">
        <v>76</v>
      </c>
      <c r="AY487" s="43"/>
      <c r="AZ487" s="43"/>
      <c r="BA487" s="43"/>
      <c r="BB487" s="43"/>
    </row>
    <row r="488" spans="1:54" ht="12.75" customHeight="1">
      <c r="A488" s="80"/>
      <c r="B488" s="320"/>
      <c r="C488" s="272"/>
      <c r="D488" s="273"/>
      <c r="E488" s="503"/>
      <c r="F488" s="305"/>
      <c r="G488" s="265"/>
      <c r="H488" s="266"/>
      <c r="I488" s="295"/>
      <c r="J488" s="296"/>
      <c r="K488" s="296"/>
      <c r="L488" s="296"/>
      <c r="M488" s="21"/>
      <c r="N488" s="21"/>
      <c r="O488" s="21"/>
      <c r="P488" s="21"/>
      <c r="Q488" s="325"/>
      <c r="R488" s="21"/>
      <c r="S488" s="274"/>
      <c r="T488" s="21"/>
      <c r="U488" s="275"/>
      <c r="V488" s="82"/>
      <c r="Z488" s="181"/>
      <c r="AA488" s="183"/>
      <c r="AB488" s="35"/>
      <c r="AC488" s="25"/>
      <c r="AD488" s="279"/>
      <c r="AE488" s="25"/>
      <c r="AF488" s="26"/>
      <c r="AG488" s="278" t="str">
        <f t="shared" si="110"/>
        <v/>
      </c>
      <c r="AH488" s="278" t="str">
        <f t="shared" si="111"/>
        <v/>
      </c>
      <c r="AJ488" s="25"/>
      <c r="AK488" s="25"/>
      <c r="AL488" s="25"/>
      <c r="AM488" s="25"/>
      <c r="AN488" s="25"/>
      <c r="AO488" s="25"/>
      <c r="AP488" s="25"/>
      <c r="AQ488" s="25"/>
      <c r="AR488" s="25"/>
      <c r="AS488" s="25"/>
      <c r="AT488" s="25"/>
      <c r="AU488" s="25"/>
      <c r="AV488" s="43"/>
      <c r="AW488" s="43"/>
      <c r="AX488" s="114" t="s">
        <v>76</v>
      </c>
      <c r="AY488" s="43"/>
      <c r="AZ488" s="43"/>
      <c r="BA488" s="43"/>
      <c r="BB488" s="43"/>
    </row>
    <row r="489" spans="1:54" ht="12.75" customHeight="1">
      <c r="A489" s="80"/>
      <c r="B489" s="320"/>
      <c r="C489" s="272"/>
      <c r="D489" s="273"/>
      <c r="E489" s="503"/>
      <c r="F489" s="305"/>
      <c r="G489" s="265"/>
      <c r="H489" s="266"/>
      <c r="I489" s="295"/>
      <c r="J489" s="296"/>
      <c r="K489" s="296"/>
      <c r="L489" s="296"/>
      <c r="M489" s="21"/>
      <c r="N489" s="21"/>
      <c r="O489" s="21"/>
      <c r="P489" s="21"/>
      <c r="Q489" s="325"/>
      <c r="R489" s="21"/>
      <c r="S489" s="274"/>
      <c r="T489" s="21"/>
      <c r="U489" s="275"/>
      <c r="V489" s="82"/>
      <c r="Z489" s="181"/>
      <c r="AA489" s="183"/>
      <c r="AB489" s="35"/>
      <c r="AC489" s="25"/>
      <c r="AD489" s="279"/>
      <c r="AE489" s="25"/>
      <c r="AF489" s="26"/>
      <c r="AG489" s="278" t="str">
        <f t="shared" si="110"/>
        <v/>
      </c>
      <c r="AH489" s="278" t="str">
        <f t="shared" si="111"/>
        <v/>
      </c>
      <c r="AJ489" s="25"/>
      <c r="AK489" s="25"/>
      <c r="AL489" s="25"/>
      <c r="AM489" s="25"/>
      <c r="AN489" s="25"/>
      <c r="AO489" s="25"/>
      <c r="AP489" s="25"/>
      <c r="AQ489" s="25"/>
      <c r="AR489" s="25"/>
      <c r="AS489" s="25"/>
      <c r="AT489" s="25"/>
      <c r="AU489" s="25"/>
      <c r="AV489" s="43"/>
      <c r="AW489" s="43"/>
      <c r="AX489" s="114" t="s">
        <v>76</v>
      </c>
      <c r="AY489" s="43"/>
      <c r="AZ489" s="43"/>
      <c r="BA489" s="43"/>
      <c r="BB489" s="43"/>
    </row>
    <row r="490" spans="1:54" ht="12.75" customHeight="1">
      <c r="A490" s="80"/>
      <c r="B490" s="320"/>
      <c r="C490" s="272"/>
      <c r="D490" s="273"/>
      <c r="E490" s="503"/>
      <c r="F490" s="305"/>
      <c r="G490" s="265"/>
      <c r="H490" s="266"/>
      <c r="I490" s="295"/>
      <c r="J490" s="296"/>
      <c r="K490" s="296"/>
      <c r="L490" s="296"/>
      <c r="M490" s="21"/>
      <c r="N490" s="21"/>
      <c r="O490" s="21"/>
      <c r="P490" s="21"/>
      <c r="Q490" s="325"/>
      <c r="R490" s="21"/>
      <c r="S490" s="274"/>
      <c r="T490" s="21"/>
      <c r="U490" s="275"/>
      <c r="V490" s="82"/>
      <c r="Z490" s="181"/>
      <c r="AA490" s="183"/>
      <c r="AB490" s="35"/>
      <c r="AC490" s="25"/>
      <c r="AD490" s="279"/>
      <c r="AE490" s="25"/>
      <c r="AF490" s="26"/>
      <c r="AG490" s="278" t="str">
        <f t="shared" si="110"/>
        <v/>
      </c>
      <c r="AH490" s="278" t="str">
        <f t="shared" si="111"/>
        <v/>
      </c>
      <c r="AJ490" s="25"/>
      <c r="AK490" s="25"/>
      <c r="AL490" s="25"/>
      <c r="AM490" s="25"/>
      <c r="AN490" s="25"/>
      <c r="AO490" s="25"/>
      <c r="AP490" s="25"/>
      <c r="AQ490" s="25"/>
      <c r="AR490" s="25"/>
      <c r="AS490" s="25"/>
      <c r="AT490" s="25"/>
      <c r="AU490" s="25"/>
      <c r="AV490" s="43"/>
      <c r="AW490" s="43"/>
      <c r="AX490" s="114" t="s">
        <v>76</v>
      </c>
      <c r="AY490" s="43"/>
      <c r="AZ490" s="43"/>
      <c r="BA490" s="43"/>
      <c r="BB490" s="43"/>
    </row>
    <row r="491" spans="1:54" ht="12.75" customHeight="1">
      <c r="A491" s="80"/>
      <c r="B491" s="320"/>
      <c r="C491" s="272"/>
      <c r="D491" s="273"/>
      <c r="E491" s="503"/>
      <c r="F491" s="305"/>
      <c r="G491" s="265"/>
      <c r="H491" s="266"/>
      <c r="I491" s="295"/>
      <c r="J491" s="296"/>
      <c r="K491" s="296"/>
      <c r="L491" s="296"/>
      <c r="M491" s="21"/>
      <c r="N491" s="21"/>
      <c r="O491" s="21"/>
      <c r="P491" s="21"/>
      <c r="Q491" s="325"/>
      <c r="R491" s="21"/>
      <c r="S491" s="274"/>
      <c r="T491" s="21"/>
      <c r="U491" s="275"/>
      <c r="V491" s="82"/>
      <c r="Z491" s="181"/>
      <c r="AA491" s="183"/>
      <c r="AB491" s="35"/>
      <c r="AC491" s="25"/>
      <c r="AD491" s="279"/>
      <c r="AE491" s="25"/>
      <c r="AF491" s="26"/>
      <c r="AG491" s="278" t="str">
        <f t="shared" si="110"/>
        <v/>
      </c>
      <c r="AH491" s="278" t="str">
        <f t="shared" si="111"/>
        <v/>
      </c>
      <c r="AJ491" s="25"/>
      <c r="AK491" s="25"/>
      <c r="AL491" s="25"/>
      <c r="AM491" s="25"/>
      <c r="AN491" s="25"/>
      <c r="AO491" s="25"/>
      <c r="AP491" s="25"/>
      <c r="AQ491" s="25"/>
      <c r="AR491" s="25"/>
      <c r="AS491" s="25"/>
      <c r="AT491" s="25"/>
      <c r="AU491" s="25"/>
      <c r="AV491" s="43"/>
      <c r="AW491" s="43"/>
      <c r="AX491" s="114" t="s">
        <v>76</v>
      </c>
      <c r="AY491" s="43"/>
      <c r="AZ491" s="43"/>
      <c r="BA491" s="43"/>
      <c r="BB491" s="43"/>
    </row>
    <row r="492" spans="1:54" ht="12.75" customHeight="1">
      <c r="A492" s="80"/>
      <c r="B492" s="320"/>
      <c r="C492" s="272"/>
      <c r="D492" s="273"/>
      <c r="E492" s="503"/>
      <c r="F492" s="305"/>
      <c r="G492" s="265"/>
      <c r="H492" s="266"/>
      <c r="I492" s="295"/>
      <c r="J492" s="296"/>
      <c r="K492" s="296"/>
      <c r="L492" s="296"/>
      <c r="M492" s="21"/>
      <c r="N492" s="21"/>
      <c r="O492" s="21"/>
      <c r="P492" s="21"/>
      <c r="Q492" s="325"/>
      <c r="R492" s="21"/>
      <c r="S492" s="274"/>
      <c r="T492" s="21"/>
      <c r="U492" s="275"/>
      <c r="V492" s="82"/>
      <c r="Z492" s="181"/>
      <c r="AA492" s="183"/>
      <c r="AB492" s="35"/>
      <c r="AC492" s="25"/>
      <c r="AD492" s="279"/>
      <c r="AE492" s="25"/>
      <c r="AF492" s="26"/>
      <c r="AG492" s="278" t="str">
        <f t="shared" si="110"/>
        <v/>
      </c>
      <c r="AH492" s="278" t="str">
        <f t="shared" si="111"/>
        <v/>
      </c>
      <c r="AJ492" s="25"/>
      <c r="AK492" s="25"/>
      <c r="AL492" s="25"/>
      <c r="AM492" s="25"/>
      <c r="AN492" s="25"/>
      <c r="AO492" s="25"/>
      <c r="AP492" s="25"/>
      <c r="AQ492" s="25"/>
      <c r="AR492" s="25"/>
      <c r="AS492" s="25"/>
      <c r="AT492" s="25"/>
      <c r="AU492" s="25"/>
      <c r="AV492" s="43"/>
      <c r="AW492" s="43"/>
      <c r="AX492" s="114" t="s">
        <v>76</v>
      </c>
      <c r="AY492" s="43"/>
      <c r="AZ492" s="43"/>
      <c r="BA492" s="43"/>
      <c r="BB492" s="43"/>
    </row>
    <row r="493" spans="1:54" ht="12.75" customHeight="1">
      <c r="A493" s="80"/>
      <c r="B493" s="320"/>
      <c r="C493" s="272"/>
      <c r="D493" s="273"/>
      <c r="E493" s="503"/>
      <c r="F493" s="305"/>
      <c r="G493" s="265"/>
      <c r="H493" s="266"/>
      <c r="I493" s="295"/>
      <c r="J493" s="296"/>
      <c r="K493" s="296"/>
      <c r="L493" s="296"/>
      <c r="M493" s="21"/>
      <c r="N493" s="21"/>
      <c r="O493" s="21"/>
      <c r="P493" s="21"/>
      <c r="Q493" s="325"/>
      <c r="R493" s="21"/>
      <c r="S493" s="274"/>
      <c r="T493" s="21"/>
      <c r="U493" s="275"/>
      <c r="V493" s="82"/>
      <c r="Z493" s="181"/>
      <c r="AA493" s="183"/>
      <c r="AB493" s="35"/>
      <c r="AC493" s="25"/>
      <c r="AD493" s="279"/>
      <c r="AE493" s="25"/>
      <c r="AF493" s="26"/>
      <c r="AG493" s="278" t="str">
        <f t="shared" si="110"/>
        <v/>
      </c>
      <c r="AH493" s="278" t="str">
        <f t="shared" si="111"/>
        <v/>
      </c>
      <c r="AJ493" s="25"/>
      <c r="AK493" s="25"/>
      <c r="AL493" s="25"/>
      <c r="AM493" s="25"/>
      <c r="AN493" s="25"/>
      <c r="AO493" s="25"/>
      <c r="AP493" s="25"/>
      <c r="AQ493" s="25"/>
      <c r="AR493" s="25"/>
      <c r="AS493" s="25"/>
      <c r="AT493" s="25"/>
      <c r="AU493" s="25"/>
      <c r="AV493" s="43"/>
      <c r="AW493" s="43"/>
      <c r="AX493" s="114" t="s">
        <v>76</v>
      </c>
      <c r="AY493" s="43"/>
      <c r="AZ493" s="43"/>
      <c r="BA493" s="43"/>
      <c r="BB493" s="43"/>
    </row>
    <row r="494" spans="1:54" ht="12.75" customHeight="1">
      <c r="A494" s="80"/>
      <c r="B494" s="320"/>
      <c r="C494" s="272"/>
      <c r="D494" s="273"/>
      <c r="E494" s="503"/>
      <c r="F494" s="305"/>
      <c r="G494" s="265"/>
      <c r="H494" s="266"/>
      <c r="I494" s="295"/>
      <c r="J494" s="296"/>
      <c r="K494" s="296"/>
      <c r="L494" s="296"/>
      <c r="M494" s="21"/>
      <c r="N494" s="21"/>
      <c r="O494" s="21"/>
      <c r="P494" s="21"/>
      <c r="Q494" s="325"/>
      <c r="R494" s="21"/>
      <c r="S494" s="274"/>
      <c r="T494" s="21"/>
      <c r="U494" s="275"/>
      <c r="V494" s="82"/>
      <c r="Z494" s="181"/>
      <c r="AA494" s="183"/>
      <c r="AB494" s="35"/>
      <c r="AC494" s="25"/>
      <c r="AD494" s="279"/>
      <c r="AE494" s="25"/>
      <c r="AF494" s="26"/>
      <c r="AG494" s="278" t="str">
        <f t="shared" si="110"/>
        <v/>
      </c>
      <c r="AH494" s="278" t="str">
        <f t="shared" si="111"/>
        <v/>
      </c>
      <c r="AJ494" s="25"/>
      <c r="AK494" s="25"/>
      <c r="AL494" s="25"/>
      <c r="AM494" s="25"/>
      <c r="AN494" s="25"/>
      <c r="AO494" s="25"/>
      <c r="AP494" s="25"/>
      <c r="AQ494" s="25"/>
      <c r="AR494" s="25"/>
      <c r="AS494" s="25"/>
      <c r="AT494" s="25"/>
      <c r="AU494" s="25"/>
      <c r="AV494" s="43"/>
      <c r="AW494" s="43"/>
      <c r="AX494" s="114" t="s">
        <v>76</v>
      </c>
      <c r="AY494" s="43"/>
      <c r="AZ494" s="43"/>
      <c r="BA494" s="43"/>
      <c r="BB494" s="43"/>
    </row>
    <row r="495" spans="1:54" ht="12.75" customHeight="1">
      <c r="A495" s="80"/>
      <c r="B495" s="320"/>
      <c r="C495" s="272"/>
      <c r="D495" s="273"/>
      <c r="E495" s="503"/>
      <c r="F495" s="305"/>
      <c r="G495" s="265"/>
      <c r="H495" s="266"/>
      <c r="I495" s="295"/>
      <c r="J495" s="296"/>
      <c r="K495" s="296"/>
      <c r="L495" s="296"/>
      <c r="M495" s="21"/>
      <c r="N495" s="21"/>
      <c r="O495" s="21"/>
      <c r="P495" s="21"/>
      <c r="Q495" s="325"/>
      <c r="R495" s="21"/>
      <c r="S495" s="274"/>
      <c r="T495" s="21"/>
      <c r="U495" s="275"/>
      <c r="V495" s="82"/>
      <c r="Z495" s="181"/>
      <c r="AA495" s="183"/>
      <c r="AB495" s="35"/>
      <c r="AC495" s="25"/>
      <c r="AD495" s="279"/>
      <c r="AE495" s="25"/>
      <c r="AF495" s="26"/>
      <c r="AG495" s="278" t="str">
        <f t="shared" si="110"/>
        <v/>
      </c>
      <c r="AH495" s="278" t="str">
        <f t="shared" si="111"/>
        <v/>
      </c>
      <c r="AJ495" s="25"/>
      <c r="AK495" s="25"/>
      <c r="AL495" s="25"/>
      <c r="AM495" s="25"/>
      <c r="AN495" s="25"/>
      <c r="AO495" s="25"/>
      <c r="AP495" s="25"/>
      <c r="AQ495" s="25"/>
      <c r="AR495" s="25"/>
      <c r="AS495" s="25"/>
      <c r="AT495" s="25"/>
      <c r="AU495" s="25"/>
      <c r="AV495" s="43"/>
      <c r="AW495" s="43"/>
      <c r="AX495" s="114" t="s">
        <v>76</v>
      </c>
      <c r="AY495" s="43"/>
      <c r="AZ495" s="43"/>
      <c r="BA495" s="43"/>
      <c r="BB495" s="43"/>
    </row>
    <row r="496" spans="1:54" ht="12.75" customHeight="1">
      <c r="A496" s="80"/>
      <c r="B496" s="320"/>
      <c r="C496" s="272"/>
      <c r="D496" s="273"/>
      <c r="E496" s="503"/>
      <c r="F496" s="305"/>
      <c r="G496" s="265"/>
      <c r="H496" s="266"/>
      <c r="I496" s="295"/>
      <c r="J496" s="296"/>
      <c r="K496" s="296"/>
      <c r="L496" s="296"/>
      <c r="M496" s="21"/>
      <c r="N496" s="21"/>
      <c r="O496" s="21"/>
      <c r="P496" s="21"/>
      <c r="Q496" s="325"/>
      <c r="R496" s="21"/>
      <c r="S496" s="274"/>
      <c r="T496" s="21"/>
      <c r="U496" s="275"/>
      <c r="V496" s="82"/>
      <c r="Z496" s="181"/>
      <c r="AA496" s="183"/>
      <c r="AB496" s="35"/>
      <c r="AC496" s="25"/>
      <c r="AD496" s="279"/>
      <c r="AE496" s="25"/>
      <c r="AF496" s="26"/>
      <c r="AG496" s="278" t="str">
        <f t="shared" si="110"/>
        <v/>
      </c>
      <c r="AH496" s="278" t="str">
        <f t="shared" si="111"/>
        <v/>
      </c>
      <c r="AJ496" s="25"/>
      <c r="AK496" s="25"/>
      <c r="AL496" s="25"/>
      <c r="AM496" s="25"/>
      <c r="AN496" s="25"/>
      <c r="AO496" s="25"/>
      <c r="AP496" s="25"/>
      <c r="AQ496" s="25"/>
      <c r="AR496" s="25"/>
      <c r="AS496" s="25"/>
      <c r="AT496" s="25"/>
      <c r="AU496" s="25"/>
      <c r="AV496" s="43"/>
      <c r="AW496" s="43"/>
      <c r="AX496" s="114" t="s">
        <v>76</v>
      </c>
      <c r="AY496" s="43"/>
      <c r="AZ496" s="43"/>
      <c r="BA496" s="43"/>
      <c r="BB496" s="43"/>
    </row>
    <row r="497" spans="1:54" ht="12.75" customHeight="1">
      <c r="A497" s="80"/>
      <c r="B497" s="320"/>
      <c r="C497" s="272"/>
      <c r="D497" s="273"/>
      <c r="E497" s="503"/>
      <c r="F497" s="305"/>
      <c r="G497" s="265"/>
      <c r="H497" s="266"/>
      <c r="I497" s="295"/>
      <c r="J497" s="296"/>
      <c r="K497" s="296"/>
      <c r="L497" s="296"/>
      <c r="M497" s="21"/>
      <c r="N497" s="21"/>
      <c r="O497" s="21"/>
      <c r="P497" s="21"/>
      <c r="Q497" s="325"/>
      <c r="R497" s="21"/>
      <c r="S497" s="274"/>
      <c r="T497" s="21"/>
      <c r="U497" s="275"/>
      <c r="V497" s="82"/>
      <c r="Z497" s="181"/>
      <c r="AA497" s="183"/>
      <c r="AB497" s="35"/>
      <c r="AC497" s="25"/>
      <c r="AD497" s="279"/>
      <c r="AE497" s="25"/>
      <c r="AF497" s="26"/>
      <c r="AG497" s="278" t="str">
        <f t="shared" si="110"/>
        <v/>
      </c>
      <c r="AH497" s="278" t="str">
        <f t="shared" si="111"/>
        <v/>
      </c>
      <c r="AJ497" s="25"/>
      <c r="AK497" s="25"/>
      <c r="AL497" s="25"/>
      <c r="AM497" s="25"/>
      <c r="AN497" s="25"/>
      <c r="AO497" s="25"/>
      <c r="AP497" s="25"/>
      <c r="AQ497" s="25"/>
      <c r="AR497" s="25"/>
      <c r="AS497" s="25"/>
      <c r="AT497" s="25"/>
      <c r="AU497" s="25"/>
      <c r="AV497" s="43"/>
      <c r="AW497" s="43"/>
      <c r="AX497" s="114" t="s">
        <v>76</v>
      </c>
      <c r="AY497" s="43"/>
      <c r="AZ497" s="43"/>
      <c r="BA497" s="43"/>
      <c r="BB497" s="43"/>
    </row>
    <row r="498" spans="1:54" ht="12.75" customHeight="1">
      <c r="A498" s="80"/>
      <c r="B498" s="320"/>
      <c r="C498" s="272"/>
      <c r="D498" s="273"/>
      <c r="E498" s="503"/>
      <c r="F498" s="305"/>
      <c r="G498" s="265"/>
      <c r="H498" s="266"/>
      <c r="I498" s="295"/>
      <c r="J498" s="296"/>
      <c r="K498" s="296"/>
      <c r="L498" s="296"/>
      <c r="M498" s="21"/>
      <c r="N498" s="21"/>
      <c r="O498" s="21"/>
      <c r="P498" s="21"/>
      <c r="Q498" s="325"/>
      <c r="R498" s="21"/>
      <c r="S498" s="274"/>
      <c r="T498" s="21"/>
      <c r="U498" s="275"/>
      <c r="V498" s="82"/>
      <c r="Z498" s="181"/>
      <c r="AA498" s="183"/>
      <c r="AB498" s="35"/>
      <c r="AC498" s="25"/>
      <c r="AD498" s="279"/>
      <c r="AE498" s="25"/>
      <c r="AF498" s="26"/>
      <c r="AG498" s="278" t="str">
        <f t="shared" si="110"/>
        <v/>
      </c>
      <c r="AH498" s="278" t="str">
        <f t="shared" si="111"/>
        <v/>
      </c>
      <c r="AJ498" s="25"/>
      <c r="AK498" s="25"/>
      <c r="AL498" s="25"/>
      <c r="AM498" s="25"/>
      <c r="AN498" s="25"/>
      <c r="AO498" s="25"/>
      <c r="AP498" s="25"/>
      <c r="AQ498" s="25"/>
      <c r="AR498" s="25"/>
      <c r="AS498" s="25"/>
      <c r="AT498" s="25"/>
      <c r="AU498" s="25"/>
      <c r="AV498" s="43"/>
      <c r="AW498" s="43"/>
      <c r="AX498" s="114" t="s">
        <v>76</v>
      </c>
      <c r="AY498" s="43"/>
      <c r="AZ498" s="43"/>
      <c r="BA498" s="43"/>
      <c r="BB498" s="43"/>
    </row>
    <row r="499" spans="1:54" ht="12.75" customHeight="1">
      <c r="A499" s="80"/>
      <c r="B499" s="320"/>
      <c r="C499" s="272"/>
      <c r="D499" s="273"/>
      <c r="E499" s="503"/>
      <c r="F499" s="305"/>
      <c r="G499" s="265"/>
      <c r="H499" s="266"/>
      <c r="I499" s="295"/>
      <c r="J499" s="296"/>
      <c r="K499" s="296"/>
      <c r="L499" s="296"/>
      <c r="M499" s="21"/>
      <c r="N499" s="21"/>
      <c r="O499" s="21"/>
      <c r="P499" s="21"/>
      <c r="Q499" s="325"/>
      <c r="R499" s="21"/>
      <c r="S499" s="274"/>
      <c r="T499" s="21"/>
      <c r="U499" s="275"/>
      <c r="V499" s="82"/>
      <c r="Z499" s="181"/>
      <c r="AA499" s="183"/>
      <c r="AB499" s="35"/>
      <c r="AC499" s="25"/>
      <c r="AD499" s="279"/>
      <c r="AE499" s="25"/>
      <c r="AF499" s="26"/>
      <c r="AG499" s="278" t="str">
        <f t="shared" si="110"/>
        <v/>
      </c>
      <c r="AH499" s="278" t="str">
        <f t="shared" si="111"/>
        <v/>
      </c>
      <c r="AJ499" s="25"/>
      <c r="AK499" s="25"/>
      <c r="AL499" s="25"/>
      <c r="AM499" s="25"/>
      <c r="AN499" s="25"/>
      <c r="AO499" s="25"/>
      <c r="AP499" s="25"/>
      <c r="AQ499" s="25"/>
      <c r="AR499" s="25"/>
      <c r="AS499" s="25"/>
      <c r="AT499" s="25"/>
      <c r="AU499" s="25"/>
      <c r="AV499" s="43"/>
      <c r="AW499" s="43"/>
      <c r="AX499" s="114" t="s">
        <v>76</v>
      </c>
      <c r="AY499" s="43"/>
      <c r="AZ499" s="43"/>
      <c r="BA499" s="43"/>
      <c r="BB499" s="43"/>
    </row>
    <row r="500" spans="1:54" ht="12.75" customHeight="1">
      <c r="A500" s="80"/>
      <c r="B500" s="320"/>
      <c r="C500" s="272"/>
      <c r="D500" s="273"/>
      <c r="E500" s="503"/>
      <c r="F500" s="305"/>
      <c r="G500" s="265"/>
      <c r="H500" s="266"/>
      <c r="I500" s="295"/>
      <c r="J500" s="296"/>
      <c r="K500" s="296"/>
      <c r="L500" s="296"/>
      <c r="M500" s="21"/>
      <c r="N500" s="21"/>
      <c r="O500" s="21"/>
      <c r="P500" s="21"/>
      <c r="Q500" s="325"/>
      <c r="R500" s="21"/>
      <c r="S500" s="274"/>
      <c r="T500" s="21"/>
      <c r="U500" s="275"/>
      <c r="V500" s="82"/>
      <c r="Z500" s="181"/>
      <c r="AA500" s="183"/>
      <c r="AB500" s="35"/>
      <c r="AC500" s="25"/>
      <c r="AD500" s="279"/>
      <c r="AE500" s="25"/>
      <c r="AF500" s="26"/>
      <c r="AG500" s="278" t="str">
        <f t="shared" si="110"/>
        <v/>
      </c>
      <c r="AH500" s="278" t="str">
        <f t="shared" si="111"/>
        <v/>
      </c>
      <c r="AJ500" s="25"/>
      <c r="AK500" s="25"/>
      <c r="AL500" s="25"/>
      <c r="AM500" s="25"/>
      <c r="AN500" s="25"/>
      <c r="AO500" s="25"/>
      <c r="AP500" s="25"/>
      <c r="AQ500" s="25"/>
      <c r="AR500" s="25"/>
      <c r="AS500" s="25"/>
      <c r="AT500" s="25"/>
      <c r="AU500" s="25"/>
      <c r="AV500" s="43"/>
      <c r="AW500" s="43"/>
      <c r="AX500" s="114" t="s">
        <v>76</v>
      </c>
      <c r="AY500" s="43"/>
      <c r="AZ500" s="43"/>
      <c r="BA500" s="43"/>
      <c r="BB500" s="43"/>
    </row>
    <row r="501" spans="1:54" ht="12.75" customHeight="1">
      <c r="A501" s="80"/>
      <c r="B501" s="320"/>
      <c r="C501" s="272"/>
      <c r="D501" s="273"/>
      <c r="E501" s="503"/>
      <c r="F501" s="305"/>
      <c r="G501" s="265"/>
      <c r="H501" s="266"/>
      <c r="I501" s="295"/>
      <c r="J501" s="296"/>
      <c r="K501" s="296"/>
      <c r="L501" s="296"/>
      <c r="M501" s="21"/>
      <c r="N501" s="21"/>
      <c r="O501" s="21"/>
      <c r="P501" s="21"/>
      <c r="Q501" s="325"/>
      <c r="R501" s="21"/>
      <c r="S501" s="274"/>
      <c r="T501" s="21"/>
      <c r="U501" s="275"/>
      <c r="V501" s="82"/>
      <c r="Z501" s="181"/>
      <c r="AA501" s="183"/>
      <c r="AB501" s="35"/>
      <c r="AC501" s="25"/>
      <c r="AD501" s="279"/>
      <c r="AE501" s="25"/>
      <c r="AF501" s="26"/>
      <c r="AG501" s="278" t="str">
        <f t="shared" si="110"/>
        <v/>
      </c>
      <c r="AH501" s="278" t="str">
        <f t="shared" si="111"/>
        <v/>
      </c>
      <c r="AJ501" s="25"/>
      <c r="AK501" s="25"/>
      <c r="AL501" s="25"/>
      <c r="AM501" s="25"/>
      <c r="AN501" s="25"/>
      <c r="AO501" s="25"/>
      <c r="AP501" s="25"/>
      <c r="AQ501" s="25"/>
      <c r="AR501" s="25"/>
      <c r="AS501" s="25"/>
      <c r="AT501" s="25"/>
      <c r="AU501" s="25"/>
      <c r="AV501" s="43"/>
      <c r="AW501" s="43"/>
      <c r="AX501" s="114" t="s">
        <v>76</v>
      </c>
      <c r="AY501" s="43"/>
      <c r="AZ501" s="43"/>
      <c r="BA501" s="43"/>
      <c r="BB501" s="43"/>
    </row>
    <row r="502" spans="1:54" ht="12.75" customHeight="1">
      <c r="A502" s="80"/>
      <c r="B502" s="320"/>
      <c r="C502" s="272"/>
      <c r="D502" s="273"/>
      <c r="E502" s="503"/>
      <c r="F502" s="305"/>
      <c r="G502" s="265"/>
      <c r="H502" s="266"/>
      <c r="I502" s="295"/>
      <c r="J502" s="296"/>
      <c r="K502" s="296"/>
      <c r="L502" s="296"/>
      <c r="M502" s="21"/>
      <c r="N502" s="21"/>
      <c r="O502" s="21"/>
      <c r="P502" s="21"/>
      <c r="Q502" s="325"/>
      <c r="R502" s="21"/>
      <c r="S502" s="274"/>
      <c r="T502" s="21"/>
      <c r="U502" s="275"/>
      <c r="V502" s="82"/>
      <c r="Z502" s="181"/>
      <c r="AA502" s="183"/>
      <c r="AB502" s="35"/>
      <c r="AC502" s="25"/>
      <c r="AD502" s="279"/>
      <c r="AE502" s="25"/>
      <c r="AF502" s="26"/>
      <c r="AG502" s="278" t="str">
        <f t="shared" si="110"/>
        <v/>
      </c>
      <c r="AH502" s="278" t="str">
        <f t="shared" si="111"/>
        <v/>
      </c>
      <c r="AJ502" s="25"/>
      <c r="AK502" s="25"/>
      <c r="AL502" s="25"/>
      <c r="AM502" s="25"/>
      <c r="AN502" s="25"/>
      <c r="AO502" s="25"/>
      <c r="AP502" s="25"/>
      <c r="AQ502" s="25"/>
      <c r="AR502" s="25"/>
      <c r="AS502" s="25"/>
      <c r="AT502" s="25"/>
      <c r="AU502" s="25"/>
      <c r="AV502" s="43"/>
      <c r="AW502" s="43"/>
      <c r="AX502" s="114" t="s">
        <v>76</v>
      </c>
      <c r="AY502" s="43"/>
      <c r="AZ502" s="43"/>
      <c r="BA502" s="43"/>
      <c r="BB502" s="43"/>
    </row>
    <row r="503" spans="1:54" ht="12.75" customHeight="1">
      <c r="A503" s="80"/>
      <c r="B503" s="320"/>
      <c r="C503" s="272"/>
      <c r="D503" s="273"/>
      <c r="E503" s="503"/>
      <c r="F503" s="305"/>
      <c r="G503" s="265"/>
      <c r="H503" s="266"/>
      <c r="I503" s="295"/>
      <c r="J503" s="296"/>
      <c r="K503" s="296"/>
      <c r="L503" s="296"/>
      <c r="M503" s="21"/>
      <c r="N503" s="21"/>
      <c r="O503" s="21"/>
      <c r="P503" s="21"/>
      <c r="Q503" s="325"/>
      <c r="R503" s="21"/>
      <c r="S503" s="274"/>
      <c r="T503" s="21"/>
      <c r="U503" s="275"/>
      <c r="V503" s="82"/>
      <c r="Z503" s="181"/>
      <c r="AA503" s="183"/>
      <c r="AB503" s="35"/>
      <c r="AC503" s="25"/>
      <c r="AD503" s="279"/>
      <c r="AE503" s="25"/>
      <c r="AF503" s="26"/>
      <c r="AG503" s="278" t="str">
        <f t="shared" si="110"/>
        <v/>
      </c>
      <c r="AH503" s="278" t="str">
        <f t="shared" si="111"/>
        <v/>
      </c>
      <c r="AJ503" s="25"/>
      <c r="AK503" s="25"/>
      <c r="AL503" s="25"/>
      <c r="AM503" s="25"/>
      <c r="AN503" s="25"/>
      <c r="AO503" s="25"/>
      <c r="AP503" s="25"/>
      <c r="AQ503" s="25"/>
      <c r="AR503" s="25"/>
      <c r="AS503" s="25"/>
      <c r="AT503" s="25"/>
      <c r="AU503" s="25"/>
      <c r="AV503" s="43"/>
      <c r="AW503" s="43"/>
      <c r="AX503" s="114" t="s">
        <v>76</v>
      </c>
      <c r="AY503" s="43"/>
      <c r="AZ503" s="43"/>
      <c r="BA503" s="43"/>
      <c r="BB503" s="43"/>
    </row>
    <row r="504" spans="1:54" ht="12.75" customHeight="1">
      <c r="A504" s="80"/>
      <c r="B504" s="320"/>
      <c r="C504" s="272"/>
      <c r="D504" s="273"/>
      <c r="E504" s="503"/>
      <c r="F504" s="305"/>
      <c r="G504" s="265"/>
      <c r="H504" s="266"/>
      <c r="I504" s="295"/>
      <c r="J504" s="296"/>
      <c r="K504" s="296"/>
      <c r="L504" s="296"/>
      <c r="M504" s="21"/>
      <c r="N504" s="21"/>
      <c r="O504" s="21"/>
      <c r="P504" s="21"/>
      <c r="Q504" s="325"/>
      <c r="R504" s="21"/>
      <c r="S504" s="274"/>
      <c r="T504" s="21"/>
      <c r="U504" s="275"/>
      <c r="V504" s="82"/>
      <c r="Z504" s="181"/>
      <c r="AA504" s="183"/>
      <c r="AB504" s="35"/>
      <c r="AC504" s="25"/>
      <c r="AD504" s="279"/>
      <c r="AE504" s="25"/>
      <c r="AF504" s="26"/>
      <c r="AG504" s="278" t="str">
        <f t="shared" si="110"/>
        <v/>
      </c>
      <c r="AH504" s="278" t="str">
        <f t="shared" si="111"/>
        <v/>
      </c>
      <c r="AJ504" s="25"/>
      <c r="AK504" s="25"/>
      <c r="AL504" s="25"/>
      <c r="AM504" s="25"/>
      <c r="AN504" s="25"/>
      <c r="AO504" s="25"/>
      <c r="AP504" s="25"/>
      <c r="AQ504" s="25"/>
      <c r="AR504" s="25"/>
      <c r="AS504" s="25"/>
      <c r="AT504" s="25"/>
      <c r="AU504" s="25"/>
      <c r="AV504" s="43"/>
      <c r="AW504" s="43"/>
      <c r="AX504" s="114" t="s">
        <v>76</v>
      </c>
      <c r="AY504" s="43"/>
      <c r="AZ504" s="43"/>
      <c r="BA504" s="43"/>
      <c r="BB504" s="43"/>
    </row>
    <row r="505" spans="1:54" ht="12.75" customHeight="1">
      <c r="A505" s="80"/>
      <c r="B505" s="320"/>
      <c r="C505" s="272"/>
      <c r="D505" s="273"/>
      <c r="E505" s="503"/>
      <c r="F505" s="305"/>
      <c r="G505" s="265"/>
      <c r="H505" s="266"/>
      <c r="I505" s="295"/>
      <c r="J505" s="296"/>
      <c r="K505" s="296"/>
      <c r="L505" s="296"/>
      <c r="M505" s="21"/>
      <c r="N505" s="21"/>
      <c r="O505" s="21"/>
      <c r="P505" s="21"/>
      <c r="Q505" s="325"/>
      <c r="R505" s="21"/>
      <c r="S505" s="274"/>
      <c r="T505" s="21"/>
      <c r="U505" s="275"/>
      <c r="V505" s="82"/>
      <c r="Z505" s="181"/>
      <c r="AA505" s="183"/>
      <c r="AB505" s="35"/>
      <c r="AC505" s="25"/>
      <c r="AD505" s="279"/>
      <c r="AE505" s="25"/>
      <c r="AF505" s="26"/>
      <c r="AG505" s="278" t="str">
        <f t="shared" si="110"/>
        <v/>
      </c>
      <c r="AH505" s="278" t="str">
        <f t="shared" si="111"/>
        <v/>
      </c>
      <c r="AJ505" s="25"/>
      <c r="AK505" s="25"/>
      <c r="AL505" s="25"/>
      <c r="AM505" s="25"/>
      <c r="AN505" s="25"/>
      <c r="AO505" s="25"/>
      <c r="AP505" s="25"/>
      <c r="AQ505" s="25"/>
      <c r="AR505" s="25"/>
      <c r="AS505" s="25"/>
      <c r="AT505" s="25"/>
      <c r="AU505" s="25"/>
      <c r="AV505" s="43"/>
      <c r="AW505" s="43"/>
      <c r="AX505" s="114" t="s">
        <v>76</v>
      </c>
      <c r="AY505" s="43"/>
      <c r="AZ505" s="43"/>
      <c r="BA505" s="43"/>
      <c r="BB505" s="43"/>
    </row>
    <row r="506" spans="1:54" ht="12.75" customHeight="1">
      <c r="A506" s="80"/>
      <c r="B506" s="320"/>
      <c r="C506" s="272"/>
      <c r="D506" s="273"/>
      <c r="E506" s="503"/>
      <c r="F506" s="305"/>
      <c r="G506" s="265"/>
      <c r="H506" s="266"/>
      <c r="I506" s="295"/>
      <c r="J506" s="296"/>
      <c r="K506" s="296"/>
      <c r="L506" s="296"/>
      <c r="M506" s="21"/>
      <c r="N506" s="21"/>
      <c r="O506" s="21"/>
      <c r="P506" s="21"/>
      <c r="Q506" s="325"/>
      <c r="R506" s="21"/>
      <c r="S506" s="274"/>
      <c r="T506" s="21"/>
      <c r="U506" s="275"/>
      <c r="V506" s="82"/>
      <c r="Z506" s="181"/>
      <c r="AA506" s="183"/>
      <c r="AB506" s="35"/>
      <c r="AC506" s="25"/>
      <c r="AD506" s="279"/>
      <c r="AE506" s="25"/>
      <c r="AF506" s="26"/>
      <c r="AG506" s="278" t="str">
        <f t="shared" si="110"/>
        <v/>
      </c>
      <c r="AH506" s="278" t="str">
        <f t="shared" si="111"/>
        <v/>
      </c>
      <c r="AJ506" s="25"/>
      <c r="AK506" s="25"/>
      <c r="AL506" s="25"/>
      <c r="AM506" s="25"/>
      <c r="AN506" s="25"/>
      <c r="AO506" s="25"/>
      <c r="AP506" s="25"/>
      <c r="AQ506" s="25"/>
      <c r="AR506" s="25"/>
      <c r="AS506" s="25"/>
      <c r="AT506" s="25"/>
      <c r="AU506" s="25"/>
      <c r="AV506" s="43"/>
      <c r="AW506" s="43"/>
      <c r="AX506" s="114" t="s">
        <v>76</v>
      </c>
      <c r="AY506" s="43"/>
      <c r="AZ506" s="43"/>
      <c r="BA506" s="43"/>
      <c r="BB506" s="43"/>
    </row>
    <row r="507" spans="1:54" ht="12.75" customHeight="1">
      <c r="A507" s="80"/>
      <c r="B507" s="320"/>
      <c r="C507" s="272"/>
      <c r="D507" s="273"/>
      <c r="E507" s="503"/>
      <c r="F507" s="305"/>
      <c r="G507" s="265"/>
      <c r="H507" s="266"/>
      <c r="I507" s="295"/>
      <c r="J507" s="296"/>
      <c r="K507" s="296"/>
      <c r="L507" s="296"/>
      <c r="M507" s="21"/>
      <c r="N507" s="21"/>
      <c r="O507" s="21"/>
      <c r="P507" s="21"/>
      <c r="Q507" s="325"/>
      <c r="R507" s="21"/>
      <c r="S507" s="274"/>
      <c r="T507" s="21"/>
      <c r="U507" s="275"/>
      <c r="V507" s="82"/>
      <c r="Z507" s="181"/>
      <c r="AA507" s="183"/>
      <c r="AC507" s="26"/>
      <c r="AD507" s="279"/>
      <c r="AE507" s="26"/>
      <c r="AF507" s="26"/>
      <c r="AG507" s="278" t="str">
        <f t="shared" si="110"/>
        <v/>
      </c>
      <c r="AH507" s="278" t="str">
        <f t="shared" si="111"/>
        <v/>
      </c>
      <c r="AJ507" s="25"/>
      <c r="AK507" s="25"/>
      <c r="AL507" s="25"/>
      <c r="AM507" s="25"/>
      <c r="AN507" s="25"/>
      <c r="AO507" s="25"/>
      <c r="AP507" s="25"/>
      <c r="AQ507" s="25"/>
      <c r="AR507" s="25"/>
      <c r="AS507" s="25"/>
      <c r="AT507" s="25"/>
      <c r="AU507" s="25"/>
      <c r="AV507" s="43"/>
      <c r="AW507" s="43"/>
      <c r="AX507" s="114" t="s">
        <v>76</v>
      </c>
      <c r="AY507" s="43"/>
      <c r="AZ507" s="43"/>
      <c r="BA507" s="43"/>
      <c r="BB507" s="43"/>
    </row>
    <row r="508" spans="1:54" ht="12.75" customHeight="1">
      <c r="A508" s="80"/>
      <c r="B508" s="320"/>
      <c r="C508" s="272"/>
      <c r="D508" s="273"/>
      <c r="E508" s="503"/>
      <c r="F508" s="305"/>
      <c r="G508" s="265"/>
      <c r="H508" s="266"/>
      <c r="I508" s="295"/>
      <c r="J508" s="296"/>
      <c r="K508" s="296"/>
      <c r="L508" s="296"/>
      <c r="M508" s="21"/>
      <c r="N508" s="21"/>
      <c r="O508" s="21"/>
      <c r="P508" s="21"/>
      <c r="Q508" s="325"/>
      <c r="R508" s="21"/>
      <c r="S508" s="274"/>
      <c r="T508" s="21"/>
      <c r="U508" s="275"/>
      <c r="V508" s="82"/>
      <c r="Z508" s="181"/>
      <c r="AA508" s="183"/>
      <c r="AB508" s="35"/>
      <c r="AC508" s="25"/>
      <c r="AD508" s="279"/>
      <c r="AE508" s="26"/>
      <c r="AF508" s="26"/>
      <c r="AG508" s="278" t="str">
        <f t="shared" si="110"/>
        <v/>
      </c>
      <c r="AH508" s="278" t="str">
        <f t="shared" si="111"/>
        <v/>
      </c>
      <c r="AJ508" s="25"/>
      <c r="AK508" s="25"/>
      <c r="AL508" s="25"/>
      <c r="AM508" s="25"/>
      <c r="AN508" s="25"/>
      <c r="AO508" s="25"/>
      <c r="AP508" s="25"/>
      <c r="AQ508" s="25"/>
      <c r="AR508" s="25"/>
      <c r="AS508" s="25"/>
      <c r="AT508" s="25"/>
      <c r="AU508" s="25"/>
      <c r="AV508" s="43"/>
      <c r="AW508" s="43"/>
      <c r="AX508" s="114" t="s">
        <v>76</v>
      </c>
      <c r="AY508" s="43"/>
      <c r="AZ508" s="43"/>
      <c r="BA508" s="43"/>
      <c r="BB508" s="43"/>
    </row>
    <row r="509" spans="1:54" ht="12.75" customHeight="1">
      <c r="A509" s="80"/>
      <c r="B509" s="320"/>
      <c r="C509" s="272"/>
      <c r="D509" s="273"/>
      <c r="E509" s="503"/>
      <c r="F509" s="305"/>
      <c r="G509" s="265"/>
      <c r="H509" s="266"/>
      <c r="I509" s="295"/>
      <c r="J509" s="296"/>
      <c r="K509" s="296"/>
      <c r="L509" s="296"/>
      <c r="M509" s="21"/>
      <c r="N509" s="21"/>
      <c r="O509" s="21"/>
      <c r="P509" s="21"/>
      <c r="Q509" s="325"/>
      <c r="R509" s="21"/>
      <c r="S509" s="274"/>
      <c r="T509" s="21"/>
      <c r="U509" s="275"/>
      <c r="V509" s="82"/>
      <c r="Z509" s="181"/>
      <c r="AA509" s="183"/>
      <c r="AB509" s="35"/>
      <c r="AC509" s="25"/>
      <c r="AD509" s="279"/>
      <c r="AE509" s="26"/>
      <c r="AF509" s="26"/>
      <c r="AG509" s="278" t="str">
        <f t="shared" si="110"/>
        <v/>
      </c>
      <c r="AH509" s="278" t="str">
        <f t="shared" si="111"/>
        <v/>
      </c>
      <c r="AJ509" s="25"/>
      <c r="AK509" s="25"/>
      <c r="AL509" s="25"/>
      <c r="AM509" s="25"/>
      <c r="AN509" s="25"/>
      <c r="AO509" s="25"/>
      <c r="AP509" s="25"/>
      <c r="AQ509" s="25"/>
      <c r="AR509" s="25"/>
      <c r="AS509" s="25"/>
      <c r="AT509" s="25"/>
      <c r="AU509" s="25"/>
      <c r="AV509" s="43"/>
      <c r="AW509" s="43"/>
      <c r="AX509" s="114" t="s">
        <v>76</v>
      </c>
      <c r="AY509" s="43"/>
      <c r="AZ509" s="43"/>
      <c r="BA509" s="43"/>
      <c r="BB509" s="43"/>
    </row>
    <row r="510" spans="1:54" ht="12.75" customHeight="1">
      <c r="A510" s="80"/>
      <c r="B510" s="320"/>
      <c r="C510" s="272"/>
      <c r="D510" s="273"/>
      <c r="E510" s="503"/>
      <c r="F510" s="305"/>
      <c r="G510" s="265"/>
      <c r="H510" s="266"/>
      <c r="I510" s="295"/>
      <c r="J510" s="296"/>
      <c r="K510" s="296"/>
      <c r="L510" s="296"/>
      <c r="M510" s="21"/>
      <c r="N510" s="21"/>
      <c r="O510" s="21"/>
      <c r="P510" s="21"/>
      <c r="Q510" s="325"/>
      <c r="R510" s="21"/>
      <c r="S510" s="274"/>
      <c r="T510" s="21"/>
      <c r="U510" s="275"/>
      <c r="V510" s="82"/>
      <c r="Z510" s="181"/>
      <c r="AA510" s="183"/>
      <c r="AC510" s="26"/>
      <c r="AD510" s="279"/>
      <c r="AE510" s="26"/>
      <c r="AF510" s="26"/>
      <c r="AG510" s="278" t="str">
        <f t="shared" si="110"/>
        <v/>
      </c>
      <c r="AH510" s="278" t="str">
        <f t="shared" si="111"/>
        <v/>
      </c>
      <c r="AJ510" s="25"/>
      <c r="AK510" s="25"/>
      <c r="AL510" s="25"/>
      <c r="AM510" s="25"/>
      <c r="AN510" s="25"/>
      <c r="AO510" s="25"/>
      <c r="AP510" s="25"/>
      <c r="AQ510" s="25"/>
      <c r="AR510" s="25"/>
      <c r="AS510" s="25"/>
      <c r="AT510" s="25"/>
      <c r="AU510" s="25"/>
      <c r="AV510" s="43"/>
      <c r="AW510" s="43"/>
      <c r="AX510" s="114" t="s">
        <v>76</v>
      </c>
      <c r="AY510" s="43"/>
      <c r="AZ510" s="43"/>
      <c r="BA510" s="43"/>
      <c r="BB510" s="43"/>
    </row>
    <row r="511" spans="1:54" ht="12.75" customHeight="1">
      <c r="A511" s="80"/>
      <c r="B511" s="320"/>
      <c r="C511" s="272"/>
      <c r="D511" s="273"/>
      <c r="E511" s="503"/>
      <c r="F511" s="305"/>
      <c r="G511" s="265"/>
      <c r="H511" s="266"/>
      <c r="I511" s="295"/>
      <c r="J511" s="296"/>
      <c r="K511" s="296"/>
      <c r="L511" s="296"/>
      <c r="M511" s="21"/>
      <c r="N511" s="21"/>
      <c r="O511" s="21"/>
      <c r="P511" s="21"/>
      <c r="Q511" s="325"/>
      <c r="R511" s="21"/>
      <c r="S511" s="274"/>
      <c r="T511" s="21"/>
      <c r="U511" s="275"/>
      <c r="V511" s="82"/>
      <c r="Z511" s="181"/>
      <c r="AA511" s="183"/>
      <c r="AC511" s="26"/>
      <c r="AD511" s="279"/>
      <c r="AE511" s="26"/>
      <c r="AF511" s="26"/>
      <c r="AG511" s="278" t="str">
        <f t="shared" si="110"/>
        <v/>
      </c>
      <c r="AH511" s="278" t="str">
        <f t="shared" si="111"/>
        <v/>
      </c>
      <c r="AJ511" s="25"/>
      <c r="AK511" s="25"/>
      <c r="AL511" s="25"/>
      <c r="AM511" s="25"/>
      <c r="AN511" s="25"/>
      <c r="AO511" s="25"/>
      <c r="AP511" s="25"/>
      <c r="AQ511" s="25"/>
      <c r="AR511" s="25"/>
      <c r="AS511" s="25"/>
      <c r="AT511" s="25"/>
      <c r="AU511" s="25"/>
      <c r="AV511" s="43"/>
      <c r="AW511" s="43"/>
      <c r="AX511" s="114" t="s">
        <v>76</v>
      </c>
      <c r="AY511" s="43"/>
      <c r="AZ511" s="43"/>
      <c r="BA511" s="43"/>
      <c r="BB511" s="43"/>
    </row>
    <row r="512" spans="1:54" ht="12.75" customHeight="1">
      <c r="A512" s="80"/>
      <c r="B512" s="320"/>
      <c r="C512" s="272"/>
      <c r="D512" s="273"/>
      <c r="E512" s="503"/>
      <c r="F512" s="305"/>
      <c r="G512" s="265"/>
      <c r="H512" s="266"/>
      <c r="I512" s="295"/>
      <c r="J512" s="296"/>
      <c r="K512" s="296"/>
      <c r="L512" s="296"/>
      <c r="M512" s="21"/>
      <c r="N512" s="21"/>
      <c r="O512" s="21"/>
      <c r="P512" s="21"/>
      <c r="Q512" s="325"/>
      <c r="R512" s="21"/>
      <c r="S512" s="274"/>
      <c r="T512" s="21"/>
      <c r="U512" s="275"/>
      <c r="V512" s="82"/>
      <c r="Z512" s="181"/>
      <c r="AA512" s="183"/>
      <c r="AC512" s="26"/>
      <c r="AD512" s="279"/>
      <c r="AE512" s="26"/>
      <c r="AF512" s="26"/>
      <c r="AG512" s="278" t="str">
        <f t="shared" si="110"/>
        <v/>
      </c>
      <c r="AH512" s="278" t="str">
        <f t="shared" si="111"/>
        <v/>
      </c>
      <c r="AJ512" s="25"/>
      <c r="AK512" s="25"/>
      <c r="AL512" s="25"/>
      <c r="AM512" s="25"/>
      <c r="AN512" s="25"/>
      <c r="AO512" s="25"/>
      <c r="AP512" s="25"/>
      <c r="AQ512" s="25"/>
      <c r="AR512" s="25"/>
      <c r="AS512" s="25"/>
      <c r="AT512" s="25"/>
      <c r="AU512" s="25"/>
      <c r="AV512" s="43"/>
      <c r="AW512" s="43"/>
      <c r="AX512" s="114" t="s">
        <v>76</v>
      </c>
      <c r="AY512" s="43"/>
      <c r="AZ512" s="43"/>
      <c r="BA512" s="43"/>
      <c r="BB512" s="43"/>
    </row>
    <row r="513" spans="1:54" ht="12.75" customHeight="1">
      <c r="A513" s="80"/>
      <c r="B513" s="320"/>
      <c r="C513" s="272"/>
      <c r="D513" s="273"/>
      <c r="E513" s="503"/>
      <c r="F513" s="305"/>
      <c r="G513" s="265"/>
      <c r="H513" s="266"/>
      <c r="I513" s="295"/>
      <c r="J513" s="296"/>
      <c r="K513" s="296"/>
      <c r="L513" s="296"/>
      <c r="M513" s="21"/>
      <c r="N513" s="21"/>
      <c r="O513" s="21"/>
      <c r="P513" s="21"/>
      <c r="Q513" s="325"/>
      <c r="R513" s="21"/>
      <c r="S513" s="274"/>
      <c r="T513" s="21"/>
      <c r="U513" s="275"/>
      <c r="V513" s="82"/>
      <c r="Z513" s="181"/>
      <c r="AA513" s="183"/>
      <c r="AC513" s="26"/>
      <c r="AD513" s="279"/>
      <c r="AE513" s="26"/>
      <c r="AF513" s="26"/>
      <c r="AG513" s="278" t="str">
        <f t="shared" si="110"/>
        <v/>
      </c>
      <c r="AH513" s="278" t="str">
        <f t="shared" si="111"/>
        <v/>
      </c>
      <c r="AJ513" s="25"/>
      <c r="AK513" s="25"/>
      <c r="AL513" s="25"/>
      <c r="AM513" s="25"/>
      <c r="AN513" s="25"/>
      <c r="AO513" s="25"/>
      <c r="AP513" s="25"/>
      <c r="AQ513" s="25"/>
      <c r="AR513" s="25"/>
      <c r="AS513" s="25"/>
      <c r="AT513" s="25"/>
      <c r="AU513" s="25"/>
      <c r="AV513" s="43"/>
      <c r="AW513" s="43"/>
      <c r="AX513" s="114" t="s">
        <v>76</v>
      </c>
      <c r="AY513" s="43"/>
      <c r="AZ513" s="43"/>
      <c r="BA513" s="43"/>
      <c r="BB513" s="43"/>
    </row>
    <row r="514" spans="1:54" ht="12.75" customHeight="1">
      <c r="A514" s="80"/>
      <c r="B514" s="320"/>
      <c r="C514" s="272"/>
      <c r="D514" s="273"/>
      <c r="E514" s="503"/>
      <c r="F514" s="305"/>
      <c r="G514" s="265"/>
      <c r="H514" s="266"/>
      <c r="I514" s="295"/>
      <c r="J514" s="296"/>
      <c r="K514" s="296"/>
      <c r="L514" s="296"/>
      <c r="M514" s="21"/>
      <c r="N514" s="21"/>
      <c r="O514" s="21"/>
      <c r="P514" s="21"/>
      <c r="Q514" s="325"/>
      <c r="R514" s="21"/>
      <c r="S514" s="274"/>
      <c r="T514" s="21"/>
      <c r="U514" s="275"/>
      <c r="V514" s="82"/>
      <c r="Z514" s="181"/>
      <c r="AA514" s="183"/>
      <c r="AB514" s="35"/>
      <c r="AC514" s="28"/>
      <c r="AD514" s="279"/>
      <c r="AE514" s="26"/>
      <c r="AF514" s="26"/>
      <c r="AG514" s="278" t="str">
        <f t="shared" si="110"/>
        <v/>
      </c>
      <c r="AH514" s="278" t="str">
        <f t="shared" si="111"/>
        <v/>
      </c>
      <c r="AJ514" s="25"/>
      <c r="AK514" s="25"/>
      <c r="AL514" s="25"/>
      <c r="AM514" s="25"/>
      <c r="AN514" s="25"/>
      <c r="AO514" s="25"/>
      <c r="AP514" s="25"/>
      <c r="AQ514" s="25"/>
      <c r="AR514" s="25"/>
      <c r="AS514" s="25"/>
      <c r="AT514" s="25"/>
      <c r="AU514" s="25"/>
      <c r="AV514" s="43"/>
      <c r="AW514" s="43"/>
      <c r="AX514" s="114" t="s">
        <v>76</v>
      </c>
      <c r="AY514" s="43"/>
      <c r="AZ514" s="43"/>
      <c r="BA514" s="43"/>
      <c r="BB514" s="43"/>
    </row>
    <row r="515" spans="1:54" ht="12.75" customHeight="1">
      <c r="A515" s="80"/>
      <c r="B515" s="320"/>
      <c r="C515" s="272"/>
      <c r="D515" s="273"/>
      <c r="E515" s="503"/>
      <c r="F515" s="305"/>
      <c r="G515" s="265"/>
      <c r="H515" s="266"/>
      <c r="I515" s="295"/>
      <c r="J515" s="296"/>
      <c r="K515" s="296"/>
      <c r="L515" s="296"/>
      <c r="M515" s="21"/>
      <c r="N515" s="21"/>
      <c r="O515" s="21"/>
      <c r="P515" s="21"/>
      <c r="Q515" s="325"/>
      <c r="R515" s="21"/>
      <c r="S515" s="274"/>
      <c r="T515" s="21"/>
      <c r="U515" s="275"/>
      <c r="V515" s="82"/>
      <c r="Z515" s="181"/>
      <c r="AA515" s="183"/>
      <c r="AC515" s="26"/>
      <c r="AD515" s="279"/>
      <c r="AE515" s="26"/>
      <c r="AF515" s="26"/>
      <c r="AG515" s="278" t="str">
        <f t="shared" si="110"/>
        <v/>
      </c>
      <c r="AH515" s="278" t="str">
        <f t="shared" si="111"/>
        <v/>
      </c>
      <c r="AJ515" s="25"/>
      <c r="AK515" s="25"/>
      <c r="AL515" s="25"/>
      <c r="AM515" s="25"/>
      <c r="AN515" s="25"/>
      <c r="AO515" s="25"/>
      <c r="AP515" s="25"/>
      <c r="AQ515" s="25"/>
      <c r="AR515" s="25"/>
      <c r="AS515" s="25"/>
      <c r="AT515" s="25"/>
      <c r="AU515" s="25"/>
      <c r="AV515" s="43"/>
      <c r="AW515" s="43"/>
      <c r="AX515" s="114" t="s">
        <v>76</v>
      </c>
      <c r="AY515" s="43"/>
      <c r="AZ515" s="43"/>
      <c r="BA515" s="43"/>
      <c r="BB515" s="43"/>
    </row>
    <row r="516" spans="1:54" ht="12.75" customHeight="1">
      <c r="A516" s="80"/>
      <c r="B516" s="320"/>
      <c r="C516" s="272"/>
      <c r="D516" s="273"/>
      <c r="E516" s="503"/>
      <c r="F516" s="305"/>
      <c r="G516" s="265"/>
      <c r="H516" s="266"/>
      <c r="I516" s="295"/>
      <c r="J516" s="296"/>
      <c r="K516" s="296"/>
      <c r="L516" s="296"/>
      <c r="M516" s="21"/>
      <c r="N516" s="21"/>
      <c r="O516" s="21"/>
      <c r="P516" s="21"/>
      <c r="Q516" s="325"/>
      <c r="R516" s="21"/>
      <c r="S516" s="274"/>
      <c r="T516" s="21"/>
      <c r="U516" s="275"/>
      <c r="V516" s="82"/>
      <c r="Z516" s="181"/>
      <c r="AA516" s="183"/>
      <c r="AB516" s="30"/>
      <c r="AC516" s="30"/>
      <c r="AD516" s="279"/>
      <c r="AE516" s="26"/>
      <c r="AF516" s="26"/>
      <c r="AG516" s="278" t="str">
        <f t="shared" si="110"/>
        <v/>
      </c>
      <c r="AH516" s="278" t="str">
        <f t="shared" si="111"/>
        <v/>
      </c>
      <c r="AJ516" s="25"/>
      <c r="AK516" s="25"/>
      <c r="AL516" s="25"/>
      <c r="AM516" s="25"/>
      <c r="AN516" s="25"/>
      <c r="AO516" s="25"/>
      <c r="AP516" s="25"/>
      <c r="AQ516" s="25"/>
      <c r="AR516" s="25"/>
      <c r="AS516" s="25"/>
      <c r="AT516" s="25"/>
      <c r="AU516" s="25"/>
      <c r="AV516" s="43"/>
      <c r="AW516" s="43"/>
      <c r="AX516" s="114" t="s">
        <v>76</v>
      </c>
      <c r="AY516" s="43"/>
      <c r="AZ516" s="43"/>
      <c r="BA516" s="43"/>
      <c r="BB516" s="43"/>
    </row>
    <row r="517" spans="1:54" ht="12.75" customHeight="1">
      <c r="A517" s="80"/>
      <c r="B517" s="320"/>
      <c r="C517" s="272"/>
      <c r="D517" s="273"/>
      <c r="E517" s="503"/>
      <c r="F517" s="305"/>
      <c r="G517" s="265"/>
      <c r="H517" s="266"/>
      <c r="I517" s="295"/>
      <c r="J517" s="296"/>
      <c r="K517" s="296"/>
      <c r="L517" s="296"/>
      <c r="M517" s="21"/>
      <c r="N517" s="21"/>
      <c r="O517" s="21"/>
      <c r="P517" s="21"/>
      <c r="Q517" s="325"/>
      <c r="R517" s="21"/>
      <c r="S517" s="274"/>
      <c r="T517" s="21"/>
      <c r="U517" s="275"/>
      <c r="V517" s="82"/>
      <c r="Z517" s="181"/>
      <c r="AA517" s="183"/>
      <c r="AC517" s="26"/>
      <c r="AD517" s="279"/>
      <c r="AE517" s="26"/>
      <c r="AF517" s="26"/>
      <c r="AG517" s="278" t="str">
        <f t="shared" si="110"/>
        <v/>
      </c>
      <c r="AH517" s="278" t="str">
        <f t="shared" si="111"/>
        <v/>
      </c>
      <c r="AJ517" s="25"/>
      <c r="AK517" s="25"/>
      <c r="AL517" s="25"/>
      <c r="AM517" s="25"/>
      <c r="AN517" s="25"/>
      <c r="AO517" s="25"/>
      <c r="AP517" s="25"/>
      <c r="AQ517" s="25"/>
      <c r="AR517" s="25"/>
      <c r="AS517" s="25"/>
      <c r="AT517" s="25"/>
      <c r="AU517" s="25"/>
      <c r="AV517" s="43"/>
      <c r="AW517" s="43"/>
      <c r="AX517" s="114" t="s">
        <v>76</v>
      </c>
      <c r="AY517" s="43"/>
      <c r="AZ517" s="43"/>
      <c r="BA517" s="43"/>
      <c r="BB517" s="43"/>
    </row>
    <row r="518" spans="1:54" ht="12.75" customHeight="1">
      <c r="A518" s="80"/>
      <c r="B518" s="320"/>
      <c r="C518" s="272"/>
      <c r="D518" s="273"/>
      <c r="E518" s="503"/>
      <c r="F518" s="305"/>
      <c r="G518" s="265"/>
      <c r="H518" s="266"/>
      <c r="I518" s="295"/>
      <c r="J518" s="296"/>
      <c r="K518" s="296"/>
      <c r="L518" s="296"/>
      <c r="M518" s="21"/>
      <c r="N518" s="21"/>
      <c r="O518" s="21"/>
      <c r="P518" s="21"/>
      <c r="Q518" s="325"/>
      <c r="R518" s="21"/>
      <c r="S518" s="274"/>
      <c r="T518" s="21"/>
      <c r="U518" s="275"/>
      <c r="V518" s="82"/>
      <c r="Z518" s="181"/>
      <c r="AA518" s="183"/>
      <c r="AC518" s="26"/>
      <c r="AD518" s="279"/>
      <c r="AE518" s="26"/>
      <c r="AF518" s="26"/>
      <c r="AG518" s="278" t="str">
        <f t="shared" ref="AG518:AG581" si="112">IF(AE518="","",AE518*AltBounce)</f>
        <v/>
      </c>
      <c r="AH518" s="278" t="str">
        <f t="shared" ref="AH518:AH581" si="113">IF(AA518="","",AE518*(1/AltBounce))</f>
        <v/>
      </c>
      <c r="AJ518" s="25"/>
      <c r="AK518" s="25"/>
      <c r="AL518" s="25"/>
      <c r="AM518" s="25"/>
      <c r="AN518" s="25"/>
      <c r="AO518" s="25"/>
      <c r="AP518" s="25"/>
      <c r="AQ518" s="25"/>
      <c r="AR518" s="25"/>
      <c r="AS518" s="25"/>
      <c r="AT518" s="25"/>
      <c r="AU518" s="25"/>
      <c r="AV518" s="43"/>
      <c r="AW518" s="43"/>
      <c r="AX518" s="114" t="s">
        <v>76</v>
      </c>
      <c r="AY518" s="43"/>
      <c r="AZ518" s="43"/>
      <c r="BA518" s="43"/>
      <c r="BB518" s="43"/>
    </row>
    <row r="519" spans="1:54" ht="12.75" customHeight="1">
      <c r="A519" s="80"/>
      <c r="B519" s="320"/>
      <c r="C519" s="272"/>
      <c r="D519" s="273"/>
      <c r="E519" s="503"/>
      <c r="F519" s="305"/>
      <c r="G519" s="265"/>
      <c r="H519" s="266"/>
      <c r="I519" s="295"/>
      <c r="J519" s="296"/>
      <c r="K519" s="296"/>
      <c r="L519" s="296"/>
      <c r="M519" s="21"/>
      <c r="N519" s="21"/>
      <c r="O519" s="21"/>
      <c r="P519" s="21"/>
      <c r="Q519" s="325"/>
      <c r="R519" s="21"/>
      <c r="S519" s="274"/>
      <c r="T519" s="21"/>
      <c r="U519" s="275"/>
      <c r="V519" s="82"/>
      <c r="Z519" s="181"/>
      <c r="AA519" s="183"/>
      <c r="AC519" s="26"/>
      <c r="AD519" s="279"/>
      <c r="AE519" s="26"/>
      <c r="AF519" s="26"/>
      <c r="AG519" s="278" t="str">
        <f t="shared" si="112"/>
        <v/>
      </c>
      <c r="AH519" s="278" t="str">
        <f t="shared" si="113"/>
        <v/>
      </c>
      <c r="AJ519" s="25"/>
      <c r="AK519" s="25"/>
      <c r="AL519" s="25"/>
      <c r="AM519" s="25"/>
      <c r="AN519" s="25"/>
      <c r="AO519" s="25"/>
      <c r="AP519" s="25"/>
      <c r="AQ519" s="25"/>
      <c r="AR519" s="25"/>
      <c r="AS519" s="25"/>
      <c r="AT519" s="25"/>
      <c r="AU519" s="25"/>
      <c r="AV519" s="43"/>
      <c r="AW519" s="43"/>
      <c r="AX519" s="114" t="s">
        <v>76</v>
      </c>
      <c r="AY519" s="43"/>
      <c r="AZ519" s="43"/>
      <c r="BA519" s="43"/>
      <c r="BB519" s="43"/>
    </row>
    <row r="520" spans="1:54" ht="12.75" customHeight="1">
      <c r="A520" s="80"/>
      <c r="B520" s="320"/>
      <c r="C520" s="272"/>
      <c r="D520" s="273"/>
      <c r="E520" s="503"/>
      <c r="F520" s="305"/>
      <c r="G520" s="265"/>
      <c r="H520" s="266"/>
      <c r="I520" s="295"/>
      <c r="J520" s="296"/>
      <c r="K520" s="296"/>
      <c r="L520" s="296"/>
      <c r="M520" s="21"/>
      <c r="N520" s="21"/>
      <c r="O520" s="21"/>
      <c r="P520" s="21"/>
      <c r="Q520" s="325"/>
      <c r="R520" s="21"/>
      <c r="S520" s="274"/>
      <c r="T520" s="21"/>
      <c r="U520" s="275"/>
      <c r="V520" s="82"/>
      <c r="Z520" s="181"/>
      <c r="AA520" s="183"/>
      <c r="AC520" s="26"/>
      <c r="AD520" s="279"/>
      <c r="AE520" s="26"/>
      <c r="AF520" s="26"/>
      <c r="AG520" s="278" t="str">
        <f t="shared" si="112"/>
        <v/>
      </c>
      <c r="AH520" s="278" t="str">
        <f t="shared" si="113"/>
        <v/>
      </c>
      <c r="AJ520" s="25"/>
      <c r="AK520" s="25"/>
      <c r="AL520" s="25"/>
      <c r="AM520" s="25"/>
      <c r="AN520" s="25"/>
      <c r="AO520" s="25"/>
      <c r="AP520" s="25"/>
      <c r="AQ520" s="25"/>
      <c r="AR520" s="25"/>
      <c r="AS520" s="25"/>
      <c r="AT520" s="25"/>
      <c r="AU520" s="25"/>
      <c r="AV520" s="43"/>
      <c r="AW520" s="43"/>
      <c r="AX520" s="114" t="s">
        <v>76</v>
      </c>
      <c r="AY520" s="43"/>
      <c r="AZ520" s="43"/>
      <c r="BA520" s="43"/>
      <c r="BB520" s="43"/>
    </row>
    <row r="521" spans="1:54" ht="12.75" customHeight="1">
      <c r="A521" s="80"/>
      <c r="B521" s="320"/>
      <c r="C521" s="272"/>
      <c r="D521" s="273"/>
      <c r="E521" s="503"/>
      <c r="F521" s="305"/>
      <c r="G521" s="265"/>
      <c r="H521" s="266"/>
      <c r="I521" s="295"/>
      <c r="J521" s="296"/>
      <c r="K521" s="296"/>
      <c r="L521" s="296"/>
      <c r="M521" s="21"/>
      <c r="N521" s="21"/>
      <c r="O521" s="21"/>
      <c r="P521" s="21"/>
      <c r="Q521" s="325"/>
      <c r="R521" s="21"/>
      <c r="S521" s="274"/>
      <c r="T521" s="21"/>
      <c r="U521" s="275"/>
      <c r="V521" s="82"/>
      <c r="Z521" s="181"/>
      <c r="AA521" s="183"/>
      <c r="AC521" s="26"/>
      <c r="AD521" s="279"/>
      <c r="AE521" s="26"/>
      <c r="AF521" s="26"/>
      <c r="AG521" s="278" t="str">
        <f t="shared" si="112"/>
        <v/>
      </c>
      <c r="AH521" s="278" t="str">
        <f t="shared" si="113"/>
        <v/>
      </c>
      <c r="AJ521" s="25"/>
      <c r="AK521" s="25"/>
      <c r="AL521" s="25"/>
      <c r="AM521" s="25"/>
      <c r="AN521" s="25"/>
      <c r="AO521" s="25"/>
      <c r="AP521" s="25"/>
      <c r="AQ521" s="25"/>
      <c r="AR521" s="25"/>
      <c r="AS521" s="25"/>
      <c r="AT521" s="25"/>
      <c r="AU521" s="25"/>
      <c r="AV521" s="43"/>
      <c r="AW521" s="43"/>
      <c r="AX521" s="114" t="s">
        <v>76</v>
      </c>
      <c r="AY521" s="43"/>
      <c r="AZ521" s="43"/>
      <c r="BA521" s="43"/>
      <c r="BB521" s="43"/>
    </row>
    <row r="522" spans="1:54" ht="12.75" customHeight="1">
      <c r="A522" s="80"/>
      <c r="B522" s="320"/>
      <c r="C522" s="272"/>
      <c r="D522" s="273"/>
      <c r="E522" s="503"/>
      <c r="F522" s="305"/>
      <c r="G522" s="265"/>
      <c r="H522" s="266"/>
      <c r="I522" s="295"/>
      <c r="J522" s="296"/>
      <c r="K522" s="296"/>
      <c r="L522" s="296"/>
      <c r="M522" s="21"/>
      <c r="N522" s="21"/>
      <c r="O522" s="21"/>
      <c r="P522" s="21"/>
      <c r="Q522" s="325"/>
      <c r="R522" s="21"/>
      <c r="S522" s="274"/>
      <c r="T522" s="21"/>
      <c r="U522" s="275"/>
      <c r="V522" s="82"/>
      <c r="Z522" s="181"/>
      <c r="AA522" s="183"/>
      <c r="AC522" s="26"/>
      <c r="AD522" s="279"/>
      <c r="AE522" s="26"/>
      <c r="AF522" s="26"/>
      <c r="AG522" s="278" t="str">
        <f t="shared" si="112"/>
        <v/>
      </c>
      <c r="AH522" s="278" t="str">
        <f t="shared" si="113"/>
        <v/>
      </c>
      <c r="AJ522" s="25"/>
      <c r="AK522" s="25"/>
      <c r="AL522" s="25"/>
      <c r="AM522" s="25"/>
      <c r="AN522" s="25"/>
      <c r="AO522" s="25"/>
      <c r="AP522" s="25"/>
      <c r="AQ522" s="25"/>
      <c r="AR522" s="25"/>
      <c r="AS522" s="25"/>
      <c r="AT522" s="25"/>
      <c r="AU522" s="25"/>
      <c r="AV522" s="43"/>
      <c r="AW522" s="43"/>
      <c r="AX522" s="114" t="s">
        <v>76</v>
      </c>
      <c r="AY522" s="43"/>
      <c r="AZ522" s="43"/>
      <c r="BA522" s="43"/>
      <c r="BB522" s="43"/>
    </row>
    <row r="523" spans="1:54" ht="12.75" customHeight="1">
      <c r="A523" s="80"/>
      <c r="B523" s="320"/>
      <c r="C523" s="272"/>
      <c r="D523" s="273"/>
      <c r="E523" s="503"/>
      <c r="F523" s="305"/>
      <c r="G523" s="265"/>
      <c r="H523" s="266"/>
      <c r="I523" s="295"/>
      <c r="J523" s="296"/>
      <c r="K523" s="296"/>
      <c r="L523" s="296"/>
      <c r="M523" s="21"/>
      <c r="N523" s="21"/>
      <c r="O523" s="21"/>
      <c r="P523" s="21"/>
      <c r="Q523" s="325"/>
      <c r="R523" s="21"/>
      <c r="S523" s="274"/>
      <c r="T523" s="21"/>
      <c r="U523" s="275"/>
      <c r="V523" s="82"/>
      <c r="Z523" s="181"/>
      <c r="AA523" s="183"/>
      <c r="AC523" s="27"/>
      <c r="AD523" s="279"/>
      <c r="AE523" s="26"/>
      <c r="AF523" s="26"/>
      <c r="AG523" s="278" t="str">
        <f t="shared" si="112"/>
        <v/>
      </c>
      <c r="AH523" s="278" t="str">
        <f t="shared" si="113"/>
        <v/>
      </c>
      <c r="AJ523" s="25"/>
      <c r="AK523" s="25"/>
      <c r="AL523" s="25"/>
      <c r="AM523" s="25"/>
      <c r="AN523" s="25"/>
      <c r="AO523" s="25"/>
      <c r="AP523" s="25"/>
      <c r="AQ523" s="25"/>
      <c r="AR523" s="25"/>
      <c r="AS523" s="25"/>
      <c r="AT523" s="25"/>
      <c r="AU523" s="25"/>
      <c r="AV523" s="43"/>
      <c r="AW523" s="43"/>
      <c r="AX523" s="114" t="s">
        <v>76</v>
      </c>
      <c r="AY523" s="43"/>
      <c r="AZ523" s="43"/>
      <c r="BA523" s="43"/>
      <c r="BB523" s="43"/>
    </row>
    <row r="524" spans="1:54" ht="12.75" customHeight="1">
      <c r="A524" s="80"/>
      <c r="B524" s="320"/>
      <c r="C524" s="272"/>
      <c r="D524" s="273"/>
      <c r="E524" s="503"/>
      <c r="F524" s="305"/>
      <c r="G524" s="265"/>
      <c r="H524" s="266"/>
      <c r="I524" s="295"/>
      <c r="J524" s="296"/>
      <c r="K524" s="296"/>
      <c r="L524" s="296"/>
      <c r="M524" s="21"/>
      <c r="N524" s="21"/>
      <c r="O524" s="21"/>
      <c r="P524" s="21"/>
      <c r="Q524" s="325"/>
      <c r="R524" s="21"/>
      <c r="S524" s="274"/>
      <c r="T524" s="21"/>
      <c r="U524" s="275"/>
      <c r="V524" s="82"/>
      <c r="Z524" s="181"/>
      <c r="AA524" s="183"/>
      <c r="AB524" s="35"/>
      <c r="AC524" s="25"/>
      <c r="AD524" s="279"/>
      <c r="AE524" s="26"/>
      <c r="AF524" s="26"/>
      <c r="AG524" s="278" t="str">
        <f t="shared" si="112"/>
        <v/>
      </c>
      <c r="AH524" s="278" t="str">
        <f t="shared" si="113"/>
        <v/>
      </c>
      <c r="AJ524" s="25"/>
      <c r="AK524" s="25"/>
      <c r="AL524" s="25"/>
      <c r="AM524" s="25"/>
      <c r="AN524" s="25"/>
      <c r="AO524" s="25"/>
      <c r="AP524" s="25"/>
      <c r="AQ524" s="25"/>
      <c r="AR524" s="25"/>
      <c r="AS524" s="25"/>
      <c r="AT524" s="25"/>
      <c r="AU524" s="25"/>
      <c r="AV524" s="43"/>
      <c r="AW524" s="43"/>
      <c r="AX524" s="114" t="s">
        <v>76</v>
      </c>
      <c r="AY524" s="43"/>
      <c r="AZ524" s="43"/>
      <c r="BA524" s="43"/>
      <c r="BB524" s="43"/>
    </row>
    <row r="525" spans="1:54" ht="12.75" customHeight="1">
      <c r="A525" s="80"/>
      <c r="B525" s="320"/>
      <c r="C525" s="272"/>
      <c r="D525" s="273"/>
      <c r="E525" s="503"/>
      <c r="F525" s="305"/>
      <c r="G525" s="265"/>
      <c r="H525" s="266"/>
      <c r="I525" s="295"/>
      <c r="J525" s="296"/>
      <c r="K525" s="296"/>
      <c r="L525" s="296"/>
      <c r="M525" s="21"/>
      <c r="N525" s="21"/>
      <c r="O525" s="21"/>
      <c r="P525" s="21"/>
      <c r="Q525" s="325"/>
      <c r="R525" s="21"/>
      <c r="S525" s="274"/>
      <c r="T525" s="21"/>
      <c r="U525" s="275"/>
      <c r="V525" s="82"/>
      <c r="Z525" s="181"/>
      <c r="AA525" s="183"/>
      <c r="AC525" s="26"/>
      <c r="AD525" s="279"/>
      <c r="AE525" s="26"/>
      <c r="AF525" s="26"/>
      <c r="AG525" s="278" t="str">
        <f t="shared" si="112"/>
        <v/>
      </c>
      <c r="AH525" s="278" t="str">
        <f t="shared" si="113"/>
        <v/>
      </c>
      <c r="AJ525" s="25"/>
      <c r="AK525" s="25"/>
      <c r="AL525" s="25"/>
      <c r="AM525" s="25"/>
      <c r="AN525" s="25"/>
      <c r="AO525" s="25"/>
      <c r="AP525" s="25"/>
      <c r="AQ525" s="25"/>
      <c r="AR525" s="25"/>
      <c r="AS525" s="25"/>
      <c r="AT525" s="25"/>
      <c r="AU525" s="25"/>
      <c r="AV525" s="43"/>
      <c r="AW525" s="43"/>
      <c r="AX525" s="114" t="s">
        <v>76</v>
      </c>
      <c r="AY525" s="43"/>
      <c r="AZ525" s="43"/>
      <c r="BA525" s="43"/>
      <c r="BB525" s="43"/>
    </row>
    <row r="526" spans="1:54" ht="12.75" customHeight="1">
      <c r="A526" s="80"/>
      <c r="B526" s="320"/>
      <c r="C526" s="272"/>
      <c r="D526" s="273"/>
      <c r="E526" s="503"/>
      <c r="F526" s="305"/>
      <c r="G526" s="265"/>
      <c r="H526" s="266"/>
      <c r="I526" s="295"/>
      <c r="J526" s="296"/>
      <c r="K526" s="296"/>
      <c r="L526" s="296"/>
      <c r="M526" s="21"/>
      <c r="N526" s="21"/>
      <c r="O526" s="21"/>
      <c r="P526" s="21"/>
      <c r="Q526" s="325"/>
      <c r="R526" s="21"/>
      <c r="S526" s="274"/>
      <c r="T526" s="21"/>
      <c r="U526" s="275"/>
      <c r="V526" s="82"/>
      <c r="Z526" s="181"/>
      <c r="AA526" s="183"/>
      <c r="AC526" s="26"/>
      <c r="AD526" s="279"/>
      <c r="AE526" s="26"/>
      <c r="AF526" s="26"/>
      <c r="AG526" s="278" t="str">
        <f t="shared" si="112"/>
        <v/>
      </c>
      <c r="AH526" s="278" t="str">
        <f t="shared" si="113"/>
        <v/>
      </c>
      <c r="AJ526" s="25"/>
      <c r="AK526" s="25"/>
      <c r="AL526" s="25"/>
      <c r="AM526" s="25"/>
      <c r="AN526" s="25"/>
      <c r="AO526" s="25"/>
      <c r="AP526" s="25"/>
      <c r="AQ526" s="25"/>
      <c r="AR526" s="25"/>
      <c r="AS526" s="25"/>
      <c r="AT526" s="25"/>
      <c r="AU526" s="25"/>
      <c r="AV526" s="43"/>
      <c r="AW526" s="43"/>
      <c r="AX526" s="114" t="s">
        <v>76</v>
      </c>
      <c r="AY526" s="43"/>
      <c r="AZ526" s="43"/>
      <c r="BA526" s="43"/>
      <c r="BB526" s="43"/>
    </row>
    <row r="527" spans="1:54" ht="12.75" customHeight="1">
      <c r="A527" s="80"/>
      <c r="B527" s="320"/>
      <c r="C527" s="272"/>
      <c r="D527" s="273"/>
      <c r="E527" s="503"/>
      <c r="F527" s="305"/>
      <c r="G527" s="265"/>
      <c r="H527" s="266"/>
      <c r="I527" s="295"/>
      <c r="J527" s="296"/>
      <c r="K527" s="296"/>
      <c r="L527" s="296"/>
      <c r="M527" s="21"/>
      <c r="N527" s="21"/>
      <c r="O527" s="21"/>
      <c r="P527" s="21"/>
      <c r="Q527" s="325"/>
      <c r="R527" s="21"/>
      <c r="S527" s="274"/>
      <c r="T527" s="21"/>
      <c r="U527" s="275"/>
      <c r="V527" s="82"/>
      <c r="Z527" s="181"/>
      <c r="AA527" s="183"/>
      <c r="AC527" s="26"/>
      <c r="AD527" s="279"/>
      <c r="AE527" s="26"/>
      <c r="AF527" s="26"/>
      <c r="AG527" s="278" t="str">
        <f t="shared" si="112"/>
        <v/>
      </c>
      <c r="AH527" s="278" t="str">
        <f t="shared" si="113"/>
        <v/>
      </c>
      <c r="AJ527" s="25"/>
      <c r="AK527" s="25"/>
      <c r="AL527" s="25"/>
      <c r="AM527" s="25"/>
      <c r="AN527" s="25"/>
      <c r="AO527" s="25"/>
      <c r="AP527" s="25"/>
      <c r="AQ527" s="25"/>
      <c r="AR527" s="25"/>
      <c r="AS527" s="25"/>
      <c r="AT527" s="25"/>
      <c r="AU527" s="25"/>
      <c r="AV527" s="43"/>
      <c r="AW527" s="43"/>
      <c r="AX527" s="114" t="s">
        <v>76</v>
      </c>
      <c r="AY527" s="43"/>
      <c r="AZ527" s="43"/>
      <c r="BA527" s="43"/>
      <c r="BB527" s="43"/>
    </row>
    <row r="528" spans="1:54" ht="12.75" customHeight="1">
      <c r="A528" s="80"/>
      <c r="B528" s="320"/>
      <c r="C528" s="272"/>
      <c r="D528" s="273"/>
      <c r="E528" s="503"/>
      <c r="F528" s="305"/>
      <c r="G528" s="265"/>
      <c r="H528" s="266"/>
      <c r="I528" s="295"/>
      <c r="J528" s="296"/>
      <c r="K528" s="296"/>
      <c r="L528" s="296"/>
      <c r="M528" s="21"/>
      <c r="N528" s="21"/>
      <c r="O528" s="21"/>
      <c r="P528" s="21"/>
      <c r="Q528" s="325"/>
      <c r="R528" s="21"/>
      <c r="S528" s="274"/>
      <c r="T528" s="21"/>
      <c r="U528" s="275"/>
      <c r="V528" s="82"/>
      <c r="Z528" s="181"/>
      <c r="AA528" s="183"/>
      <c r="AC528" s="26"/>
      <c r="AD528" s="279"/>
      <c r="AE528" s="26"/>
      <c r="AF528" s="26"/>
      <c r="AG528" s="278" t="str">
        <f t="shared" si="112"/>
        <v/>
      </c>
      <c r="AH528" s="278" t="str">
        <f t="shared" si="113"/>
        <v/>
      </c>
      <c r="AJ528" s="25"/>
      <c r="AK528" s="25"/>
      <c r="AL528" s="25"/>
      <c r="AM528" s="25"/>
      <c r="AN528" s="25"/>
      <c r="AO528" s="25"/>
      <c r="AP528" s="25"/>
      <c r="AQ528" s="25"/>
      <c r="AR528" s="25"/>
      <c r="AS528" s="25"/>
      <c r="AT528" s="25"/>
      <c r="AU528" s="25"/>
      <c r="AV528" s="43"/>
      <c r="AW528" s="43"/>
      <c r="AX528" s="114" t="s">
        <v>76</v>
      </c>
      <c r="AY528" s="43"/>
      <c r="AZ528" s="43"/>
      <c r="BA528" s="43"/>
      <c r="BB528" s="43"/>
    </row>
    <row r="529" spans="1:54" ht="12.75" customHeight="1">
      <c r="A529" s="80"/>
      <c r="B529" s="320"/>
      <c r="C529" s="272"/>
      <c r="D529" s="273"/>
      <c r="E529" s="503"/>
      <c r="F529" s="305"/>
      <c r="G529" s="265"/>
      <c r="H529" s="266"/>
      <c r="I529" s="295"/>
      <c r="J529" s="296"/>
      <c r="K529" s="296"/>
      <c r="L529" s="296"/>
      <c r="M529" s="21"/>
      <c r="N529" s="21"/>
      <c r="O529" s="21"/>
      <c r="P529" s="21"/>
      <c r="Q529" s="325"/>
      <c r="R529" s="21"/>
      <c r="S529" s="274"/>
      <c r="T529" s="21"/>
      <c r="U529" s="275"/>
      <c r="V529" s="82"/>
      <c r="Z529" s="181"/>
      <c r="AA529" s="183"/>
      <c r="AC529" s="26"/>
      <c r="AD529" s="279"/>
      <c r="AE529" s="26"/>
      <c r="AF529" s="26"/>
      <c r="AG529" s="278" t="str">
        <f t="shared" si="112"/>
        <v/>
      </c>
      <c r="AH529" s="278" t="str">
        <f t="shared" si="113"/>
        <v/>
      </c>
      <c r="AJ529" s="25"/>
      <c r="AK529" s="25"/>
      <c r="AL529" s="25"/>
      <c r="AM529" s="25"/>
      <c r="AN529" s="25"/>
      <c r="AO529" s="25"/>
      <c r="AP529" s="25"/>
      <c r="AQ529" s="25"/>
      <c r="AR529" s="25"/>
      <c r="AS529" s="25"/>
      <c r="AT529" s="25"/>
      <c r="AU529" s="25"/>
      <c r="AV529" s="43"/>
      <c r="AW529" s="43"/>
      <c r="AX529" s="114" t="s">
        <v>76</v>
      </c>
      <c r="AY529" s="43"/>
      <c r="AZ529" s="43"/>
      <c r="BA529" s="43"/>
      <c r="BB529" s="43"/>
    </row>
    <row r="530" spans="1:54" ht="12.75" customHeight="1">
      <c r="A530" s="80"/>
      <c r="B530" s="320"/>
      <c r="C530" s="272"/>
      <c r="D530" s="273"/>
      <c r="E530" s="503"/>
      <c r="F530" s="305"/>
      <c r="G530" s="265"/>
      <c r="H530" s="266"/>
      <c r="I530" s="295"/>
      <c r="J530" s="296"/>
      <c r="K530" s="296"/>
      <c r="L530" s="296"/>
      <c r="M530" s="21"/>
      <c r="N530" s="21"/>
      <c r="O530" s="21"/>
      <c r="P530" s="21"/>
      <c r="Q530" s="325"/>
      <c r="R530" s="21"/>
      <c r="S530" s="274"/>
      <c r="T530" s="21"/>
      <c r="U530" s="275"/>
      <c r="V530" s="82"/>
      <c r="Z530" s="181"/>
      <c r="AA530" s="183"/>
      <c r="AC530" s="27"/>
      <c r="AD530" s="279"/>
      <c r="AE530" s="26"/>
      <c r="AF530" s="26"/>
      <c r="AG530" s="278" t="str">
        <f t="shared" si="112"/>
        <v/>
      </c>
      <c r="AH530" s="278" t="str">
        <f t="shared" si="113"/>
        <v/>
      </c>
      <c r="AJ530" s="25"/>
      <c r="AK530" s="25"/>
      <c r="AL530" s="25"/>
      <c r="AM530" s="25"/>
      <c r="AN530" s="25"/>
      <c r="AO530" s="25"/>
      <c r="AP530" s="25"/>
      <c r="AQ530" s="25"/>
      <c r="AR530" s="25"/>
      <c r="AS530" s="25"/>
      <c r="AT530" s="25"/>
      <c r="AU530" s="25"/>
      <c r="AV530" s="43"/>
      <c r="AW530" s="43"/>
      <c r="AX530" s="114" t="s">
        <v>76</v>
      </c>
      <c r="AY530" s="43"/>
      <c r="AZ530" s="43"/>
      <c r="BA530" s="43"/>
      <c r="BB530" s="43"/>
    </row>
    <row r="531" spans="1:54" ht="12.75" customHeight="1">
      <c r="A531" s="80"/>
      <c r="B531" s="320"/>
      <c r="C531" s="272"/>
      <c r="D531" s="273"/>
      <c r="E531" s="503"/>
      <c r="F531" s="305"/>
      <c r="G531" s="265"/>
      <c r="H531" s="266"/>
      <c r="I531" s="295"/>
      <c r="J531" s="296"/>
      <c r="K531" s="296"/>
      <c r="L531" s="296"/>
      <c r="M531" s="21"/>
      <c r="N531" s="21"/>
      <c r="O531" s="21"/>
      <c r="P531" s="21"/>
      <c r="Q531" s="325"/>
      <c r="R531" s="21"/>
      <c r="S531" s="274"/>
      <c r="T531" s="21"/>
      <c r="U531" s="275"/>
      <c r="V531" s="82"/>
      <c r="Z531" s="181"/>
      <c r="AA531" s="183"/>
      <c r="AB531" s="35"/>
      <c r="AC531" s="25"/>
      <c r="AD531" s="279"/>
      <c r="AE531" s="26"/>
      <c r="AF531" s="26"/>
      <c r="AG531" s="278" t="str">
        <f t="shared" si="112"/>
        <v/>
      </c>
      <c r="AH531" s="278" t="str">
        <f t="shared" si="113"/>
        <v/>
      </c>
      <c r="AJ531" s="25"/>
      <c r="AK531" s="25"/>
      <c r="AL531" s="25"/>
      <c r="AM531" s="25"/>
      <c r="AN531" s="25"/>
      <c r="AO531" s="25"/>
      <c r="AP531" s="25"/>
      <c r="AQ531" s="25"/>
      <c r="AR531" s="25"/>
      <c r="AS531" s="25"/>
      <c r="AT531" s="25"/>
      <c r="AU531" s="25"/>
      <c r="AV531" s="43"/>
      <c r="AW531" s="43"/>
      <c r="AX531" s="114" t="s">
        <v>76</v>
      </c>
      <c r="AY531" s="43"/>
      <c r="AZ531" s="43"/>
      <c r="BA531" s="43"/>
      <c r="BB531" s="43"/>
    </row>
    <row r="532" spans="1:54" ht="12.75" customHeight="1">
      <c r="A532" s="80"/>
      <c r="B532" s="320"/>
      <c r="C532" s="272"/>
      <c r="D532" s="273"/>
      <c r="E532" s="503"/>
      <c r="F532" s="305"/>
      <c r="G532" s="265"/>
      <c r="H532" s="266"/>
      <c r="I532" s="295"/>
      <c r="J532" s="296"/>
      <c r="K532" s="296"/>
      <c r="L532" s="296"/>
      <c r="M532" s="21"/>
      <c r="N532" s="21"/>
      <c r="O532" s="21"/>
      <c r="P532" s="21"/>
      <c r="Q532" s="325"/>
      <c r="R532" s="21"/>
      <c r="S532" s="274"/>
      <c r="T532" s="21"/>
      <c r="U532" s="275"/>
      <c r="V532" s="82"/>
      <c r="Z532" s="181"/>
      <c r="AA532" s="183"/>
      <c r="AC532" s="26"/>
      <c r="AD532" s="279"/>
      <c r="AE532" s="26"/>
      <c r="AF532" s="26"/>
      <c r="AG532" s="278" t="str">
        <f t="shared" si="112"/>
        <v/>
      </c>
      <c r="AH532" s="278" t="str">
        <f t="shared" si="113"/>
        <v/>
      </c>
      <c r="AJ532" s="25"/>
      <c r="AK532" s="25"/>
      <c r="AL532" s="25"/>
      <c r="AM532" s="25"/>
      <c r="AN532" s="25"/>
      <c r="AO532" s="25"/>
      <c r="AP532" s="25"/>
      <c r="AQ532" s="25"/>
      <c r="AR532" s="25"/>
      <c r="AS532" s="25"/>
      <c r="AT532" s="25"/>
      <c r="AU532" s="25"/>
      <c r="AV532" s="43"/>
      <c r="AW532" s="43"/>
      <c r="AX532" s="114" t="s">
        <v>76</v>
      </c>
      <c r="AY532" s="43"/>
      <c r="AZ532" s="43"/>
      <c r="BA532" s="43"/>
      <c r="BB532" s="43"/>
    </row>
    <row r="533" spans="1:54" ht="12.75" customHeight="1">
      <c r="A533" s="80"/>
      <c r="B533" s="320"/>
      <c r="C533" s="272"/>
      <c r="D533" s="273"/>
      <c r="E533" s="503"/>
      <c r="F533" s="305"/>
      <c r="G533" s="265"/>
      <c r="H533" s="266"/>
      <c r="I533" s="295"/>
      <c r="J533" s="296"/>
      <c r="K533" s="296"/>
      <c r="L533" s="296"/>
      <c r="M533" s="21"/>
      <c r="N533" s="21"/>
      <c r="O533" s="21"/>
      <c r="P533" s="21"/>
      <c r="Q533" s="325"/>
      <c r="R533" s="21"/>
      <c r="S533" s="274"/>
      <c r="T533" s="21"/>
      <c r="U533" s="275"/>
      <c r="V533" s="82"/>
      <c r="Z533" s="181"/>
      <c r="AA533" s="183"/>
      <c r="AC533" s="26"/>
      <c r="AD533" s="279"/>
      <c r="AE533" s="26"/>
      <c r="AF533" s="26"/>
      <c r="AG533" s="278" t="str">
        <f t="shared" si="112"/>
        <v/>
      </c>
      <c r="AH533" s="278" t="str">
        <f t="shared" si="113"/>
        <v/>
      </c>
      <c r="AJ533" s="25"/>
      <c r="AK533" s="25"/>
      <c r="AL533" s="25"/>
      <c r="AM533" s="25"/>
      <c r="AN533" s="25"/>
      <c r="AO533" s="25"/>
      <c r="AP533" s="25"/>
      <c r="AQ533" s="25"/>
      <c r="AR533" s="25"/>
      <c r="AS533" s="25"/>
      <c r="AT533" s="25"/>
      <c r="AU533" s="25"/>
      <c r="AV533" s="43"/>
      <c r="AW533" s="43"/>
      <c r="AX533" s="114" t="s">
        <v>76</v>
      </c>
      <c r="AY533" s="43"/>
      <c r="AZ533" s="43"/>
      <c r="BA533" s="43"/>
      <c r="BB533" s="43"/>
    </row>
    <row r="534" spans="1:54" ht="12.75" customHeight="1">
      <c r="A534" s="80"/>
      <c r="B534" s="320"/>
      <c r="C534" s="272"/>
      <c r="D534" s="273"/>
      <c r="E534" s="503"/>
      <c r="F534" s="305"/>
      <c r="G534" s="265"/>
      <c r="H534" s="266"/>
      <c r="I534" s="295"/>
      <c r="J534" s="296"/>
      <c r="K534" s="296"/>
      <c r="L534" s="296"/>
      <c r="M534" s="21"/>
      <c r="N534" s="21"/>
      <c r="O534" s="21"/>
      <c r="P534" s="21"/>
      <c r="Q534" s="325"/>
      <c r="R534" s="21"/>
      <c r="S534" s="274"/>
      <c r="T534" s="21"/>
      <c r="U534" s="275"/>
      <c r="V534" s="82"/>
      <c r="Z534" s="181"/>
      <c r="AA534" s="183"/>
      <c r="AC534" s="26"/>
      <c r="AD534" s="279"/>
      <c r="AE534" s="26"/>
      <c r="AF534" s="26"/>
      <c r="AG534" s="278" t="str">
        <f t="shared" si="112"/>
        <v/>
      </c>
      <c r="AH534" s="278" t="str">
        <f t="shared" si="113"/>
        <v/>
      </c>
      <c r="AJ534" s="25"/>
      <c r="AK534" s="25"/>
      <c r="AL534" s="25"/>
      <c r="AM534" s="25"/>
      <c r="AN534" s="25"/>
      <c r="AO534" s="25"/>
      <c r="AP534" s="25"/>
      <c r="AQ534" s="25"/>
      <c r="AR534" s="25"/>
      <c r="AS534" s="25"/>
      <c r="AT534" s="25"/>
      <c r="AU534" s="25"/>
      <c r="AV534" s="43"/>
      <c r="AW534" s="43"/>
      <c r="AX534" s="114" t="s">
        <v>76</v>
      </c>
      <c r="AY534" s="43"/>
      <c r="AZ534" s="43"/>
      <c r="BA534" s="43"/>
      <c r="BB534" s="43"/>
    </row>
    <row r="535" spans="1:54" ht="12.75" customHeight="1">
      <c r="A535" s="80"/>
      <c r="B535" s="320"/>
      <c r="C535" s="272"/>
      <c r="D535" s="273"/>
      <c r="E535" s="503"/>
      <c r="F535" s="305"/>
      <c r="G535" s="265"/>
      <c r="H535" s="266"/>
      <c r="I535" s="295"/>
      <c r="J535" s="296"/>
      <c r="K535" s="296"/>
      <c r="L535" s="296"/>
      <c r="M535" s="21"/>
      <c r="N535" s="21"/>
      <c r="O535" s="21"/>
      <c r="P535" s="21"/>
      <c r="Q535" s="325"/>
      <c r="R535" s="21"/>
      <c r="S535" s="274"/>
      <c r="T535" s="21"/>
      <c r="U535" s="275"/>
      <c r="V535" s="82"/>
      <c r="Z535" s="181"/>
      <c r="AA535" s="183"/>
      <c r="AC535" s="26"/>
      <c r="AD535" s="279"/>
      <c r="AE535" s="26"/>
      <c r="AF535" s="26"/>
      <c r="AG535" s="278" t="str">
        <f t="shared" si="112"/>
        <v/>
      </c>
      <c r="AH535" s="278" t="str">
        <f t="shared" si="113"/>
        <v/>
      </c>
      <c r="AJ535" s="25"/>
      <c r="AK535" s="25"/>
      <c r="AL535" s="25"/>
      <c r="AM535" s="25"/>
      <c r="AN535" s="25"/>
      <c r="AO535" s="25"/>
      <c r="AP535" s="25"/>
      <c r="AQ535" s="25"/>
      <c r="AR535" s="25"/>
      <c r="AS535" s="25"/>
      <c r="AT535" s="25"/>
      <c r="AU535" s="25"/>
      <c r="AV535" s="43"/>
      <c r="AW535" s="43"/>
      <c r="AX535" s="114" t="s">
        <v>76</v>
      </c>
      <c r="AY535" s="43"/>
      <c r="AZ535" s="43"/>
      <c r="BA535" s="43"/>
      <c r="BB535" s="43"/>
    </row>
    <row r="536" spans="1:54" ht="12.75" customHeight="1">
      <c r="A536" s="80"/>
      <c r="B536" s="320"/>
      <c r="C536" s="272"/>
      <c r="D536" s="273"/>
      <c r="E536" s="503"/>
      <c r="F536" s="305"/>
      <c r="G536" s="265"/>
      <c r="H536" s="266"/>
      <c r="I536" s="295"/>
      <c r="J536" s="296"/>
      <c r="K536" s="296"/>
      <c r="L536" s="296"/>
      <c r="M536" s="21"/>
      <c r="N536" s="21"/>
      <c r="O536" s="21"/>
      <c r="P536" s="21"/>
      <c r="Q536" s="325"/>
      <c r="R536" s="21"/>
      <c r="S536" s="274"/>
      <c r="T536" s="21"/>
      <c r="U536" s="275"/>
      <c r="V536" s="82"/>
      <c r="Z536" s="181"/>
      <c r="AA536" s="183"/>
      <c r="AB536" s="35"/>
      <c r="AC536" s="25"/>
      <c r="AD536" s="279"/>
      <c r="AE536" s="26"/>
      <c r="AF536" s="26"/>
      <c r="AG536" s="278" t="str">
        <f t="shared" si="112"/>
        <v/>
      </c>
      <c r="AH536" s="278" t="str">
        <f t="shared" si="113"/>
        <v/>
      </c>
      <c r="AJ536" s="25"/>
      <c r="AK536" s="25"/>
      <c r="AL536" s="25"/>
      <c r="AM536" s="25"/>
      <c r="AN536" s="25"/>
      <c r="AO536" s="25"/>
      <c r="AP536" s="25"/>
      <c r="AQ536" s="25"/>
      <c r="AR536" s="25"/>
      <c r="AS536" s="25"/>
      <c r="AT536" s="25"/>
      <c r="AU536" s="25"/>
      <c r="AV536" s="43"/>
      <c r="AW536" s="43"/>
      <c r="AX536" s="114" t="s">
        <v>76</v>
      </c>
      <c r="AY536" s="43"/>
      <c r="AZ536" s="43"/>
      <c r="BA536" s="43"/>
      <c r="BB536" s="43"/>
    </row>
    <row r="537" spans="1:54" ht="12.75" customHeight="1">
      <c r="A537" s="80"/>
      <c r="B537" s="320"/>
      <c r="C537" s="272"/>
      <c r="D537" s="273"/>
      <c r="E537" s="503"/>
      <c r="F537" s="305"/>
      <c r="G537" s="265"/>
      <c r="H537" s="266"/>
      <c r="I537" s="295"/>
      <c r="J537" s="296"/>
      <c r="K537" s="296"/>
      <c r="L537" s="296"/>
      <c r="M537" s="21"/>
      <c r="N537" s="21"/>
      <c r="O537" s="21"/>
      <c r="P537" s="21"/>
      <c r="Q537" s="325"/>
      <c r="R537" s="21"/>
      <c r="S537" s="274"/>
      <c r="T537" s="21"/>
      <c r="U537" s="275"/>
      <c r="V537" s="82"/>
      <c r="Z537" s="181"/>
      <c r="AA537" s="183"/>
      <c r="AC537" s="26"/>
      <c r="AD537" s="279"/>
      <c r="AE537" s="26"/>
      <c r="AF537" s="26"/>
      <c r="AG537" s="278" t="str">
        <f t="shared" si="112"/>
        <v/>
      </c>
      <c r="AH537" s="278" t="str">
        <f t="shared" si="113"/>
        <v/>
      </c>
      <c r="AJ537" s="25"/>
      <c r="AK537" s="25"/>
      <c r="AL537" s="25"/>
      <c r="AM537" s="25"/>
      <c r="AN537" s="25"/>
      <c r="AO537" s="25"/>
      <c r="AP537" s="25"/>
      <c r="AQ537" s="25"/>
      <c r="AR537" s="25"/>
      <c r="AS537" s="25"/>
      <c r="AT537" s="25"/>
      <c r="AU537" s="25"/>
      <c r="AV537" s="43"/>
      <c r="AW537" s="43"/>
      <c r="AX537" s="114" t="s">
        <v>76</v>
      </c>
      <c r="AY537" s="43"/>
      <c r="AZ537" s="43"/>
      <c r="BA537" s="43"/>
      <c r="BB537" s="43"/>
    </row>
    <row r="538" spans="1:54" ht="12.75" customHeight="1">
      <c r="A538" s="80"/>
      <c r="B538" s="320"/>
      <c r="C538" s="272"/>
      <c r="D538" s="273"/>
      <c r="E538" s="503"/>
      <c r="F538" s="305"/>
      <c r="G538" s="265"/>
      <c r="H538" s="266"/>
      <c r="I538" s="295"/>
      <c r="J538" s="296"/>
      <c r="K538" s="296"/>
      <c r="L538" s="296"/>
      <c r="M538" s="21"/>
      <c r="N538" s="21"/>
      <c r="O538" s="21"/>
      <c r="P538" s="21"/>
      <c r="Q538" s="325"/>
      <c r="R538" s="21"/>
      <c r="S538" s="274"/>
      <c r="T538" s="21"/>
      <c r="U538" s="275"/>
      <c r="V538" s="82"/>
      <c r="Z538" s="181"/>
      <c r="AA538" s="183"/>
      <c r="AC538" s="26"/>
      <c r="AD538" s="279"/>
      <c r="AE538" s="26"/>
      <c r="AF538" s="26"/>
      <c r="AG538" s="278" t="str">
        <f t="shared" si="112"/>
        <v/>
      </c>
      <c r="AH538" s="278" t="str">
        <f t="shared" si="113"/>
        <v/>
      </c>
      <c r="AJ538" s="25"/>
      <c r="AK538" s="25"/>
      <c r="AL538" s="25"/>
      <c r="AM538" s="25"/>
      <c r="AN538" s="25"/>
      <c r="AO538" s="25"/>
      <c r="AP538" s="25"/>
      <c r="AQ538" s="25"/>
      <c r="AR538" s="25"/>
      <c r="AS538" s="25"/>
      <c r="AT538" s="25"/>
      <c r="AU538" s="25"/>
      <c r="AV538" s="43"/>
      <c r="AW538" s="43"/>
      <c r="AX538" s="114" t="s">
        <v>76</v>
      </c>
      <c r="AY538" s="43"/>
      <c r="AZ538" s="43"/>
      <c r="BA538" s="43"/>
      <c r="BB538" s="43"/>
    </row>
    <row r="539" spans="1:54" ht="12.75" customHeight="1">
      <c r="A539" s="80"/>
      <c r="B539" s="320"/>
      <c r="C539" s="272"/>
      <c r="D539" s="273"/>
      <c r="E539" s="503"/>
      <c r="F539" s="305"/>
      <c r="G539" s="265"/>
      <c r="H539" s="266"/>
      <c r="I539" s="295"/>
      <c r="J539" s="296"/>
      <c r="K539" s="296"/>
      <c r="L539" s="296"/>
      <c r="M539" s="21"/>
      <c r="N539" s="21"/>
      <c r="O539" s="21"/>
      <c r="P539" s="21"/>
      <c r="Q539" s="325"/>
      <c r="R539" s="21"/>
      <c r="S539" s="274"/>
      <c r="T539" s="21"/>
      <c r="U539" s="275"/>
      <c r="V539" s="82"/>
      <c r="Z539" s="181"/>
      <c r="AA539" s="183"/>
      <c r="AB539" s="35"/>
      <c r="AC539" s="25"/>
      <c r="AD539" s="279"/>
      <c r="AE539" s="26"/>
      <c r="AF539" s="26"/>
      <c r="AG539" s="278" t="str">
        <f t="shared" si="112"/>
        <v/>
      </c>
      <c r="AH539" s="278" t="str">
        <f t="shared" si="113"/>
        <v/>
      </c>
      <c r="AJ539" s="25"/>
      <c r="AK539" s="25"/>
      <c r="AL539" s="25"/>
      <c r="AM539" s="25"/>
      <c r="AN539" s="25"/>
      <c r="AO539" s="25"/>
      <c r="AP539" s="25"/>
      <c r="AQ539" s="25"/>
      <c r="AR539" s="25"/>
      <c r="AS539" s="25"/>
      <c r="AT539" s="25"/>
      <c r="AU539" s="25"/>
      <c r="AV539" s="43"/>
      <c r="AW539" s="43"/>
      <c r="AX539" s="114" t="s">
        <v>76</v>
      </c>
      <c r="AY539" s="43"/>
      <c r="AZ539" s="43"/>
      <c r="BA539" s="43"/>
      <c r="BB539" s="43"/>
    </row>
    <row r="540" spans="1:54" ht="12.75" customHeight="1">
      <c r="A540" s="80"/>
      <c r="B540" s="320"/>
      <c r="C540" s="272"/>
      <c r="D540" s="273"/>
      <c r="E540" s="503"/>
      <c r="F540" s="305"/>
      <c r="G540" s="265"/>
      <c r="H540" s="266"/>
      <c r="I540" s="295"/>
      <c r="J540" s="296"/>
      <c r="K540" s="296"/>
      <c r="L540" s="296"/>
      <c r="M540" s="21"/>
      <c r="N540" s="21"/>
      <c r="O540" s="21"/>
      <c r="P540" s="21"/>
      <c r="Q540" s="325"/>
      <c r="R540" s="21"/>
      <c r="S540" s="274"/>
      <c r="T540" s="21"/>
      <c r="U540" s="275"/>
      <c r="V540" s="82"/>
      <c r="Z540" s="181"/>
      <c r="AA540" s="183"/>
      <c r="AB540" s="30"/>
      <c r="AC540" s="30"/>
      <c r="AD540" s="279"/>
      <c r="AE540" s="26"/>
      <c r="AF540" s="26"/>
      <c r="AG540" s="278" t="str">
        <f t="shared" si="112"/>
        <v/>
      </c>
      <c r="AH540" s="278" t="str">
        <f t="shared" si="113"/>
        <v/>
      </c>
      <c r="AJ540" s="25"/>
      <c r="AK540" s="25"/>
      <c r="AL540" s="25"/>
      <c r="AM540" s="25"/>
      <c r="AN540" s="25"/>
      <c r="AO540" s="25"/>
      <c r="AP540" s="25"/>
      <c r="AQ540" s="25"/>
      <c r="AR540" s="25"/>
      <c r="AS540" s="25"/>
      <c r="AT540" s="25"/>
      <c r="AU540" s="25"/>
      <c r="AV540" s="43"/>
      <c r="AW540" s="43"/>
      <c r="AX540" s="114" t="s">
        <v>76</v>
      </c>
      <c r="AY540" s="43"/>
      <c r="AZ540" s="43"/>
      <c r="BA540" s="43"/>
      <c r="BB540" s="43"/>
    </row>
    <row r="541" spans="1:54" ht="12.75" customHeight="1">
      <c r="A541" s="80"/>
      <c r="B541" s="320"/>
      <c r="C541" s="272"/>
      <c r="D541" s="273"/>
      <c r="E541" s="503"/>
      <c r="F541" s="305"/>
      <c r="G541" s="265"/>
      <c r="H541" s="266"/>
      <c r="I541" s="295"/>
      <c r="J541" s="296"/>
      <c r="K541" s="296"/>
      <c r="L541" s="296"/>
      <c r="M541" s="21"/>
      <c r="N541" s="21"/>
      <c r="O541" s="21"/>
      <c r="P541" s="21"/>
      <c r="Q541" s="325"/>
      <c r="R541" s="21"/>
      <c r="S541" s="274"/>
      <c r="T541" s="21"/>
      <c r="U541" s="275"/>
      <c r="V541" s="82"/>
      <c r="Z541" s="181"/>
      <c r="AA541" s="183"/>
      <c r="AC541" s="26"/>
      <c r="AD541" s="279"/>
      <c r="AE541" s="26"/>
      <c r="AF541" s="26"/>
      <c r="AG541" s="278" t="str">
        <f t="shared" si="112"/>
        <v/>
      </c>
      <c r="AH541" s="278" t="str">
        <f t="shared" si="113"/>
        <v/>
      </c>
      <c r="AJ541" s="25"/>
      <c r="AK541" s="25"/>
      <c r="AL541" s="25"/>
      <c r="AM541" s="25"/>
      <c r="AN541" s="25"/>
      <c r="AO541" s="25"/>
      <c r="AP541" s="25"/>
      <c r="AQ541" s="25"/>
      <c r="AR541" s="25"/>
      <c r="AS541" s="25"/>
      <c r="AT541" s="25"/>
      <c r="AU541" s="25"/>
      <c r="AV541" s="43"/>
      <c r="AW541" s="43"/>
      <c r="AX541" s="114" t="s">
        <v>76</v>
      </c>
      <c r="AY541" s="43"/>
      <c r="AZ541" s="43"/>
      <c r="BA541" s="43"/>
      <c r="BB541" s="43"/>
    </row>
    <row r="542" spans="1:54" ht="12.75" customHeight="1">
      <c r="A542" s="80"/>
      <c r="B542" s="320"/>
      <c r="C542" s="272"/>
      <c r="D542" s="273"/>
      <c r="E542" s="503"/>
      <c r="F542" s="305"/>
      <c r="G542" s="265"/>
      <c r="H542" s="266"/>
      <c r="I542" s="295"/>
      <c r="J542" s="296"/>
      <c r="K542" s="296"/>
      <c r="L542" s="296"/>
      <c r="M542" s="21"/>
      <c r="N542" s="21"/>
      <c r="O542" s="21"/>
      <c r="P542" s="21"/>
      <c r="Q542" s="325"/>
      <c r="R542" s="21"/>
      <c r="S542" s="274"/>
      <c r="T542" s="21"/>
      <c r="U542" s="275"/>
      <c r="V542" s="82"/>
      <c r="Z542" s="181"/>
      <c r="AA542" s="183"/>
      <c r="AC542" s="26"/>
      <c r="AD542" s="279"/>
      <c r="AE542" s="26"/>
      <c r="AF542" s="26"/>
      <c r="AG542" s="278" t="str">
        <f t="shared" si="112"/>
        <v/>
      </c>
      <c r="AH542" s="278" t="str">
        <f t="shared" si="113"/>
        <v/>
      </c>
      <c r="AJ542" s="25"/>
      <c r="AK542" s="25"/>
      <c r="AL542" s="25"/>
      <c r="AM542" s="25"/>
      <c r="AN542" s="25"/>
      <c r="AO542" s="25"/>
      <c r="AP542" s="25"/>
      <c r="AQ542" s="25"/>
      <c r="AR542" s="25"/>
      <c r="AS542" s="25"/>
      <c r="AT542" s="25"/>
      <c r="AU542" s="25"/>
      <c r="AV542" s="43"/>
      <c r="AW542" s="43"/>
      <c r="AX542" s="114" t="s">
        <v>76</v>
      </c>
      <c r="AY542" s="43"/>
      <c r="AZ542" s="43"/>
      <c r="BA542" s="43"/>
      <c r="BB542" s="43"/>
    </row>
    <row r="543" spans="1:54" ht="12.75" customHeight="1">
      <c r="A543" s="80"/>
      <c r="B543" s="320"/>
      <c r="C543" s="272"/>
      <c r="D543" s="273"/>
      <c r="E543" s="503"/>
      <c r="F543" s="305"/>
      <c r="G543" s="265"/>
      <c r="H543" s="266"/>
      <c r="I543" s="295"/>
      <c r="J543" s="296"/>
      <c r="K543" s="296"/>
      <c r="L543" s="296"/>
      <c r="M543" s="21"/>
      <c r="N543" s="21"/>
      <c r="O543" s="21"/>
      <c r="P543" s="21"/>
      <c r="Q543" s="325"/>
      <c r="R543" s="21"/>
      <c r="S543" s="274"/>
      <c r="T543" s="21"/>
      <c r="U543" s="275"/>
      <c r="V543" s="82"/>
      <c r="Z543" s="181"/>
      <c r="AA543" s="183"/>
      <c r="AC543" s="26"/>
      <c r="AD543" s="279"/>
      <c r="AE543" s="26"/>
      <c r="AF543" s="26"/>
      <c r="AG543" s="278" t="str">
        <f t="shared" si="112"/>
        <v/>
      </c>
      <c r="AH543" s="278" t="str">
        <f t="shared" si="113"/>
        <v/>
      </c>
      <c r="AJ543" s="25"/>
      <c r="AK543" s="25"/>
      <c r="AL543" s="25"/>
      <c r="AM543" s="25"/>
      <c r="AN543" s="25"/>
      <c r="AO543" s="25"/>
      <c r="AP543" s="25"/>
      <c r="AQ543" s="25"/>
      <c r="AR543" s="25"/>
      <c r="AS543" s="25"/>
      <c r="AT543" s="25"/>
      <c r="AU543" s="25"/>
      <c r="AV543" s="43"/>
      <c r="AW543" s="43"/>
      <c r="AX543" s="114" t="s">
        <v>76</v>
      </c>
      <c r="AY543" s="43"/>
      <c r="AZ543" s="43"/>
      <c r="BA543" s="43"/>
      <c r="BB543" s="43"/>
    </row>
    <row r="544" spans="1:54" ht="12.75" customHeight="1">
      <c r="A544" s="80"/>
      <c r="B544" s="320"/>
      <c r="C544" s="272"/>
      <c r="D544" s="273"/>
      <c r="E544" s="503"/>
      <c r="F544" s="305"/>
      <c r="G544" s="265"/>
      <c r="H544" s="266"/>
      <c r="I544" s="295"/>
      <c r="J544" s="296"/>
      <c r="K544" s="296"/>
      <c r="L544" s="296"/>
      <c r="M544" s="21"/>
      <c r="N544" s="21"/>
      <c r="O544" s="21"/>
      <c r="P544" s="21"/>
      <c r="Q544" s="325"/>
      <c r="R544" s="21"/>
      <c r="S544" s="274"/>
      <c r="T544" s="21"/>
      <c r="U544" s="275"/>
      <c r="V544" s="82"/>
      <c r="Z544" s="181"/>
      <c r="AA544" s="183"/>
      <c r="AC544" s="26"/>
      <c r="AD544" s="279"/>
      <c r="AE544" s="26"/>
      <c r="AF544" s="26"/>
      <c r="AG544" s="278" t="str">
        <f t="shared" si="112"/>
        <v/>
      </c>
      <c r="AH544" s="278" t="str">
        <f t="shared" si="113"/>
        <v/>
      </c>
      <c r="AJ544" s="25"/>
      <c r="AK544" s="25"/>
      <c r="AL544" s="25"/>
      <c r="AM544" s="25"/>
      <c r="AN544" s="25"/>
      <c r="AO544" s="25"/>
      <c r="AP544" s="25"/>
      <c r="AQ544" s="25"/>
      <c r="AR544" s="25"/>
      <c r="AS544" s="25"/>
      <c r="AT544" s="25"/>
      <c r="AU544" s="25"/>
      <c r="AV544" s="43"/>
      <c r="AW544" s="43"/>
      <c r="AX544" s="114" t="s">
        <v>76</v>
      </c>
      <c r="AY544" s="43"/>
      <c r="AZ544" s="43"/>
      <c r="BA544" s="43"/>
      <c r="BB544" s="43"/>
    </row>
    <row r="545" spans="1:54" ht="12.75" customHeight="1">
      <c r="A545" s="80"/>
      <c r="B545" s="320"/>
      <c r="C545" s="272"/>
      <c r="D545" s="273"/>
      <c r="E545" s="503"/>
      <c r="F545" s="305"/>
      <c r="G545" s="265"/>
      <c r="H545" s="266"/>
      <c r="I545" s="295"/>
      <c r="J545" s="296"/>
      <c r="K545" s="296"/>
      <c r="L545" s="296"/>
      <c r="M545" s="21"/>
      <c r="N545" s="21"/>
      <c r="O545" s="21"/>
      <c r="P545" s="21"/>
      <c r="Q545" s="325"/>
      <c r="R545" s="21"/>
      <c r="S545" s="274"/>
      <c r="T545" s="21"/>
      <c r="U545" s="275"/>
      <c r="V545" s="82"/>
      <c r="Z545" s="181"/>
      <c r="AA545" s="183"/>
      <c r="AC545" s="26"/>
      <c r="AD545" s="279"/>
      <c r="AE545" s="26"/>
      <c r="AF545" s="26"/>
      <c r="AG545" s="278" t="str">
        <f t="shared" si="112"/>
        <v/>
      </c>
      <c r="AH545" s="278" t="str">
        <f t="shared" si="113"/>
        <v/>
      </c>
      <c r="AJ545" s="25"/>
      <c r="AK545" s="25"/>
      <c r="AL545" s="25"/>
      <c r="AM545" s="25"/>
      <c r="AN545" s="25"/>
      <c r="AO545" s="25"/>
      <c r="AP545" s="25"/>
      <c r="AQ545" s="25"/>
      <c r="AR545" s="25"/>
      <c r="AS545" s="25"/>
      <c r="AT545" s="25"/>
      <c r="AU545" s="25"/>
      <c r="AV545" s="43"/>
      <c r="AW545" s="43"/>
      <c r="AX545" s="114" t="s">
        <v>76</v>
      </c>
      <c r="AY545" s="43"/>
      <c r="AZ545" s="43"/>
      <c r="BA545" s="43"/>
      <c r="BB545" s="43"/>
    </row>
    <row r="546" spans="1:54" ht="12.75" customHeight="1">
      <c r="A546" s="80"/>
      <c r="B546" s="320"/>
      <c r="C546" s="272"/>
      <c r="D546" s="273"/>
      <c r="E546" s="503"/>
      <c r="F546" s="305"/>
      <c r="G546" s="265"/>
      <c r="H546" s="266"/>
      <c r="I546" s="295"/>
      <c r="J546" s="296"/>
      <c r="K546" s="296"/>
      <c r="L546" s="296"/>
      <c r="M546" s="21"/>
      <c r="N546" s="21"/>
      <c r="O546" s="21"/>
      <c r="P546" s="21"/>
      <c r="Q546" s="325"/>
      <c r="R546" s="21"/>
      <c r="S546" s="274"/>
      <c r="T546" s="21"/>
      <c r="U546" s="275"/>
      <c r="V546" s="82"/>
      <c r="Z546" s="181"/>
      <c r="AA546" s="183"/>
      <c r="AC546" s="26"/>
      <c r="AD546" s="279"/>
      <c r="AE546" s="26"/>
      <c r="AF546" s="26"/>
      <c r="AG546" s="278" t="str">
        <f t="shared" si="112"/>
        <v/>
      </c>
      <c r="AH546" s="278" t="str">
        <f t="shared" si="113"/>
        <v/>
      </c>
      <c r="AJ546" s="25"/>
      <c r="AK546" s="25"/>
      <c r="AL546" s="25"/>
      <c r="AM546" s="25"/>
      <c r="AN546" s="25"/>
      <c r="AO546" s="25"/>
      <c r="AP546" s="25"/>
      <c r="AQ546" s="25"/>
      <c r="AR546" s="25"/>
      <c r="AS546" s="25"/>
      <c r="AT546" s="25"/>
      <c r="AU546" s="25"/>
      <c r="AV546" s="43"/>
      <c r="AW546" s="43"/>
      <c r="AX546" s="114" t="s">
        <v>76</v>
      </c>
      <c r="AY546" s="43"/>
      <c r="AZ546" s="43"/>
      <c r="BA546" s="43"/>
      <c r="BB546" s="43"/>
    </row>
    <row r="547" spans="1:54" ht="12.75" customHeight="1">
      <c r="A547" s="80"/>
      <c r="B547" s="320"/>
      <c r="C547" s="272"/>
      <c r="D547" s="273"/>
      <c r="E547" s="503"/>
      <c r="F547" s="305"/>
      <c r="G547" s="265"/>
      <c r="H547" s="266"/>
      <c r="I547" s="295"/>
      <c r="J547" s="296"/>
      <c r="K547" s="296"/>
      <c r="L547" s="296"/>
      <c r="M547" s="21"/>
      <c r="N547" s="21"/>
      <c r="O547" s="21"/>
      <c r="P547" s="21"/>
      <c r="Q547" s="325"/>
      <c r="R547" s="21"/>
      <c r="S547" s="274"/>
      <c r="T547" s="21"/>
      <c r="U547" s="275"/>
      <c r="V547" s="82"/>
      <c r="Z547" s="181"/>
      <c r="AA547" s="183"/>
      <c r="AC547" s="26"/>
      <c r="AD547" s="279"/>
      <c r="AE547" s="26"/>
      <c r="AF547" s="26"/>
      <c r="AG547" s="278" t="str">
        <f t="shared" si="112"/>
        <v/>
      </c>
      <c r="AH547" s="278" t="str">
        <f t="shared" si="113"/>
        <v/>
      </c>
      <c r="AJ547" s="25"/>
      <c r="AK547" s="25"/>
      <c r="AL547" s="25"/>
      <c r="AM547" s="25"/>
      <c r="AN547" s="25"/>
      <c r="AO547" s="25"/>
      <c r="AP547" s="25"/>
      <c r="AQ547" s="25"/>
      <c r="AR547" s="25"/>
      <c r="AS547" s="25"/>
      <c r="AT547" s="25"/>
      <c r="AU547" s="25"/>
      <c r="AV547" s="43"/>
      <c r="AW547" s="43"/>
      <c r="AX547" s="114" t="s">
        <v>76</v>
      </c>
      <c r="AY547" s="43"/>
      <c r="AZ547" s="43"/>
      <c r="BA547" s="43"/>
      <c r="BB547" s="43"/>
    </row>
    <row r="548" spans="1:54" ht="12.75" customHeight="1">
      <c r="A548" s="80"/>
      <c r="B548" s="320"/>
      <c r="C548" s="272"/>
      <c r="D548" s="273"/>
      <c r="E548" s="503"/>
      <c r="F548" s="305"/>
      <c r="G548" s="265"/>
      <c r="H548" s="266"/>
      <c r="I548" s="295"/>
      <c r="J548" s="296"/>
      <c r="K548" s="296"/>
      <c r="L548" s="296"/>
      <c r="M548" s="21"/>
      <c r="N548" s="21"/>
      <c r="O548" s="21"/>
      <c r="P548" s="21"/>
      <c r="Q548" s="325"/>
      <c r="R548" s="21"/>
      <c r="S548" s="274"/>
      <c r="T548" s="21"/>
      <c r="U548" s="275"/>
      <c r="V548" s="82"/>
      <c r="Z548" s="181"/>
      <c r="AA548" s="183"/>
      <c r="AC548" s="26"/>
      <c r="AD548" s="279"/>
      <c r="AE548" s="26"/>
      <c r="AF548" s="26"/>
      <c r="AG548" s="278" t="str">
        <f t="shared" si="112"/>
        <v/>
      </c>
      <c r="AH548" s="278" t="str">
        <f t="shared" si="113"/>
        <v/>
      </c>
      <c r="AJ548" s="25"/>
      <c r="AK548" s="25"/>
      <c r="AL548" s="25"/>
      <c r="AM548" s="25"/>
      <c r="AN548" s="25"/>
      <c r="AO548" s="25"/>
      <c r="AP548" s="25"/>
      <c r="AQ548" s="25"/>
      <c r="AR548" s="25"/>
      <c r="AS548" s="25"/>
      <c r="AT548" s="25"/>
      <c r="AU548" s="25"/>
      <c r="AV548" s="43"/>
      <c r="AW548" s="43"/>
      <c r="AX548" s="114" t="s">
        <v>76</v>
      </c>
      <c r="AY548" s="43"/>
      <c r="AZ548" s="43"/>
      <c r="BA548" s="43"/>
      <c r="BB548" s="43"/>
    </row>
    <row r="549" spans="1:54" ht="12.75" customHeight="1">
      <c r="A549" s="80"/>
      <c r="B549" s="320"/>
      <c r="C549" s="272"/>
      <c r="D549" s="273"/>
      <c r="E549" s="503"/>
      <c r="F549" s="305"/>
      <c r="G549" s="265"/>
      <c r="H549" s="266"/>
      <c r="I549" s="295"/>
      <c r="J549" s="296"/>
      <c r="K549" s="296"/>
      <c r="L549" s="296"/>
      <c r="M549" s="21"/>
      <c r="N549" s="21"/>
      <c r="O549" s="21"/>
      <c r="P549" s="21"/>
      <c r="Q549" s="325"/>
      <c r="R549" s="21"/>
      <c r="S549" s="274"/>
      <c r="T549" s="21"/>
      <c r="U549" s="275"/>
      <c r="V549" s="82"/>
      <c r="Z549" s="181"/>
      <c r="AA549" s="183"/>
      <c r="AC549" s="26"/>
      <c r="AD549" s="279"/>
      <c r="AE549" s="26"/>
      <c r="AF549" s="26"/>
      <c r="AG549" s="278" t="str">
        <f t="shared" si="112"/>
        <v/>
      </c>
      <c r="AH549" s="278" t="str">
        <f t="shared" si="113"/>
        <v/>
      </c>
      <c r="AJ549" s="25"/>
      <c r="AK549" s="25"/>
      <c r="AL549" s="25"/>
      <c r="AM549" s="25"/>
      <c r="AN549" s="25"/>
      <c r="AO549" s="25"/>
      <c r="AP549" s="25"/>
      <c r="AQ549" s="25"/>
      <c r="AR549" s="25"/>
      <c r="AS549" s="25"/>
      <c r="AT549" s="25"/>
      <c r="AU549" s="25"/>
      <c r="AV549" s="43"/>
      <c r="AW549" s="43"/>
      <c r="AX549" s="114" t="s">
        <v>76</v>
      </c>
      <c r="AY549" s="43"/>
      <c r="AZ549" s="43"/>
      <c r="BA549" s="43"/>
      <c r="BB549" s="43"/>
    </row>
    <row r="550" spans="1:54" ht="12.75" customHeight="1">
      <c r="A550" s="80"/>
      <c r="B550" s="320"/>
      <c r="C550" s="272"/>
      <c r="D550" s="273"/>
      <c r="E550" s="503"/>
      <c r="F550" s="305"/>
      <c r="G550" s="265"/>
      <c r="H550" s="266"/>
      <c r="I550" s="295"/>
      <c r="J550" s="296"/>
      <c r="K550" s="296"/>
      <c r="L550" s="296"/>
      <c r="M550" s="21"/>
      <c r="N550" s="21"/>
      <c r="O550" s="21"/>
      <c r="P550" s="21"/>
      <c r="Q550" s="325"/>
      <c r="R550" s="21"/>
      <c r="S550" s="274"/>
      <c r="T550" s="21"/>
      <c r="U550" s="275"/>
      <c r="V550" s="82"/>
      <c r="Z550" s="181"/>
      <c r="AA550" s="183"/>
      <c r="AB550" s="35"/>
      <c r="AC550" s="25"/>
      <c r="AD550" s="279"/>
      <c r="AE550" s="26"/>
      <c r="AF550" s="26"/>
      <c r="AG550" s="278" t="str">
        <f t="shared" si="112"/>
        <v/>
      </c>
      <c r="AH550" s="278" t="str">
        <f t="shared" si="113"/>
        <v/>
      </c>
      <c r="AJ550" s="25"/>
      <c r="AK550" s="25"/>
      <c r="AL550" s="25"/>
      <c r="AM550" s="25"/>
      <c r="AN550" s="25"/>
      <c r="AO550" s="25"/>
      <c r="AP550" s="25"/>
      <c r="AQ550" s="25"/>
      <c r="AR550" s="25"/>
      <c r="AS550" s="25"/>
      <c r="AT550" s="25"/>
      <c r="AU550" s="25"/>
      <c r="AV550" s="43"/>
      <c r="AW550" s="43"/>
      <c r="AX550" s="114" t="s">
        <v>76</v>
      </c>
      <c r="AY550" s="43"/>
      <c r="AZ550" s="43"/>
      <c r="BA550" s="43"/>
      <c r="BB550" s="43"/>
    </row>
    <row r="551" spans="1:54" ht="12.75" customHeight="1">
      <c r="A551" s="80"/>
      <c r="B551" s="320"/>
      <c r="C551" s="272"/>
      <c r="D551" s="273"/>
      <c r="E551" s="503"/>
      <c r="F551" s="305"/>
      <c r="G551" s="265"/>
      <c r="H551" s="266"/>
      <c r="I551" s="295"/>
      <c r="J551" s="296"/>
      <c r="K551" s="296"/>
      <c r="L551" s="296"/>
      <c r="M551" s="21"/>
      <c r="N551" s="21"/>
      <c r="O551" s="21"/>
      <c r="P551" s="21"/>
      <c r="Q551" s="325"/>
      <c r="R551" s="21"/>
      <c r="S551" s="274"/>
      <c r="T551" s="21"/>
      <c r="U551" s="275"/>
      <c r="V551" s="82"/>
      <c r="Z551" s="181"/>
      <c r="AA551" s="183"/>
      <c r="AC551" s="26"/>
      <c r="AD551" s="279"/>
      <c r="AE551" s="26"/>
      <c r="AF551" s="26"/>
      <c r="AG551" s="278" t="str">
        <f t="shared" si="112"/>
        <v/>
      </c>
      <c r="AH551" s="278" t="str">
        <f t="shared" si="113"/>
        <v/>
      </c>
      <c r="AJ551" s="25"/>
      <c r="AK551" s="25"/>
      <c r="AL551" s="25"/>
      <c r="AM551" s="25"/>
      <c r="AN551" s="25"/>
      <c r="AO551" s="25"/>
      <c r="AP551" s="25"/>
      <c r="AQ551" s="25"/>
      <c r="AR551" s="25"/>
      <c r="AS551" s="25"/>
      <c r="AT551" s="25"/>
      <c r="AU551" s="25"/>
      <c r="AV551" s="43"/>
      <c r="AW551" s="43"/>
      <c r="AX551" s="114" t="s">
        <v>76</v>
      </c>
      <c r="AY551" s="43"/>
      <c r="AZ551" s="43"/>
      <c r="BA551" s="43"/>
      <c r="BB551" s="43"/>
    </row>
    <row r="552" spans="1:54" ht="12.75" customHeight="1">
      <c r="A552" s="80"/>
      <c r="B552" s="320"/>
      <c r="C552" s="272"/>
      <c r="D552" s="273"/>
      <c r="E552" s="503"/>
      <c r="F552" s="305"/>
      <c r="G552" s="265"/>
      <c r="H552" s="266"/>
      <c r="I552" s="295"/>
      <c r="J552" s="296"/>
      <c r="K552" s="296"/>
      <c r="L552" s="296"/>
      <c r="M552" s="21"/>
      <c r="N552" s="21"/>
      <c r="O552" s="21"/>
      <c r="P552" s="21"/>
      <c r="Q552" s="325"/>
      <c r="R552" s="21"/>
      <c r="S552" s="274"/>
      <c r="T552" s="21"/>
      <c r="U552" s="275"/>
      <c r="V552" s="82"/>
      <c r="Z552" s="181"/>
      <c r="AA552" s="183"/>
      <c r="AC552" s="26"/>
      <c r="AD552" s="279"/>
      <c r="AE552" s="26"/>
      <c r="AF552" s="26"/>
      <c r="AG552" s="278" t="str">
        <f t="shared" si="112"/>
        <v/>
      </c>
      <c r="AH552" s="278" t="str">
        <f t="shared" si="113"/>
        <v/>
      </c>
      <c r="AJ552" s="25"/>
      <c r="AK552" s="25"/>
      <c r="AL552" s="25"/>
      <c r="AM552" s="25"/>
      <c r="AN552" s="25"/>
      <c r="AO552" s="25"/>
      <c r="AP552" s="25"/>
      <c r="AQ552" s="25"/>
      <c r="AR552" s="25"/>
      <c r="AS552" s="25"/>
      <c r="AT552" s="25"/>
      <c r="AU552" s="25"/>
      <c r="AV552" s="43"/>
      <c r="AW552" s="43"/>
      <c r="AX552" s="114" t="s">
        <v>76</v>
      </c>
      <c r="AY552" s="43"/>
      <c r="AZ552" s="43"/>
      <c r="BA552" s="43"/>
      <c r="BB552" s="43"/>
    </row>
    <row r="553" spans="1:54" ht="12.75" customHeight="1">
      <c r="A553" s="80"/>
      <c r="B553" s="320"/>
      <c r="C553" s="272"/>
      <c r="D553" s="273"/>
      <c r="E553" s="503"/>
      <c r="F553" s="305"/>
      <c r="G553" s="265"/>
      <c r="H553" s="266"/>
      <c r="I553" s="295"/>
      <c r="J553" s="296"/>
      <c r="K553" s="296"/>
      <c r="L553" s="296"/>
      <c r="M553" s="21"/>
      <c r="N553" s="21"/>
      <c r="O553" s="21"/>
      <c r="P553" s="21"/>
      <c r="Q553" s="325"/>
      <c r="R553" s="21"/>
      <c r="S553" s="274"/>
      <c r="T553" s="21"/>
      <c r="U553" s="275"/>
      <c r="V553" s="82"/>
      <c r="Z553" s="181"/>
      <c r="AA553" s="183"/>
      <c r="AC553" s="26"/>
      <c r="AD553" s="279"/>
      <c r="AE553" s="26"/>
      <c r="AF553" s="26"/>
      <c r="AG553" s="278" t="str">
        <f t="shared" si="112"/>
        <v/>
      </c>
      <c r="AH553" s="278" t="str">
        <f t="shared" si="113"/>
        <v/>
      </c>
      <c r="AJ553" s="25"/>
      <c r="AK553" s="25"/>
      <c r="AL553" s="25"/>
      <c r="AM553" s="25"/>
      <c r="AN553" s="25"/>
      <c r="AO553" s="25"/>
      <c r="AP553" s="25"/>
      <c r="AQ553" s="25"/>
      <c r="AR553" s="25"/>
      <c r="AS553" s="25"/>
      <c r="AT553" s="25"/>
      <c r="AU553" s="25"/>
      <c r="AV553" s="43"/>
      <c r="AW553" s="43"/>
      <c r="AX553" s="114" t="s">
        <v>76</v>
      </c>
      <c r="AY553" s="43"/>
      <c r="AZ553" s="43"/>
      <c r="BA553" s="43"/>
      <c r="BB553" s="43"/>
    </row>
    <row r="554" spans="1:54" ht="12.75" customHeight="1">
      <c r="A554" s="80"/>
      <c r="B554" s="320"/>
      <c r="C554" s="272"/>
      <c r="D554" s="273"/>
      <c r="E554" s="503"/>
      <c r="F554" s="305"/>
      <c r="G554" s="265"/>
      <c r="H554" s="266"/>
      <c r="I554" s="295"/>
      <c r="J554" s="296"/>
      <c r="K554" s="296"/>
      <c r="L554" s="296"/>
      <c r="M554" s="21"/>
      <c r="N554" s="21"/>
      <c r="O554" s="21"/>
      <c r="P554" s="21"/>
      <c r="Q554" s="325"/>
      <c r="R554" s="21"/>
      <c r="S554" s="274"/>
      <c r="T554" s="21"/>
      <c r="U554" s="275"/>
      <c r="V554" s="82"/>
      <c r="Z554" s="181"/>
      <c r="AA554" s="183"/>
      <c r="AC554" s="26"/>
      <c r="AD554" s="279"/>
      <c r="AE554" s="26"/>
      <c r="AF554" s="26"/>
      <c r="AG554" s="278" t="str">
        <f t="shared" si="112"/>
        <v/>
      </c>
      <c r="AH554" s="278" t="str">
        <f t="shared" si="113"/>
        <v/>
      </c>
      <c r="AJ554" s="25"/>
      <c r="AK554" s="25"/>
      <c r="AL554" s="25"/>
      <c r="AM554" s="25"/>
      <c r="AN554" s="25"/>
      <c r="AO554" s="25"/>
      <c r="AP554" s="25"/>
      <c r="AQ554" s="25"/>
      <c r="AR554" s="25"/>
      <c r="AS554" s="25"/>
      <c r="AT554" s="25"/>
      <c r="AU554" s="25"/>
      <c r="AV554" s="43"/>
      <c r="AW554" s="43"/>
      <c r="AX554" s="114" t="s">
        <v>76</v>
      </c>
      <c r="AY554" s="43"/>
      <c r="AZ554" s="43"/>
      <c r="BA554" s="43"/>
      <c r="BB554" s="43"/>
    </row>
    <row r="555" spans="1:54" ht="12.75" customHeight="1">
      <c r="A555" s="80"/>
      <c r="B555" s="320"/>
      <c r="C555" s="272"/>
      <c r="D555" s="273"/>
      <c r="E555" s="503"/>
      <c r="F555" s="305"/>
      <c r="G555" s="265"/>
      <c r="H555" s="266"/>
      <c r="I555" s="295"/>
      <c r="J555" s="296"/>
      <c r="K555" s="296"/>
      <c r="L555" s="296"/>
      <c r="M555" s="21"/>
      <c r="N555" s="21"/>
      <c r="O555" s="21"/>
      <c r="P555" s="21"/>
      <c r="Q555" s="325"/>
      <c r="R555" s="21"/>
      <c r="S555" s="274"/>
      <c r="T555" s="21"/>
      <c r="U555" s="275"/>
      <c r="V555" s="82"/>
      <c r="Z555" s="181"/>
      <c r="AA555" s="183"/>
      <c r="AC555" s="26"/>
      <c r="AD555" s="279"/>
      <c r="AE555" s="26"/>
      <c r="AF555" s="26"/>
      <c r="AG555" s="278" t="str">
        <f t="shared" si="112"/>
        <v/>
      </c>
      <c r="AH555" s="278" t="str">
        <f t="shared" si="113"/>
        <v/>
      </c>
      <c r="AJ555" s="25"/>
      <c r="AK555" s="25"/>
      <c r="AL555" s="25"/>
      <c r="AM555" s="25"/>
      <c r="AN555" s="25"/>
      <c r="AO555" s="25"/>
      <c r="AP555" s="25"/>
      <c r="AQ555" s="25"/>
      <c r="AR555" s="25"/>
      <c r="AS555" s="25"/>
      <c r="AT555" s="25"/>
      <c r="AU555" s="25"/>
      <c r="AV555" s="43"/>
      <c r="AW555" s="43"/>
      <c r="AX555" s="114" t="s">
        <v>76</v>
      </c>
      <c r="AY555" s="43"/>
      <c r="AZ555" s="43"/>
      <c r="BA555" s="43"/>
      <c r="BB555" s="43"/>
    </row>
    <row r="556" spans="1:54" ht="12.75" customHeight="1">
      <c r="A556" s="80"/>
      <c r="B556" s="320"/>
      <c r="C556" s="272"/>
      <c r="D556" s="273"/>
      <c r="E556" s="503"/>
      <c r="F556" s="305"/>
      <c r="G556" s="265"/>
      <c r="H556" s="266"/>
      <c r="I556" s="295"/>
      <c r="J556" s="296"/>
      <c r="K556" s="296"/>
      <c r="L556" s="296"/>
      <c r="M556" s="21"/>
      <c r="N556" s="21"/>
      <c r="O556" s="21"/>
      <c r="P556" s="21"/>
      <c r="Q556" s="325"/>
      <c r="R556" s="21"/>
      <c r="S556" s="274"/>
      <c r="T556" s="21"/>
      <c r="U556" s="275"/>
      <c r="V556" s="82"/>
      <c r="Z556" s="181"/>
      <c r="AA556" s="183"/>
      <c r="AB556" s="35"/>
      <c r="AC556" s="25"/>
      <c r="AD556" s="279"/>
      <c r="AE556" s="26"/>
      <c r="AF556" s="26"/>
      <c r="AG556" s="278" t="str">
        <f t="shared" si="112"/>
        <v/>
      </c>
      <c r="AH556" s="278" t="str">
        <f t="shared" si="113"/>
        <v/>
      </c>
      <c r="AJ556" s="25"/>
      <c r="AK556" s="25"/>
      <c r="AL556" s="25"/>
      <c r="AM556" s="25"/>
      <c r="AN556" s="25"/>
      <c r="AO556" s="25"/>
      <c r="AP556" s="25"/>
      <c r="AQ556" s="25"/>
      <c r="AR556" s="25"/>
      <c r="AS556" s="25"/>
      <c r="AT556" s="25"/>
      <c r="AU556" s="25"/>
      <c r="AV556" s="43"/>
      <c r="AW556" s="43"/>
      <c r="AX556" s="114" t="s">
        <v>76</v>
      </c>
      <c r="AY556" s="43"/>
      <c r="AZ556" s="43"/>
      <c r="BA556" s="43"/>
      <c r="BB556" s="43"/>
    </row>
    <row r="557" spans="1:54" ht="12.75" customHeight="1">
      <c r="A557" s="80"/>
      <c r="B557" s="320"/>
      <c r="C557" s="272"/>
      <c r="D557" s="273"/>
      <c r="E557" s="503"/>
      <c r="F557" s="305"/>
      <c r="G557" s="265"/>
      <c r="H557" s="266"/>
      <c r="I557" s="295"/>
      <c r="J557" s="296"/>
      <c r="K557" s="296"/>
      <c r="L557" s="296"/>
      <c r="M557" s="21"/>
      <c r="N557" s="21"/>
      <c r="O557" s="21"/>
      <c r="P557" s="21"/>
      <c r="Q557" s="325"/>
      <c r="R557" s="21"/>
      <c r="S557" s="274"/>
      <c r="T557" s="21"/>
      <c r="U557" s="275"/>
      <c r="V557" s="82"/>
      <c r="Z557" s="181"/>
      <c r="AA557" s="183"/>
      <c r="AC557" s="26"/>
      <c r="AD557" s="279"/>
      <c r="AE557" s="26"/>
      <c r="AF557" s="26"/>
      <c r="AG557" s="278" t="str">
        <f t="shared" si="112"/>
        <v/>
      </c>
      <c r="AH557" s="278" t="str">
        <f t="shared" si="113"/>
        <v/>
      </c>
      <c r="AJ557" s="25"/>
      <c r="AK557" s="25"/>
      <c r="AL557" s="25"/>
      <c r="AM557" s="25"/>
      <c r="AN557" s="25"/>
      <c r="AO557" s="25"/>
      <c r="AP557" s="25"/>
      <c r="AQ557" s="25"/>
      <c r="AR557" s="25"/>
      <c r="AS557" s="25"/>
      <c r="AT557" s="25"/>
      <c r="AU557" s="25"/>
      <c r="AV557" s="43"/>
      <c r="AW557" s="43"/>
      <c r="AX557" s="114" t="s">
        <v>76</v>
      </c>
      <c r="AY557" s="43"/>
      <c r="AZ557" s="43"/>
      <c r="BA557" s="43"/>
      <c r="BB557" s="43"/>
    </row>
    <row r="558" spans="1:54" ht="12.75" customHeight="1">
      <c r="A558" s="80"/>
      <c r="B558" s="320"/>
      <c r="C558" s="272"/>
      <c r="D558" s="273"/>
      <c r="E558" s="503"/>
      <c r="F558" s="305"/>
      <c r="G558" s="265"/>
      <c r="H558" s="266"/>
      <c r="I558" s="295"/>
      <c r="J558" s="296"/>
      <c r="K558" s="296"/>
      <c r="L558" s="296"/>
      <c r="M558" s="21"/>
      <c r="N558" s="21"/>
      <c r="O558" s="21"/>
      <c r="P558" s="21"/>
      <c r="Q558" s="325"/>
      <c r="R558" s="21"/>
      <c r="S558" s="274"/>
      <c r="T558" s="21"/>
      <c r="U558" s="275"/>
      <c r="V558" s="82"/>
      <c r="Z558" s="181"/>
      <c r="AA558" s="183"/>
      <c r="AC558" s="26"/>
      <c r="AD558" s="279"/>
      <c r="AE558" s="26"/>
      <c r="AF558" s="26"/>
      <c r="AG558" s="278" t="str">
        <f t="shared" si="112"/>
        <v/>
      </c>
      <c r="AH558" s="278" t="str">
        <f t="shared" si="113"/>
        <v/>
      </c>
      <c r="AJ558" s="25"/>
      <c r="AK558" s="25"/>
      <c r="AL558" s="25"/>
      <c r="AM558" s="25"/>
      <c r="AN558" s="25"/>
      <c r="AO558" s="25"/>
      <c r="AP558" s="25"/>
      <c r="AQ558" s="25"/>
      <c r="AR558" s="25"/>
      <c r="AS558" s="25"/>
      <c r="AT558" s="25"/>
      <c r="AU558" s="25"/>
      <c r="AV558" s="43"/>
      <c r="AW558" s="43"/>
      <c r="AX558" s="114" t="s">
        <v>76</v>
      </c>
      <c r="AY558" s="43"/>
      <c r="AZ558" s="43"/>
      <c r="BA558" s="43"/>
      <c r="BB558" s="43"/>
    </row>
    <row r="559" spans="1:54" ht="12.75" customHeight="1">
      <c r="A559" s="80"/>
      <c r="B559" s="320"/>
      <c r="C559" s="272"/>
      <c r="D559" s="273"/>
      <c r="E559" s="503"/>
      <c r="F559" s="305"/>
      <c r="G559" s="265"/>
      <c r="H559" s="266"/>
      <c r="I559" s="295"/>
      <c r="J559" s="296"/>
      <c r="K559" s="296"/>
      <c r="L559" s="296"/>
      <c r="M559" s="21"/>
      <c r="N559" s="21"/>
      <c r="O559" s="21"/>
      <c r="P559" s="21"/>
      <c r="Q559" s="325"/>
      <c r="R559" s="21"/>
      <c r="S559" s="274"/>
      <c r="T559" s="21"/>
      <c r="U559" s="275"/>
      <c r="V559" s="82"/>
      <c r="Z559" s="181"/>
      <c r="AA559" s="183"/>
      <c r="AC559" s="26"/>
      <c r="AD559" s="279"/>
      <c r="AE559" s="26"/>
      <c r="AF559" s="26"/>
      <c r="AG559" s="278" t="str">
        <f t="shared" si="112"/>
        <v/>
      </c>
      <c r="AH559" s="278" t="str">
        <f t="shared" si="113"/>
        <v/>
      </c>
      <c r="AJ559" s="25"/>
      <c r="AK559" s="25"/>
      <c r="AL559" s="25"/>
      <c r="AM559" s="25"/>
      <c r="AN559" s="25"/>
      <c r="AO559" s="25"/>
      <c r="AP559" s="25"/>
      <c r="AQ559" s="25"/>
      <c r="AR559" s="25"/>
      <c r="AS559" s="25"/>
      <c r="AT559" s="25"/>
      <c r="AU559" s="25"/>
      <c r="AV559" s="43"/>
      <c r="AW559" s="43"/>
      <c r="AX559" s="114" t="s">
        <v>76</v>
      </c>
      <c r="AY559" s="43"/>
      <c r="AZ559" s="43"/>
      <c r="BA559" s="43"/>
      <c r="BB559" s="43"/>
    </row>
    <row r="560" spans="1:54" ht="12.75" customHeight="1">
      <c r="A560" s="80"/>
      <c r="B560" s="320"/>
      <c r="C560" s="272"/>
      <c r="D560" s="273"/>
      <c r="E560" s="503"/>
      <c r="F560" s="305"/>
      <c r="G560" s="265"/>
      <c r="H560" s="266"/>
      <c r="I560" s="295"/>
      <c r="J560" s="296"/>
      <c r="K560" s="296"/>
      <c r="L560" s="296"/>
      <c r="M560" s="21"/>
      <c r="N560" s="21"/>
      <c r="O560" s="21"/>
      <c r="P560" s="21"/>
      <c r="Q560" s="325"/>
      <c r="R560" s="21"/>
      <c r="S560" s="274"/>
      <c r="T560" s="21"/>
      <c r="U560" s="275"/>
      <c r="V560" s="82"/>
      <c r="Z560" s="181"/>
      <c r="AA560" s="183"/>
      <c r="AC560" s="26"/>
      <c r="AD560" s="279"/>
      <c r="AE560" s="26"/>
      <c r="AF560" s="26"/>
      <c r="AG560" s="278" t="str">
        <f t="shared" si="112"/>
        <v/>
      </c>
      <c r="AH560" s="278" t="str">
        <f t="shared" si="113"/>
        <v/>
      </c>
      <c r="AJ560" s="25"/>
      <c r="AK560" s="25"/>
      <c r="AL560" s="25"/>
      <c r="AM560" s="25"/>
      <c r="AN560" s="25"/>
      <c r="AO560" s="25"/>
      <c r="AP560" s="25"/>
      <c r="AQ560" s="25"/>
      <c r="AR560" s="25"/>
      <c r="AS560" s="25"/>
      <c r="AT560" s="25"/>
      <c r="AU560" s="25"/>
      <c r="AV560" s="43"/>
      <c r="AW560" s="43"/>
      <c r="AX560" s="114" t="s">
        <v>76</v>
      </c>
      <c r="AY560" s="43"/>
      <c r="AZ560" s="43"/>
      <c r="BA560" s="43"/>
      <c r="BB560" s="43"/>
    </row>
    <row r="561" spans="1:54" ht="12.75" customHeight="1">
      <c r="A561" s="80"/>
      <c r="B561" s="320"/>
      <c r="C561" s="272"/>
      <c r="D561" s="273"/>
      <c r="E561" s="503"/>
      <c r="F561" s="305"/>
      <c r="G561" s="265"/>
      <c r="H561" s="266"/>
      <c r="I561" s="295"/>
      <c r="J561" s="296"/>
      <c r="K561" s="296"/>
      <c r="L561" s="296"/>
      <c r="M561" s="21"/>
      <c r="N561" s="21"/>
      <c r="O561" s="21"/>
      <c r="P561" s="21"/>
      <c r="Q561" s="325"/>
      <c r="R561" s="21"/>
      <c r="S561" s="274"/>
      <c r="T561" s="21"/>
      <c r="U561" s="275"/>
      <c r="V561" s="82"/>
      <c r="Z561" s="181"/>
      <c r="AA561" s="183"/>
      <c r="AC561" s="26"/>
      <c r="AD561" s="279"/>
      <c r="AE561" s="26"/>
      <c r="AF561" s="26"/>
      <c r="AG561" s="278" t="str">
        <f t="shared" si="112"/>
        <v/>
      </c>
      <c r="AH561" s="278" t="str">
        <f t="shared" si="113"/>
        <v/>
      </c>
      <c r="AJ561" s="25"/>
      <c r="AK561" s="25"/>
      <c r="AL561" s="25"/>
      <c r="AM561" s="25"/>
      <c r="AN561" s="25"/>
      <c r="AO561" s="25"/>
      <c r="AP561" s="25"/>
      <c r="AQ561" s="25"/>
      <c r="AR561" s="25"/>
      <c r="AS561" s="25"/>
      <c r="AT561" s="25"/>
      <c r="AU561" s="25"/>
      <c r="AV561" s="43"/>
      <c r="AW561" s="43"/>
      <c r="AX561" s="114" t="s">
        <v>76</v>
      </c>
      <c r="AY561" s="43"/>
      <c r="AZ561" s="43"/>
      <c r="BA561" s="43"/>
      <c r="BB561" s="43"/>
    </row>
    <row r="562" spans="1:54" ht="12.75" customHeight="1">
      <c r="A562" s="80"/>
      <c r="B562" s="320"/>
      <c r="C562" s="272"/>
      <c r="D562" s="273"/>
      <c r="E562" s="503"/>
      <c r="F562" s="305"/>
      <c r="G562" s="265"/>
      <c r="H562" s="266"/>
      <c r="I562" s="295"/>
      <c r="J562" s="296"/>
      <c r="K562" s="296"/>
      <c r="L562" s="296"/>
      <c r="M562" s="21"/>
      <c r="N562" s="21"/>
      <c r="O562" s="21"/>
      <c r="P562" s="21"/>
      <c r="Q562" s="325"/>
      <c r="R562" s="21"/>
      <c r="S562" s="274"/>
      <c r="T562" s="21"/>
      <c r="U562" s="275"/>
      <c r="V562" s="82"/>
      <c r="Z562" s="181"/>
      <c r="AA562" s="183"/>
      <c r="AC562" s="26"/>
      <c r="AD562" s="279"/>
      <c r="AE562" s="26"/>
      <c r="AF562" s="26"/>
      <c r="AG562" s="278" t="str">
        <f t="shared" si="112"/>
        <v/>
      </c>
      <c r="AH562" s="278" t="str">
        <f t="shared" si="113"/>
        <v/>
      </c>
      <c r="AJ562" s="25"/>
      <c r="AK562" s="25"/>
      <c r="AL562" s="25"/>
      <c r="AM562" s="25"/>
      <c r="AN562" s="25"/>
      <c r="AO562" s="25"/>
      <c r="AP562" s="25"/>
      <c r="AQ562" s="25"/>
      <c r="AR562" s="25"/>
      <c r="AS562" s="25"/>
      <c r="AT562" s="25"/>
      <c r="AU562" s="25"/>
      <c r="AV562" s="43"/>
      <c r="AW562" s="43"/>
      <c r="AX562" s="114" t="s">
        <v>76</v>
      </c>
      <c r="AY562" s="43"/>
      <c r="AZ562" s="43"/>
      <c r="BA562" s="43"/>
      <c r="BB562" s="43"/>
    </row>
    <row r="563" spans="1:54" ht="12.75" customHeight="1">
      <c r="A563" s="80"/>
      <c r="B563" s="320"/>
      <c r="C563" s="272"/>
      <c r="D563" s="273"/>
      <c r="E563" s="503"/>
      <c r="F563" s="305"/>
      <c r="G563" s="265"/>
      <c r="H563" s="266"/>
      <c r="I563" s="295"/>
      <c r="J563" s="296"/>
      <c r="K563" s="296"/>
      <c r="L563" s="296"/>
      <c r="M563" s="21"/>
      <c r="N563" s="21"/>
      <c r="O563" s="21"/>
      <c r="P563" s="21"/>
      <c r="Q563" s="325"/>
      <c r="R563" s="21"/>
      <c r="S563" s="274"/>
      <c r="T563" s="21"/>
      <c r="U563" s="275"/>
      <c r="V563" s="82"/>
      <c r="Z563" s="181"/>
      <c r="AA563" s="183"/>
      <c r="AC563" s="26"/>
      <c r="AD563" s="279"/>
      <c r="AE563" s="26"/>
      <c r="AF563" s="26"/>
      <c r="AG563" s="278" t="str">
        <f t="shared" si="112"/>
        <v/>
      </c>
      <c r="AH563" s="278" t="str">
        <f t="shared" si="113"/>
        <v/>
      </c>
      <c r="AJ563" s="25"/>
      <c r="AK563" s="25"/>
      <c r="AL563" s="25"/>
      <c r="AM563" s="25"/>
      <c r="AN563" s="25"/>
      <c r="AO563" s="25"/>
      <c r="AP563" s="25"/>
      <c r="AQ563" s="25"/>
      <c r="AR563" s="25"/>
      <c r="AS563" s="25"/>
      <c r="AT563" s="25"/>
      <c r="AU563" s="25"/>
      <c r="AV563" s="43"/>
      <c r="AW563" s="43"/>
      <c r="AX563" s="114" t="s">
        <v>76</v>
      </c>
      <c r="AY563" s="43"/>
      <c r="AZ563" s="43"/>
      <c r="BA563" s="43"/>
      <c r="BB563" s="43"/>
    </row>
    <row r="564" spans="1:54" ht="12.75" customHeight="1">
      <c r="A564" s="80"/>
      <c r="B564" s="320"/>
      <c r="C564" s="272"/>
      <c r="D564" s="273"/>
      <c r="E564" s="503"/>
      <c r="F564" s="305"/>
      <c r="G564" s="265"/>
      <c r="H564" s="266"/>
      <c r="I564" s="295"/>
      <c r="J564" s="296"/>
      <c r="K564" s="296"/>
      <c r="L564" s="296"/>
      <c r="M564" s="21"/>
      <c r="N564" s="21"/>
      <c r="O564" s="21"/>
      <c r="P564" s="21"/>
      <c r="Q564" s="325"/>
      <c r="R564" s="21"/>
      <c r="S564" s="274"/>
      <c r="T564" s="21"/>
      <c r="U564" s="275"/>
      <c r="V564" s="82"/>
      <c r="Z564" s="181"/>
      <c r="AA564" s="183"/>
      <c r="AB564" s="30"/>
      <c r="AC564" s="30"/>
      <c r="AD564" s="279"/>
      <c r="AE564" s="26"/>
      <c r="AF564" s="26"/>
      <c r="AG564" s="278" t="str">
        <f t="shared" si="112"/>
        <v/>
      </c>
      <c r="AH564" s="278" t="str">
        <f t="shared" si="113"/>
        <v/>
      </c>
      <c r="AJ564" s="25"/>
      <c r="AK564" s="25"/>
      <c r="AL564" s="25"/>
      <c r="AM564" s="25"/>
      <c r="AN564" s="25"/>
      <c r="AO564" s="25"/>
      <c r="AP564" s="25"/>
      <c r="AQ564" s="25"/>
      <c r="AR564" s="25"/>
      <c r="AS564" s="25"/>
      <c r="AT564" s="25"/>
      <c r="AU564" s="25"/>
      <c r="AV564" s="43"/>
      <c r="AW564" s="43"/>
      <c r="AX564" s="114" t="s">
        <v>76</v>
      </c>
      <c r="AY564" s="43"/>
      <c r="AZ564" s="43"/>
      <c r="BA564" s="43"/>
      <c r="BB564" s="43"/>
    </row>
    <row r="565" spans="1:54" ht="12.75" customHeight="1">
      <c r="A565" s="80"/>
      <c r="B565" s="320"/>
      <c r="C565" s="272"/>
      <c r="D565" s="273"/>
      <c r="E565" s="503"/>
      <c r="F565" s="305"/>
      <c r="G565" s="265"/>
      <c r="H565" s="266"/>
      <c r="I565" s="295"/>
      <c r="J565" s="296"/>
      <c r="K565" s="296"/>
      <c r="L565" s="296"/>
      <c r="M565" s="21"/>
      <c r="N565" s="21"/>
      <c r="O565" s="21"/>
      <c r="P565" s="21"/>
      <c r="Q565" s="325"/>
      <c r="R565" s="21"/>
      <c r="S565" s="274"/>
      <c r="T565" s="21"/>
      <c r="U565" s="275"/>
      <c r="V565" s="82"/>
      <c r="Z565" s="181"/>
      <c r="AA565" s="183"/>
      <c r="AC565" s="26"/>
      <c r="AD565" s="279"/>
      <c r="AE565" s="26"/>
      <c r="AF565" s="26"/>
      <c r="AG565" s="278" t="str">
        <f t="shared" si="112"/>
        <v/>
      </c>
      <c r="AH565" s="278" t="str">
        <f t="shared" si="113"/>
        <v/>
      </c>
      <c r="AJ565" s="25"/>
      <c r="AK565" s="25"/>
      <c r="AL565" s="25"/>
      <c r="AM565" s="25"/>
      <c r="AN565" s="25"/>
      <c r="AO565" s="25"/>
      <c r="AP565" s="25"/>
      <c r="AQ565" s="25"/>
      <c r="AR565" s="25"/>
      <c r="AS565" s="25"/>
      <c r="AT565" s="25"/>
      <c r="AU565" s="25"/>
      <c r="AV565" s="43"/>
      <c r="AW565" s="43"/>
      <c r="AX565" s="114" t="s">
        <v>76</v>
      </c>
      <c r="AY565" s="43"/>
      <c r="AZ565" s="43"/>
      <c r="BA565" s="43"/>
      <c r="BB565" s="43"/>
    </row>
    <row r="566" spans="1:54" ht="12.75" customHeight="1">
      <c r="A566" s="80"/>
      <c r="B566" s="320"/>
      <c r="C566" s="272"/>
      <c r="D566" s="273"/>
      <c r="E566" s="503"/>
      <c r="F566" s="305"/>
      <c r="G566" s="265"/>
      <c r="H566" s="266"/>
      <c r="I566" s="295"/>
      <c r="J566" s="296"/>
      <c r="K566" s="296"/>
      <c r="L566" s="296"/>
      <c r="M566" s="21"/>
      <c r="N566" s="21"/>
      <c r="O566" s="21"/>
      <c r="P566" s="21"/>
      <c r="Q566" s="325"/>
      <c r="R566" s="21"/>
      <c r="S566" s="274"/>
      <c r="T566" s="21"/>
      <c r="U566" s="275"/>
      <c r="V566" s="82"/>
      <c r="Z566" s="181"/>
      <c r="AA566" s="183"/>
      <c r="AC566" s="26"/>
      <c r="AD566" s="279"/>
      <c r="AE566" s="26"/>
      <c r="AF566" s="26"/>
      <c r="AG566" s="278" t="str">
        <f t="shared" si="112"/>
        <v/>
      </c>
      <c r="AH566" s="278" t="str">
        <f t="shared" si="113"/>
        <v/>
      </c>
      <c r="AJ566" s="25"/>
      <c r="AK566" s="25"/>
      <c r="AL566" s="25"/>
      <c r="AM566" s="25"/>
      <c r="AN566" s="25"/>
      <c r="AO566" s="25"/>
      <c r="AP566" s="25"/>
      <c r="AQ566" s="25"/>
      <c r="AR566" s="25"/>
      <c r="AS566" s="25"/>
      <c r="AT566" s="25"/>
      <c r="AU566" s="25"/>
      <c r="AV566" s="43"/>
      <c r="AW566" s="43"/>
      <c r="AX566" s="114" t="s">
        <v>76</v>
      </c>
      <c r="AY566" s="43"/>
      <c r="AZ566" s="43"/>
      <c r="BA566" s="43"/>
      <c r="BB566" s="43"/>
    </row>
    <row r="567" spans="1:54" ht="12.75" customHeight="1">
      <c r="A567" s="80"/>
      <c r="B567" s="320"/>
      <c r="C567" s="272"/>
      <c r="D567" s="273"/>
      <c r="E567" s="503"/>
      <c r="F567" s="305"/>
      <c r="G567" s="265"/>
      <c r="H567" s="266"/>
      <c r="I567" s="295"/>
      <c r="J567" s="296"/>
      <c r="K567" s="296"/>
      <c r="L567" s="296"/>
      <c r="M567" s="21"/>
      <c r="N567" s="21"/>
      <c r="O567" s="21"/>
      <c r="P567" s="21"/>
      <c r="Q567" s="325"/>
      <c r="R567" s="21"/>
      <c r="S567" s="274"/>
      <c r="T567" s="21"/>
      <c r="U567" s="275"/>
      <c r="V567" s="82"/>
      <c r="Z567" s="181"/>
      <c r="AA567" s="183"/>
      <c r="AC567" s="26"/>
      <c r="AD567" s="279"/>
      <c r="AE567" s="26"/>
      <c r="AF567" s="26"/>
      <c r="AG567" s="278" t="str">
        <f t="shared" si="112"/>
        <v/>
      </c>
      <c r="AH567" s="278" t="str">
        <f t="shared" si="113"/>
        <v/>
      </c>
      <c r="AJ567" s="25"/>
      <c r="AK567" s="25"/>
      <c r="AL567" s="25"/>
      <c r="AM567" s="25"/>
      <c r="AN567" s="25"/>
      <c r="AO567" s="25"/>
      <c r="AP567" s="25"/>
      <c r="AQ567" s="25"/>
      <c r="AR567" s="25"/>
      <c r="AS567" s="25"/>
      <c r="AT567" s="25"/>
      <c r="AU567" s="25"/>
      <c r="AV567" s="43"/>
      <c r="AW567" s="43"/>
      <c r="AX567" s="114" t="s">
        <v>76</v>
      </c>
      <c r="AY567" s="43"/>
      <c r="AZ567" s="43"/>
      <c r="BA567" s="43"/>
      <c r="BB567" s="43"/>
    </row>
    <row r="568" spans="1:54" ht="12.75" customHeight="1">
      <c r="A568" s="80"/>
      <c r="B568" s="320"/>
      <c r="C568" s="272"/>
      <c r="D568" s="273"/>
      <c r="E568" s="503"/>
      <c r="F568" s="305"/>
      <c r="G568" s="265"/>
      <c r="H568" s="266"/>
      <c r="I568" s="295"/>
      <c r="J568" s="296"/>
      <c r="K568" s="296"/>
      <c r="L568" s="296"/>
      <c r="M568" s="21"/>
      <c r="N568" s="21"/>
      <c r="O568" s="21"/>
      <c r="P568" s="21"/>
      <c r="Q568" s="325"/>
      <c r="R568" s="21"/>
      <c r="S568" s="274"/>
      <c r="T568" s="21"/>
      <c r="U568" s="275"/>
      <c r="V568" s="82"/>
      <c r="Z568" s="181"/>
      <c r="AA568" s="183"/>
      <c r="AC568" s="26"/>
      <c r="AD568" s="279"/>
      <c r="AE568" s="26"/>
      <c r="AF568" s="26"/>
      <c r="AG568" s="278" t="str">
        <f t="shared" si="112"/>
        <v/>
      </c>
      <c r="AH568" s="278" t="str">
        <f t="shared" si="113"/>
        <v/>
      </c>
      <c r="AJ568" s="25"/>
      <c r="AK568" s="25"/>
      <c r="AL568" s="25"/>
      <c r="AM568" s="25"/>
      <c r="AN568" s="25"/>
      <c r="AO568" s="25"/>
      <c r="AP568" s="25"/>
      <c r="AQ568" s="25"/>
      <c r="AR568" s="25"/>
      <c r="AS568" s="25"/>
      <c r="AT568" s="25"/>
      <c r="AU568" s="25"/>
      <c r="AV568" s="43"/>
      <c r="AW568" s="43"/>
      <c r="AX568" s="114" t="s">
        <v>76</v>
      </c>
      <c r="AY568" s="43"/>
      <c r="AZ568" s="43"/>
      <c r="BA568" s="43"/>
      <c r="BB568" s="43"/>
    </row>
    <row r="569" spans="1:54" ht="12.75" customHeight="1">
      <c r="A569" s="80"/>
      <c r="B569" s="320"/>
      <c r="C569" s="272"/>
      <c r="D569" s="273"/>
      <c r="E569" s="503"/>
      <c r="F569" s="305"/>
      <c r="G569" s="265"/>
      <c r="H569" s="266"/>
      <c r="I569" s="295"/>
      <c r="J569" s="296"/>
      <c r="K569" s="296"/>
      <c r="L569" s="296"/>
      <c r="M569" s="21"/>
      <c r="N569" s="21"/>
      <c r="O569" s="21"/>
      <c r="P569" s="21"/>
      <c r="Q569" s="325"/>
      <c r="R569" s="21"/>
      <c r="S569" s="274"/>
      <c r="T569" s="21"/>
      <c r="U569" s="275"/>
      <c r="V569" s="82"/>
      <c r="Z569" s="181"/>
      <c r="AA569" s="183"/>
      <c r="AC569" s="26"/>
      <c r="AD569" s="279"/>
      <c r="AE569" s="26"/>
      <c r="AF569" s="26"/>
      <c r="AG569" s="278" t="str">
        <f t="shared" si="112"/>
        <v/>
      </c>
      <c r="AH569" s="278" t="str">
        <f t="shared" si="113"/>
        <v/>
      </c>
      <c r="AJ569" s="25"/>
      <c r="AK569" s="25"/>
      <c r="AL569" s="25"/>
      <c r="AM569" s="25"/>
      <c r="AN569" s="25"/>
      <c r="AO569" s="25"/>
      <c r="AP569" s="25"/>
      <c r="AQ569" s="25"/>
      <c r="AR569" s="25"/>
      <c r="AS569" s="25"/>
      <c r="AT569" s="25"/>
      <c r="AU569" s="25"/>
      <c r="AV569" s="43"/>
      <c r="AW569" s="43"/>
      <c r="AX569" s="114" t="s">
        <v>76</v>
      </c>
      <c r="AY569" s="43"/>
      <c r="AZ569" s="43"/>
      <c r="BA569" s="43"/>
      <c r="BB569" s="43"/>
    </row>
    <row r="570" spans="1:54" ht="12.75" customHeight="1">
      <c r="A570" s="80"/>
      <c r="B570" s="320"/>
      <c r="C570" s="272"/>
      <c r="D570" s="273"/>
      <c r="E570" s="503"/>
      <c r="F570" s="305"/>
      <c r="G570" s="265"/>
      <c r="H570" s="266"/>
      <c r="I570" s="295"/>
      <c r="J570" s="296"/>
      <c r="K570" s="296"/>
      <c r="L570" s="296"/>
      <c r="M570" s="21"/>
      <c r="N570" s="21"/>
      <c r="O570" s="21"/>
      <c r="P570" s="21"/>
      <c r="Q570" s="325"/>
      <c r="R570" s="21"/>
      <c r="S570" s="274"/>
      <c r="T570" s="21"/>
      <c r="U570" s="275"/>
      <c r="V570" s="82"/>
      <c r="Z570" s="181"/>
      <c r="AA570" s="183"/>
      <c r="AC570" s="26"/>
      <c r="AD570" s="279"/>
      <c r="AE570" s="26"/>
      <c r="AF570" s="26"/>
      <c r="AG570" s="278" t="str">
        <f t="shared" si="112"/>
        <v/>
      </c>
      <c r="AH570" s="278" t="str">
        <f t="shared" si="113"/>
        <v/>
      </c>
      <c r="AJ570" s="25"/>
      <c r="AK570" s="25"/>
      <c r="AL570" s="25"/>
      <c r="AM570" s="25"/>
      <c r="AN570" s="25"/>
      <c r="AO570" s="25"/>
      <c r="AP570" s="25"/>
      <c r="AQ570" s="25"/>
      <c r="AR570" s="25"/>
      <c r="AS570" s="25"/>
      <c r="AT570" s="25"/>
      <c r="AU570" s="25"/>
      <c r="AV570" s="43"/>
      <c r="AW570" s="43"/>
      <c r="AX570" s="114" t="s">
        <v>76</v>
      </c>
      <c r="AY570" s="43"/>
      <c r="AZ570" s="43"/>
      <c r="BA570" s="43"/>
      <c r="BB570" s="43"/>
    </row>
    <row r="571" spans="1:54" ht="12.75" customHeight="1">
      <c r="A571" s="80"/>
      <c r="B571" s="320"/>
      <c r="C571" s="272"/>
      <c r="D571" s="273"/>
      <c r="E571" s="503"/>
      <c r="F571" s="305"/>
      <c r="G571" s="265"/>
      <c r="H571" s="266"/>
      <c r="I571" s="295"/>
      <c r="J571" s="296"/>
      <c r="K571" s="296"/>
      <c r="L571" s="296"/>
      <c r="M571" s="21"/>
      <c r="N571" s="21"/>
      <c r="O571" s="21"/>
      <c r="P571" s="21"/>
      <c r="Q571" s="325"/>
      <c r="R571" s="21"/>
      <c r="S571" s="274"/>
      <c r="T571" s="21"/>
      <c r="U571" s="275"/>
      <c r="V571" s="82"/>
      <c r="Z571" s="181"/>
      <c r="AA571" s="183"/>
      <c r="AC571" s="26"/>
      <c r="AD571" s="279"/>
      <c r="AE571" s="26"/>
      <c r="AF571" s="26"/>
      <c r="AG571" s="278" t="str">
        <f t="shared" si="112"/>
        <v/>
      </c>
      <c r="AH571" s="278" t="str">
        <f t="shared" si="113"/>
        <v/>
      </c>
      <c r="AJ571" s="25"/>
      <c r="AK571" s="25"/>
      <c r="AL571" s="25"/>
      <c r="AM571" s="25"/>
      <c r="AN571" s="25"/>
      <c r="AO571" s="25"/>
      <c r="AP571" s="25"/>
      <c r="AQ571" s="25"/>
      <c r="AR571" s="25"/>
      <c r="AS571" s="25"/>
      <c r="AT571" s="25"/>
      <c r="AU571" s="25"/>
      <c r="AV571" s="43"/>
      <c r="AW571" s="43"/>
      <c r="AX571" s="114" t="s">
        <v>76</v>
      </c>
      <c r="AY571" s="43"/>
      <c r="AZ571" s="43"/>
      <c r="BA571" s="43"/>
      <c r="BB571" s="43"/>
    </row>
    <row r="572" spans="1:54" ht="12.75" customHeight="1">
      <c r="A572" s="80"/>
      <c r="B572" s="320"/>
      <c r="C572" s="272"/>
      <c r="D572" s="273"/>
      <c r="E572" s="503"/>
      <c r="F572" s="305"/>
      <c r="G572" s="265"/>
      <c r="H572" s="266"/>
      <c r="I572" s="295"/>
      <c r="J572" s="296"/>
      <c r="K572" s="296"/>
      <c r="L572" s="296"/>
      <c r="M572" s="21"/>
      <c r="N572" s="21"/>
      <c r="O572" s="21"/>
      <c r="P572" s="21"/>
      <c r="Q572" s="325"/>
      <c r="R572" s="21"/>
      <c r="S572" s="274"/>
      <c r="T572" s="21"/>
      <c r="U572" s="275"/>
      <c r="V572" s="82"/>
      <c r="Z572" s="181"/>
      <c r="AA572" s="183"/>
      <c r="AC572" s="26"/>
      <c r="AD572" s="279"/>
      <c r="AE572" s="26"/>
      <c r="AF572" s="26"/>
      <c r="AG572" s="278" t="str">
        <f t="shared" si="112"/>
        <v/>
      </c>
      <c r="AH572" s="278" t="str">
        <f t="shared" si="113"/>
        <v/>
      </c>
      <c r="AJ572" s="25"/>
      <c r="AK572" s="25"/>
      <c r="AL572" s="25"/>
      <c r="AM572" s="25"/>
      <c r="AN572" s="25"/>
      <c r="AO572" s="25"/>
      <c r="AP572" s="25"/>
      <c r="AQ572" s="25"/>
      <c r="AR572" s="25"/>
      <c r="AS572" s="25"/>
      <c r="AT572" s="25"/>
      <c r="AU572" s="25"/>
      <c r="AV572" s="43"/>
      <c r="AW572" s="43"/>
      <c r="AX572" s="114" t="s">
        <v>76</v>
      </c>
      <c r="AY572" s="43"/>
      <c r="AZ572" s="43"/>
      <c r="BA572" s="43"/>
      <c r="BB572" s="43"/>
    </row>
    <row r="573" spans="1:54" ht="12.75" customHeight="1">
      <c r="A573" s="80"/>
      <c r="B573" s="320"/>
      <c r="C573" s="272"/>
      <c r="D573" s="273"/>
      <c r="E573" s="503"/>
      <c r="F573" s="305"/>
      <c r="G573" s="265"/>
      <c r="H573" s="266"/>
      <c r="I573" s="295"/>
      <c r="J573" s="296"/>
      <c r="K573" s="296"/>
      <c r="L573" s="296"/>
      <c r="M573" s="21"/>
      <c r="N573" s="21"/>
      <c r="O573" s="21"/>
      <c r="P573" s="21"/>
      <c r="Q573" s="325"/>
      <c r="R573" s="21"/>
      <c r="S573" s="274"/>
      <c r="T573" s="21"/>
      <c r="U573" s="275"/>
      <c r="V573" s="82"/>
      <c r="Z573" s="181"/>
      <c r="AA573" s="183"/>
      <c r="AC573" s="26"/>
      <c r="AD573" s="279"/>
      <c r="AE573" s="26"/>
      <c r="AF573" s="26"/>
      <c r="AG573" s="278" t="str">
        <f t="shared" si="112"/>
        <v/>
      </c>
      <c r="AH573" s="278" t="str">
        <f t="shared" si="113"/>
        <v/>
      </c>
      <c r="AJ573" s="25"/>
      <c r="AK573" s="25"/>
      <c r="AL573" s="25"/>
      <c r="AM573" s="25"/>
      <c r="AN573" s="25"/>
      <c r="AO573" s="25"/>
      <c r="AP573" s="25"/>
      <c r="AQ573" s="25"/>
      <c r="AR573" s="25"/>
      <c r="AS573" s="25"/>
      <c r="AT573" s="25"/>
      <c r="AU573" s="25"/>
      <c r="AV573" s="43"/>
      <c r="AW573" s="43"/>
      <c r="AX573" s="114" t="s">
        <v>76</v>
      </c>
      <c r="AY573" s="43"/>
      <c r="AZ573" s="43"/>
      <c r="BA573" s="43"/>
      <c r="BB573" s="43"/>
    </row>
    <row r="574" spans="1:54" ht="12.75" customHeight="1">
      <c r="A574" s="80"/>
      <c r="B574" s="320"/>
      <c r="C574" s="272"/>
      <c r="D574" s="273"/>
      <c r="E574" s="503"/>
      <c r="F574" s="305"/>
      <c r="G574" s="265"/>
      <c r="H574" s="266"/>
      <c r="I574" s="295"/>
      <c r="J574" s="296"/>
      <c r="K574" s="296"/>
      <c r="L574" s="296"/>
      <c r="M574" s="21"/>
      <c r="N574" s="21"/>
      <c r="O574" s="21"/>
      <c r="P574" s="21"/>
      <c r="Q574" s="325"/>
      <c r="R574" s="21"/>
      <c r="S574" s="274"/>
      <c r="T574" s="21"/>
      <c r="U574" s="275"/>
      <c r="V574" s="82"/>
      <c r="Z574" s="181"/>
      <c r="AA574" s="183"/>
      <c r="AC574" s="26"/>
      <c r="AD574" s="279"/>
      <c r="AE574" s="26"/>
      <c r="AF574" s="26"/>
      <c r="AG574" s="278" t="str">
        <f t="shared" si="112"/>
        <v/>
      </c>
      <c r="AH574" s="278" t="str">
        <f t="shared" si="113"/>
        <v/>
      </c>
      <c r="AJ574" s="25"/>
      <c r="AK574" s="25"/>
      <c r="AL574" s="25"/>
      <c r="AM574" s="25"/>
      <c r="AN574" s="25"/>
      <c r="AO574" s="25"/>
      <c r="AP574" s="25"/>
      <c r="AQ574" s="25"/>
      <c r="AR574" s="25"/>
      <c r="AS574" s="25"/>
      <c r="AT574" s="25"/>
      <c r="AU574" s="25"/>
      <c r="AV574" s="43"/>
      <c r="AW574" s="43"/>
      <c r="AX574" s="114" t="s">
        <v>76</v>
      </c>
      <c r="AY574" s="43"/>
      <c r="AZ574" s="43"/>
      <c r="BA574" s="43"/>
      <c r="BB574" s="43"/>
    </row>
    <row r="575" spans="1:54" ht="12.75" customHeight="1">
      <c r="A575" s="80"/>
      <c r="B575" s="320"/>
      <c r="C575" s="272"/>
      <c r="D575" s="273"/>
      <c r="E575" s="503"/>
      <c r="F575" s="305"/>
      <c r="G575" s="265"/>
      <c r="H575" s="266"/>
      <c r="I575" s="295"/>
      <c r="J575" s="296"/>
      <c r="K575" s="296"/>
      <c r="L575" s="296"/>
      <c r="M575" s="21"/>
      <c r="N575" s="21"/>
      <c r="O575" s="21"/>
      <c r="P575" s="21"/>
      <c r="Q575" s="325"/>
      <c r="R575" s="21"/>
      <c r="S575" s="274"/>
      <c r="T575" s="21"/>
      <c r="U575" s="275"/>
      <c r="V575" s="82"/>
      <c r="Z575" s="181"/>
      <c r="AA575" s="183"/>
      <c r="AC575" s="26"/>
      <c r="AD575" s="279"/>
      <c r="AE575" s="26"/>
      <c r="AF575" s="26"/>
      <c r="AG575" s="278" t="str">
        <f t="shared" si="112"/>
        <v/>
      </c>
      <c r="AH575" s="278" t="str">
        <f t="shared" si="113"/>
        <v/>
      </c>
      <c r="AJ575" s="25"/>
      <c r="AK575" s="25"/>
      <c r="AL575" s="25"/>
      <c r="AM575" s="25"/>
      <c r="AN575" s="25"/>
      <c r="AO575" s="25"/>
      <c r="AP575" s="25"/>
      <c r="AQ575" s="25"/>
      <c r="AR575" s="25"/>
      <c r="AS575" s="25"/>
      <c r="AT575" s="25"/>
      <c r="AU575" s="25"/>
      <c r="AV575" s="43"/>
      <c r="AW575" s="43"/>
      <c r="AX575" s="114" t="s">
        <v>76</v>
      </c>
      <c r="AY575" s="43"/>
      <c r="AZ575" s="43"/>
      <c r="BA575" s="43"/>
      <c r="BB575" s="43"/>
    </row>
    <row r="576" spans="1:54" ht="12.75" customHeight="1">
      <c r="A576" s="80"/>
      <c r="B576" s="320"/>
      <c r="C576" s="272"/>
      <c r="D576" s="273"/>
      <c r="E576" s="503"/>
      <c r="F576" s="305"/>
      <c r="G576" s="265"/>
      <c r="H576" s="266"/>
      <c r="I576" s="295"/>
      <c r="J576" s="296"/>
      <c r="K576" s="296"/>
      <c r="L576" s="296"/>
      <c r="M576" s="21"/>
      <c r="N576" s="21"/>
      <c r="O576" s="21"/>
      <c r="P576" s="21"/>
      <c r="Q576" s="325"/>
      <c r="R576" s="21"/>
      <c r="S576" s="274"/>
      <c r="T576" s="21"/>
      <c r="U576" s="275"/>
      <c r="V576" s="82"/>
      <c r="Z576" s="181"/>
      <c r="AA576" s="183"/>
      <c r="AC576" s="26"/>
      <c r="AD576" s="279"/>
      <c r="AE576" s="26"/>
      <c r="AF576" s="26"/>
      <c r="AG576" s="278" t="str">
        <f t="shared" si="112"/>
        <v/>
      </c>
      <c r="AH576" s="278" t="str">
        <f t="shared" si="113"/>
        <v/>
      </c>
      <c r="AJ576" s="25"/>
      <c r="AK576" s="25"/>
      <c r="AL576" s="25"/>
      <c r="AM576" s="25"/>
      <c r="AN576" s="25"/>
      <c r="AO576" s="25"/>
      <c r="AP576" s="25"/>
      <c r="AQ576" s="25"/>
      <c r="AR576" s="25"/>
      <c r="AS576" s="25"/>
      <c r="AT576" s="25"/>
      <c r="AU576" s="25"/>
      <c r="AV576" s="43"/>
      <c r="AW576" s="43"/>
      <c r="AX576" s="114" t="s">
        <v>76</v>
      </c>
      <c r="AY576" s="43"/>
      <c r="AZ576" s="43"/>
      <c r="BA576" s="43"/>
      <c r="BB576" s="43"/>
    </row>
    <row r="577" spans="1:54" ht="12.75" customHeight="1">
      <c r="A577" s="80"/>
      <c r="B577" s="320"/>
      <c r="C577" s="272"/>
      <c r="D577" s="273"/>
      <c r="E577" s="503"/>
      <c r="F577" s="305"/>
      <c r="G577" s="265"/>
      <c r="H577" s="266"/>
      <c r="I577" s="295"/>
      <c r="J577" s="296"/>
      <c r="K577" s="296"/>
      <c r="L577" s="296"/>
      <c r="M577" s="21"/>
      <c r="N577" s="21"/>
      <c r="O577" s="21"/>
      <c r="P577" s="21"/>
      <c r="Q577" s="325"/>
      <c r="R577" s="21"/>
      <c r="S577" s="274"/>
      <c r="T577" s="21"/>
      <c r="U577" s="275"/>
      <c r="V577" s="82"/>
      <c r="Z577" s="181"/>
      <c r="AA577" s="183"/>
      <c r="AC577" s="26"/>
      <c r="AD577" s="279"/>
      <c r="AE577" s="26"/>
      <c r="AF577" s="26"/>
      <c r="AG577" s="278" t="str">
        <f t="shared" si="112"/>
        <v/>
      </c>
      <c r="AH577" s="278" t="str">
        <f t="shared" si="113"/>
        <v/>
      </c>
      <c r="AJ577" s="25"/>
      <c r="AK577" s="25"/>
      <c r="AL577" s="25"/>
      <c r="AM577" s="25"/>
      <c r="AN577" s="25"/>
      <c r="AO577" s="25"/>
      <c r="AP577" s="25"/>
      <c r="AQ577" s="25"/>
      <c r="AR577" s="25"/>
      <c r="AS577" s="25"/>
      <c r="AT577" s="25"/>
      <c r="AU577" s="25"/>
      <c r="AV577" s="43"/>
      <c r="AW577" s="43"/>
      <c r="AX577" s="114" t="s">
        <v>76</v>
      </c>
      <c r="AY577" s="43"/>
      <c r="AZ577" s="43"/>
      <c r="BA577" s="43"/>
      <c r="BB577" s="43"/>
    </row>
    <row r="578" spans="1:54" ht="12.75" customHeight="1">
      <c r="A578" s="80"/>
      <c r="B578" s="320"/>
      <c r="C578" s="272"/>
      <c r="D578" s="273"/>
      <c r="E578" s="503"/>
      <c r="F578" s="305"/>
      <c r="G578" s="265"/>
      <c r="H578" s="266"/>
      <c r="I578" s="295"/>
      <c r="J578" s="296"/>
      <c r="K578" s="296"/>
      <c r="L578" s="296"/>
      <c r="M578" s="21"/>
      <c r="N578" s="21"/>
      <c r="O578" s="21"/>
      <c r="P578" s="21"/>
      <c r="Q578" s="325"/>
      <c r="R578" s="21"/>
      <c r="S578" s="274"/>
      <c r="T578" s="21"/>
      <c r="U578" s="275"/>
      <c r="V578" s="82"/>
      <c r="Z578" s="181"/>
      <c r="AA578" s="183"/>
      <c r="AB578" s="35"/>
      <c r="AC578" s="25"/>
      <c r="AD578" s="279"/>
      <c r="AE578" s="26"/>
      <c r="AF578" s="26"/>
      <c r="AG578" s="278" t="str">
        <f t="shared" si="112"/>
        <v/>
      </c>
      <c r="AH578" s="278" t="str">
        <f t="shared" si="113"/>
        <v/>
      </c>
      <c r="AJ578" s="25"/>
      <c r="AK578" s="25"/>
      <c r="AL578" s="25"/>
      <c r="AM578" s="25"/>
      <c r="AN578" s="25"/>
      <c r="AO578" s="25"/>
      <c r="AP578" s="25"/>
      <c r="AQ578" s="25"/>
      <c r="AR578" s="25"/>
      <c r="AS578" s="25"/>
      <c r="AT578" s="25"/>
      <c r="AU578" s="25"/>
      <c r="AV578" s="43"/>
      <c r="AW578" s="43"/>
      <c r="AX578" s="114" t="s">
        <v>76</v>
      </c>
      <c r="AY578" s="43"/>
      <c r="AZ578" s="43"/>
      <c r="BA578" s="43"/>
      <c r="BB578" s="43"/>
    </row>
    <row r="579" spans="1:54" ht="12.75" customHeight="1">
      <c r="A579" s="80"/>
      <c r="B579" s="320"/>
      <c r="C579" s="272"/>
      <c r="D579" s="273"/>
      <c r="E579" s="503"/>
      <c r="F579" s="305"/>
      <c r="G579" s="265"/>
      <c r="H579" s="266"/>
      <c r="I579" s="295"/>
      <c r="J579" s="296"/>
      <c r="K579" s="296"/>
      <c r="L579" s="296"/>
      <c r="M579" s="21"/>
      <c r="N579" s="21"/>
      <c r="O579" s="21"/>
      <c r="P579" s="21"/>
      <c r="Q579" s="325"/>
      <c r="R579" s="21"/>
      <c r="S579" s="274"/>
      <c r="T579" s="21"/>
      <c r="U579" s="275"/>
      <c r="V579" s="82"/>
      <c r="Z579" s="181"/>
      <c r="AA579" s="183"/>
      <c r="AC579" s="26"/>
      <c r="AD579" s="279"/>
      <c r="AE579" s="26"/>
      <c r="AF579" s="26"/>
      <c r="AG579" s="278" t="str">
        <f t="shared" si="112"/>
        <v/>
      </c>
      <c r="AH579" s="278" t="str">
        <f t="shared" si="113"/>
        <v/>
      </c>
      <c r="AJ579" s="25"/>
      <c r="AK579" s="25"/>
      <c r="AL579" s="25"/>
      <c r="AM579" s="25"/>
      <c r="AN579" s="25"/>
      <c r="AO579" s="25"/>
      <c r="AP579" s="25"/>
      <c r="AQ579" s="25"/>
      <c r="AR579" s="25"/>
      <c r="AS579" s="25"/>
      <c r="AT579" s="25"/>
      <c r="AU579" s="25"/>
      <c r="AV579" s="43"/>
      <c r="AW579" s="43"/>
      <c r="AX579" s="114" t="s">
        <v>76</v>
      </c>
      <c r="AY579" s="43"/>
      <c r="AZ579" s="43"/>
      <c r="BA579" s="43"/>
      <c r="BB579" s="43"/>
    </row>
    <row r="580" spans="1:54" ht="12.75" customHeight="1">
      <c r="A580" s="80"/>
      <c r="B580" s="320"/>
      <c r="C580" s="272"/>
      <c r="D580" s="273"/>
      <c r="E580" s="503"/>
      <c r="F580" s="305"/>
      <c r="G580" s="265"/>
      <c r="H580" s="266"/>
      <c r="I580" s="295"/>
      <c r="J580" s="296"/>
      <c r="K580" s="296"/>
      <c r="L580" s="296"/>
      <c r="M580" s="21"/>
      <c r="N580" s="21"/>
      <c r="O580" s="21"/>
      <c r="P580" s="21"/>
      <c r="Q580" s="325"/>
      <c r="R580" s="21"/>
      <c r="S580" s="274"/>
      <c r="T580" s="21"/>
      <c r="U580" s="275"/>
      <c r="V580" s="82"/>
      <c r="Z580" s="181"/>
      <c r="AA580" s="183"/>
      <c r="AC580" s="26"/>
      <c r="AD580" s="279"/>
      <c r="AE580" s="26"/>
      <c r="AF580" s="26"/>
      <c r="AG580" s="278" t="str">
        <f t="shared" si="112"/>
        <v/>
      </c>
      <c r="AH580" s="278" t="str">
        <f t="shared" si="113"/>
        <v/>
      </c>
      <c r="AJ580" s="25"/>
      <c r="AK580" s="25"/>
      <c r="AL580" s="25"/>
      <c r="AM580" s="25"/>
      <c r="AN580" s="25"/>
      <c r="AO580" s="25"/>
      <c r="AP580" s="25"/>
      <c r="AQ580" s="25"/>
      <c r="AR580" s="25"/>
      <c r="AS580" s="25"/>
      <c r="AT580" s="25"/>
      <c r="AU580" s="25"/>
      <c r="AV580" s="43"/>
      <c r="AW580" s="43"/>
      <c r="AX580" s="114" t="s">
        <v>76</v>
      </c>
      <c r="AY580" s="43"/>
      <c r="AZ580" s="43"/>
      <c r="BA580" s="43"/>
      <c r="BB580" s="43"/>
    </row>
    <row r="581" spans="1:54" ht="12.75" customHeight="1">
      <c r="A581" s="80"/>
      <c r="B581" s="320"/>
      <c r="C581" s="272"/>
      <c r="D581" s="273"/>
      <c r="E581" s="503"/>
      <c r="F581" s="305"/>
      <c r="G581" s="265"/>
      <c r="H581" s="266"/>
      <c r="I581" s="295"/>
      <c r="J581" s="296"/>
      <c r="K581" s="296"/>
      <c r="L581" s="296"/>
      <c r="M581" s="21"/>
      <c r="N581" s="21"/>
      <c r="O581" s="21"/>
      <c r="P581" s="21"/>
      <c r="Q581" s="325"/>
      <c r="R581" s="21"/>
      <c r="S581" s="274"/>
      <c r="T581" s="21"/>
      <c r="U581" s="275"/>
      <c r="V581" s="82"/>
      <c r="Z581" s="181"/>
      <c r="AA581" s="183"/>
      <c r="AB581" s="30"/>
      <c r="AC581" s="30"/>
      <c r="AD581" s="279"/>
      <c r="AE581" s="26"/>
      <c r="AF581" s="26"/>
      <c r="AG581" s="278" t="str">
        <f t="shared" si="112"/>
        <v/>
      </c>
      <c r="AH581" s="278" t="str">
        <f t="shared" si="113"/>
        <v/>
      </c>
      <c r="AJ581" s="25"/>
      <c r="AK581" s="25"/>
      <c r="AL581" s="25"/>
      <c r="AM581" s="25"/>
      <c r="AN581" s="25"/>
      <c r="AO581" s="25"/>
      <c r="AP581" s="25"/>
      <c r="AQ581" s="25"/>
      <c r="AR581" s="25"/>
      <c r="AS581" s="25"/>
      <c r="AT581" s="25"/>
      <c r="AU581" s="25"/>
      <c r="AV581" s="43"/>
      <c r="AW581" s="43"/>
      <c r="AX581" s="114" t="s">
        <v>76</v>
      </c>
      <c r="AY581" s="43"/>
      <c r="AZ581" s="43"/>
      <c r="BA581" s="43"/>
      <c r="BB581" s="43"/>
    </row>
    <row r="582" spans="1:54" ht="12.75" customHeight="1">
      <c r="A582" s="80"/>
      <c r="B582" s="320"/>
      <c r="C582" s="272"/>
      <c r="D582" s="273"/>
      <c r="E582" s="503"/>
      <c r="F582" s="305"/>
      <c r="G582" s="265"/>
      <c r="H582" s="266"/>
      <c r="I582" s="295"/>
      <c r="J582" s="296"/>
      <c r="K582" s="296"/>
      <c r="L582" s="296"/>
      <c r="M582" s="21"/>
      <c r="N582" s="21"/>
      <c r="O582" s="21"/>
      <c r="P582" s="21"/>
      <c r="Q582" s="325"/>
      <c r="R582" s="21"/>
      <c r="S582" s="274"/>
      <c r="T582" s="21"/>
      <c r="U582" s="275"/>
      <c r="V582" s="82"/>
      <c r="Z582" s="181"/>
      <c r="AA582" s="183"/>
      <c r="AC582" s="26"/>
      <c r="AD582" s="279"/>
      <c r="AE582" s="26"/>
      <c r="AF582" s="26"/>
      <c r="AG582" s="278" t="str">
        <f t="shared" ref="AG582:AG645" si="114">IF(AE582="","",AE582*AltBounce)</f>
        <v/>
      </c>
      <c r="AH582" s="278" t="str">
        <f t="shared" ref="AH582:AH645" si="115">IF(AA582="","",AE582*(1/AltBounce))</f>
        <v/>
      </c>
      <c r="AJ582" s="25"/>
      <c r="AK582" s="25"/>
      <c r="AL582" s="25"/>
      <c r="AM582" s="25"/>
      <c r="AN582" s="25"/>
      <c r="AO582" s="25"/>
      <c r="AP582" s="25"/>
      <c r="AQ582" s="25"/>
      <c r="AR582" s="25"/>
      <c r="AS582" s="25"/>
      <c r="AT582" s="25"/>
      <c r="AU582" s="25"/>
      <c r="AV582" s="43"/>
      <c r="AW582" s="43"/>
      <c r="AX582" s="114" t="s">
        <v>76</v>
      </c>
      <c r="AY582" s="43"/>
      <c r="AZ582" s="43"/>
      <c r="BA582" s="43"/>
      <c r="BB582" s="43"/>
    </row>
    <row r="583" spans="1:54" ht="12.75" customHeight="1">
      <c r="A583" s="80"/>
      <c r="B583" s="320"/>
      <c r="C583" s="272"/>
      <c r="D583" s="273"/>
      <c r="E583" s="503"/>
      <c r="F583" s="305"/>
      <c r="G583" s="265"/>
      <c r="H583" s="266"/>
      <c r="I583" s="295"/>
      <c r="J583" s="296"/>
      <c r="K583" s="296"/>
      <c r="L583" s="296"/>
      <c r="M583" s="21"/>
      <c r="N583" s="21"/>
      <c r="O583" s="21"/>
      <c r="P583" s="21"/>
      <c r="Q583" s="325"/>
      <c r="R583" s="21"/>
      <c r="S583" s="274"/>
      <c r="T583" s="21"/>
      <c r="U583" s="275"/>
      <c r="V583" s="82"/>
      <c r="Z583" s="181"/>
      <c r="AA583" s="183"/>
      <c r="AC583" s="26"/>
      <c r="AD583" s="279"/>
      <c r="AE583" s="26"/>
      <c r="AF583" s="26"/>
      <c r="AG583" s="278" t="str">
        <f t="shared" si="114"/>
        <v/>
      </c>
      <c r="AH583" s="278" t="str">
        <f t="shared" si="115"/>
        <v/>
      </c>
      <c r="AJ583" s="25"/>
      <c r="AK583" s="25"/>
      <c r="AL583" s="25"/>
      <c r="AM583" s="25"/>
      <c r="AN583" s="25"/>
      <c r="AO583" s="25"/>
      <c r="AP583" s="25"/>
      <c r="AQ583" s="25"/>
      <c r="AR583" s="25"/>
      <c r="AS583" s="25"/>
      <c r="AT583" s="25"/>
      <c r="AU583" s="25"/>
      <c r="AV583" s="43"/>
      <c r="AW583" s="43"/>
      <c r="AX583" s="114" t="s">
        <v>76</v>
      </c>
      <c r="AY583" s="43"/>
      <c r="AZ583" s="43"/>
      <c r="BA583" s="43"/>
      <c r="BB583" s="43"/>
    </row>
    <row r="584" spans="1:54" ht="12.75" customHeight="1">
      <c r="A584" s="80"/>
      <c r="B584" s="320"/>
      <c r="C584" s="272"/>
      <c r="D584" s="273"/>
      <c r="E584" s="503"/>
      <c r="F584" s="305"/>
      <c r="G584" s="265"/>
      <c r="H584" s="266"/>
      <c r="I584" s="295"/>
      <c r="J584" s="296"/>
      <c r="K584" s="296"/>
      <c r="L584" s="296"/>
      <c r="M584" s="21"/>
      <c r="N584" s="21"/>
      <c r="O584" s="21"/>
      <c r="P584" s="21"/>
      <c r="Q584" s="325"/>
      <c r="R584" s="21"/>
      <c r="S584" s="274"/>
      <c r="T584" s="21"/>
      <c r="U584" s="275"/>
      <c r="V584" s="82"/>
      <c r="Z584" s="181"/>
      <c r="AA584" s="183"/>
      <c r="AC584" s="26"/>
      <c r="AD584" s="279"/>
      <c r="AE584" s="26"/>
      <c r="AF584" s="26"/>
      <c r="AG584" s="278" t="str">
        <f t="shared" si="114"/>
        <v/>
      </c>
      <c r="AH584" s="278" t="str">
        <f t="shared" si="115"/>
        <v/>
      </c>
      <c r="AJ584" s="25"/>
      <c r="AK584" s="25"/>
      <c r="AL584" s="25"/>
      <c r="AM584" s="25"/>
      <c r="AN584" s="25"/>
      <c r="AO584" s="25"/>
      <c r="AP584" s="25"/>
      <c r="AQ584" s="25"/>
      <c r="AR584" s="25"/>
      <c r="AS584" s="25"/>
      <c r="AT584" s="25"/>
      <c r="AU584" s="25"/>
      <c r="AV584" s="43"/>
      <c r="AW584" s="43"/>
      <c r="AX584" s="114" t="s">
        <v>76</v>
      </c>
      <c r="AY584" s="43"/>
      <c r="AZ584" s="43"/>
      <c r="BA584" s="43"/>
      <c r="BB584" s="43"/>
    </row>
    <row r="585" spans="1:54" ht="12.75" customHeight="1">
      <c r="A585" s="80"/>
      <c r="B585" s="320"/>
      <c r="C585" s="272"/>
      <c r="D585" s="273"/>
      <c r="E585" s="503"/>
      <c r="F585" s="305"/>
      <c r="G585" s="265"/>
      <c r="H585" s="266"/>
      <c r="I585" s="295"/>
      <c r="J585" s="296"/>
      <c r="K585" s="296"/>
      <c r="L585" s="296"/>
      <c r="M585" s="21"/>
      <c r="N585" s="21"/>
      <c r="O585" s="21"/>
      <c r="P585" s="21"/>
      <c r="Q585" s="325"/>
      <c r="R585" s="21"/>
      <c r="S585" s="274"/>
      <c r="T585" s="21"/>
      <c r="U585" s="275"/>
      <c r="V585" s="82"/>
      <c r="Z585" s="181"/>
      <c r="AA585" s="183"/>
      <c r="AC585" s="26"/>
      <c r="AD585" s="279"/>
      <c r="AE585" s="26"/>
      <c r="AF585" s="26"/>
      <c r="AG585" s="278" t="str">
        <f t="shared" si="114"/>
        <v/>
      </c>
      <c r="AH585" s="278" t="str">
        <f t="shared" si="115"/>
        <v/>
      </c>
      <c r="AJ585" s="25"/>
      <c r="AK585" s="25"/>
      <c r="AL585" s="25"/>
      <c r="AM585" s="25"/>
      <c r="AN585" s="25"/>
      <c r="AO585" s="25"/>
      <c r="AP585" s="25"/>
      <c r="AQ585" s="25"/>
      <c r="AR585" s="25"/>
      <c r="AS585" s="25"/>
      <c r="AT585" s="25"/>
      <c r="AU585" s="25"/>
      <c r="AV585" s="43"/>
      <c r="AW585" s="43"/>
      <c r="AX585" s="114" t="s">
        <v>76</v>
      </c>
      <c r="AY585" s="43"/>
      <c r="AZ585" s="43"/>
      <c r="BA585" s="43"/>
      <c r="BB585" s="43"/>
    </row>
    <row r="586" spans="1:54" ht="12.75" customHeight="1">
      <c r="A586" s="80"/>
      <c r="B586" s="320"/>
      <c r="C586" s="272"/>
      <c r="D586" s="273"/>
      <c r="E586" s="503"/>
      <c r="F586" s="305"/>
      <c r="G586" s="265"/>
      <c r="H586" s="266"/>
      <c r="I586" s="295"/>
      <c r="J586" s="296"/>
      <c r="K586" s="296"/>
      <c r="L586" s="296"/>
      <c r="M586" s="21"/>
      <c r="N586" s="21"/>
      <c r="O586" s="21"/>
      <c r="P586" s="21"/>
      <c r="Q586" s="325"/>
      <c r="R586" s="21"/>
      <c r="S586" s="274"/>
      <c r="T586" s="21"/>
      <c r="U586" s="275"/>
      <c r="V586" s="82"/>
      <c r="Z586" s="181"/>
      <c r="AA586" s="183"/>
      <c r="AC586" s="26"/>
      <c r="AD586" s="279"/>
      <c r="AE586" s="26"/>
      <c r="AF586" s="26"/>
      <c r="AG586" s="278" t="str">
        <f t="shared" si="114"/>
        <v/>
      </c>
      <c r="AH586" s="278" t="str">
        <f t="shared" si="115"/>
        <v/>
      </c>
      <c r="AJ586" s="25"/>
      <c r="AK586" s="25"/>
      <c r="AL586" s="25"/>
      <c r="AM586" s="25"/>
      <c r="AN586" s="25"/>
      <c r="AO586" s="25"/>
      <c r="AP586" s="25"/>
      <c r="AQ586" s="25"/>
      <c r="AR586" s="25"/>
      <c r="AS586" s="25"/>
      <c r="AT586" s="25"/>
      <c r="AU586" s="25"/>
      <c r="AV586" s="43"/>
      <c r="AW586" s="43"/>
      <c r="AX586" s="114" t="s">
        <v>76</v>
      </c>
      <c r="AY586" s="43"/>
      <c r="AZ586" s="43"/>
      <c r="BA586" s="43"/>
      <c r="BB586" s="43"/>
    </row>
    <row r="587" spans="1:54" ht="12.75" customHeight="1">
      <c r="A587" s="80"/>
      <c r="B587" s="320"/>
      <c r="C587" s="272"/>
      <c r="D587" s="273"/>
      <c r="E587" s="503"/>
      <c r="F587" s="305"/>
      <c r="G587" s="265"/>
      <c r="H587" s="266"/>
      <c r="I587" s="295"/>
      <c r="J587" s="296"/>
      <c r="K587" s="296"/>
      <c r="L587" s="296"/>
      <c r="M587" s="21"/>
      <c r="N587" s="21"/>
      <c r="O587" s="21"/>
      <c r="P587" s="21"/>
      <c r="Q587" s="325"/>
      <c r="R587" s="21"/>
      <c r="S587" s="274"/>
      <c r="T587" s="21"/>
      <c r="U587" s="275"/>
      <c r="V587" s="82"/>
      <c r="Z587" s="181"/>
      <c r="AA587" s="183"/>
      <c r="AC587" s="26"/>
      <c r="AD587" s="279"/>
      <c r="AE587" s="26"/>
      <c r="AF587" s="26"/>
      <c r="AG587" s="278" t="str">
        <f t="shared" si="114"/>
        <v/>
      </c>
      <c r="AH587" s="278" t="str">
        <f t="shared" si="115"/>
        <v/>
      </c>
      <c r="AJ587" s="25"/>
      <c r="AK587" s="25"/>
      <c r="AL587" s="25"/>
      <c r="AM587" s="25"/>
      <c r="AN587" s="25"/>
      <c r="AO587" s="25"/>
      <c r="AP587" s="25"/>
      <c r="AQ587" s="25"/>
      <c r="AR587" s="25"/>
      <c r="AS587" s="25"/>
      <c r="AT587" s="25"/>
      <c r="AU587" s="25"/>
      <c r="AV587" s="43"/>
      <c r="AW587" s="43"/>
      <c r="AX587" s="114" t="s">
        <v>76</v>
      </c>
      <c r="AY587" s="43"/>
      <c r="AZ587" s="43"/>
      <c r="BA587" s="43"/>
      <c r="BB587" s="43"/>
    </row>
    <row r="588" spans="1:54" ht="12.75" customHeight="1">
      <c r="A588" s="80"/>
      <c r="B588" s="320"/>
      <c r="C588" s="272"/>
      <c r="D588" s="273"/>
      <c r="E588" s="503"/>
      <c r="F588" s="305"/>
      <c r="G588" s="265"/>
      <c r="H588" s="266"/>
      <c r="I588" s="295"/>
      <c r="J588" s="296"/>
      <c r="K588" s="296"/>
      <c r="L588" s="296"/>
      <c r="M588" s="21"/>
      <c r="N588" s="21"/>
      <c r="O588" s="21"/>
      <c r="P588" s="21"/>
      <c r="Q588" s="325"/>
      <c r="R588" s="21"/>
      <c r="S588" s="274"/>
      <c r="T588" s="21"/>
      <c r="U588" s="275"/>
      <c r="V588" s="82"/>
      <c r="Z588" s="181"/>
      <c r="AA588" s="183"/>
      <c r="AC588" s="26"/>
      <c r="AD588" s="279"/>
      <c r="AE588" s="26"/>
      <c r="AF588" s="26"/>
      <c r="AG588" s="278" t="str">
        <f t="shared" si="114"/>
        <v/>
      </c>
      <c r="AH588" s="278" t="str">
        <f t="shared" si="115"/>
        <v/>
      </c>
      <c r="AJ588" s="25"/>
      <c r="AK588" s="25"/>
      <c r="AL588" s="25"/>
      <c r="AM588" s="25"/>
      <c r="AN588" s="25"/>
      <c r="AO588" s="25"/>
      <c r="AP588" s="25"/>
      <c r="AQ588" s="25"/>
      <c r="AR588" s="25"/>
      <c r="AS588" s="25"/>
      <c r="AT588" s="25"/>
      <c r="AU588" s="25"/>
      <c r="AV588" s="43"/>
      <c r="AW588" s="43"/>
      <c r="AX588" s="114" t="s">
        <v>76</v>
      </c>
      <c r="AY588" s="43"/>
      <c r="AZ588" s="43"/>
      <c r="BA588" s="43"/>
      <c r="BB588" s="43"/>
    </row>
    <row r="589" spans="1:54" ht="12.75" customHeight="1">
      <c r="A589" s="80"/>
      <c r="B589" s="320"/>
      <c r="C589" s="272"/>
      <c r="D589" s="273"/>
      <c r="E589" s="503"/>
      <c r="F589" s="305"/>
      <c r="G589" s="265"/>
      <c r="H589" s="266"/>
      <c r="I589" s="295"/>
      <c r="J589" s="296"/>
      <c r="K589" s="296"/>
      <c r="L589" s="296"/>
      <c r="M589" s="21"/>
      <c r="N589" s="21"/>
      <c r="O589" s="21"/>
      <c r="P589" s="21"/>
      <c r="Q589" s="325"/>
      <c r="R589" s="21"/>
      <c r="S589" s="274"/>
      <c r="T589" s="21"/>
      <c r="U589" s="275"/>
      <c r="V589" s="82"/>
      <c r="Z589" s="181"/>
      <c r="AA589" s="183"/>
      <c r="AC589" s="26"/>
      <c r="AD589" s="279"/>
      <c r="AE589" s="26"/>
      <c r="AF589" s="26"/>
      <c r="AG589" s="278" t="str">
        <f t="shared" si="114"/>
        <v/>
      </c>
      <c r="AH589" s="278" t="str">
        <f t="shared" si="115"/>
        <v/>
      </c>
      <c r="AJ589" s="25"/>
      <c r="AK589" s="25"/>
      <c r="AL589" s="25"/>
      <c r="AM589" s="25"/>
      <c r="AN589" s="25"/>
      <c r="AO589" s="25"/>
      <c r="AP589" s="25"/>
      <c r="AQ589" s="25"/>
      <c r="AR589" s="25"/>
      <c r="AS589" s="25"/>
      <c r="AT589" s="25"/>
      <c r="AU589" s="25"/>
      <c r="AV589" s="43"/>
      <c r="AW589" s="43"/>
      <c r="AX589" s="114" t="s">
        <v>76</v>
      </c>
      <c r="AY589" s="43"/>
      <c r="AZ589" s="43"/>
      <c r="BA589" s="43"/>
      <c r="BB589" s="43"/>
    </row>
    <row r="590" spans="1:54" ht="12.75" customHeight="1">
      <c r="A590" s="80"/>
      <c r="B590" s="320"/>
      <c r="C590" s="272"/>
      <c r="D590" s="273"/>
      <c r="E590" s="503"/>
      <c r="F590" s="305"/>
      <c r="G590" s="265"/>
      <c r="H590" s="266"/>
      <c r="I590" s="295"/>
      <c r="J590" s="296"/>
      <c r="K590" s="296"/>
      <c r="L590" s="296"/>
      <c r="M590" s="21"/>
      <c r="N590" s="21"/>
      <c r="O590" s="21"/>
      <c r="P590" s="21"/>
      <c r="Q590" s="325"/>
      <c r="R590" s="21"/>
      <c r="S590" s="274"/>
      <c r="T590" s="21"/>
      <c r="U590" s="275"/>
      <c r="V590" s="82"/>
      <c r="Z590" s="181"/>
      <c r="AA590" s="183"/>
      <c r="AC590" s="26"/>
      <c r="AD590" s="279"/>
      <c r="AE590" s="26"/>
      <c r="AF590" s="26"/>
      <c r="AG590" s="278" t="str">
        <f t="shared" si="114"/>
        <v/>
      </c>
      <c r="AH590" s="278" t="str">
        <f t="shared" si="115"/>
        <v/>
      </c>
      <c r="AJ590" s="25"/>
      <c r="AK590" s="25"/>
      <c r="AL590" s="25"/>
      <c r="AM590" s="25"/>
      <c r="AN590" s="25"/>
      <c r="AO590" s="25"/>
      <c r="AP590" s="25"/>
      <c r="AQ590" s="25"/>
      <c r="AR590" s="25"/>
      <c r="AS590" s="25"/>
      <c r="AT590" s="25"/>
      <c r="AU590" s="25"/>
      <c r="AV590" s="43"/>
      <c r="AW590" s="43"/>
      <c r="AX590" s="114" t="s">
        <v>76</v>
      </c>
      <c r="AY590" s="43"/>
      <c r="AZ590" s="43"/>
      <c r="BA590" s="43"/>
      <c r="BB590" s="43"/>
    </row>
    <row r="591" spans="1:54" ht="12.75" customHeight="1">
      <c r="A591" s="80"/>
      <c r="B591" s="320"/>
      <c r="C591" s="272"/>
      <c r="D591" s="273"/>
      <c r="E591" s="503"/>
      <c r="F591" s="305"/>
      <c r="G591" s="265"/>
      <c r="H591" s="266"/>
      <c r="I591" s="295"/>
      <c r="J591" s="296"/>
      <c r="K591" s="296"/>
      <c r="L591" s="296"/>
      <c r="M591" s="21"/>
      <c r="N591" s="21"/>
      <c r="O591" s="21"/>
      <c r="P591" s="21"/>
      <c r="Q591" s="325"/>
      <c r="R591" s="21"/>
      <c r="S591" s="274"/>
      <c r="T591" s="21"/>
      <c r="U591" s="275"/>
      <c r="V591" s="82"/>
      <c r="Z591" s="181"/>
      <c r="AA591" s="183"/>
      <c r="AC591" s="26"/>
      <c r="AD591" s="279"/>
      <c r="AE591" s="26"/>
      <c r="AF591" s="26"/>
      <c r="AG591" s="278" t="str">
        <f t="shared" si="114"/>
        <v/>
      </c>
      <c r="AH591" s="278" t="str">
        <f t="shared" si="115"/>
        <v/>
      </c>
      <c r="AJ591" s="25"/>
      <c r="AK591" s="25"/>
      <c r="AL591" s="25"/>
      <c r="AM591" s="25"/>
      <c r="AN591" s="25"/>
      <c r="AO591" s="25"/>
      <c r="AP591" s="25"/>
      <c r="AQ591" s="25"/>
      <c r="AR591" s="25"/>
      <c r="AS591" s="25"/>
      <c r="AT591" s="25"/>
      <c r="AU591" s="25"/>
      <c r="AV591" s="43"/>
      <c r="AW591" s="43"/>
      <c r="AX591" s="114" t="s">
        <v>76</v>
      </c>
      <c r="AY591" s="43"/>
      <c r="AZ591" s="43"/>
      <c r="BA591" s="43"/>
      <c r="BB591" s="43"/>
    </row>
    <row r="592" spans="1:54" ht="12.75" customHeight="1">
      <c r="A592" s="80"/>
      <c r="B592" s="320"/>
      <c r="C592" s="272"/>
      <c r="D592" s="273"/>
      <c r="E592" s="503"/>
      <c r="F592" s="305"/>
      <c r="G592" s="265"/>
      <c r="H592" s="266"/>
      <c r="I592" s="295"/>
      <c r="J592" s="296"/>
      <c r="K592" s="296"/>
      <c r="L592" s="296"/>
      <c r="M592" s="21"/>
      <c r="N592" s="21"/>
      <c r="O592" s="21"/>
      <c r="P592" s="21"/>
      <c r="Q592" s="325"/>
      <c r="R592" s="21"/>
      <c r="S592" s="274"/>
      <c r="T592" s="21"/>
      <c r="U592" s="275"/>
      <c r="V592" s="82"/>
      <c r="Z592" s="181"/>
      <c r="AA592" s="183"/>
      <c r="AC592" s="26"/>
      <c r="AD592" s="279"/>
      <c r="AE592" s="26"/>
      <c r="AF592" s="26"/>
      <c r="AG592" s="278" t="str">
        <f t="shared" si="114"/>
        <v/>
      </c>
      <c r="AH592" s="278" t="str">
        <f t="shared" si="115"/>
        <v/>
      </c>
      <c r="AJ592" s="25"/>
      <c r="AK592" s="25"/>
      <c r="AL592" s="25"/>
      <c r="AM592" s="25"/>
      <c r="AN592" s="25"/>
      <c r="AO592" s="25"/>
      <c r="AP592" s="25"/>
      <c r="AQ592" s="25"/>
      <c r="AR592" s="25"/>
      <c r="AS592" s="25"/>
      <c r="AT592" s="25"/>
      <c r="AU592" s="25"/>
      <c r="AV592" s="43"/>
      <c r="AW592" s="43"/>
      <c r="AX592" s="114" t="s">
        <v>76</v>
      </c>
      <c r="AY592" s="43"/>
      <c r="AZ592" s="43"/>
      <c r="BA592" s="43"/>
      <c r="BB592" s="43"/>
    </row>
    <row r="593" spans="1:54" ht="12.75" customHeight="1">
      <c r="A593" s="80"/>
      <c r="B593" s="320"/>
      <c r="C593" s="272"/>
      <c r="D593" s="273"/>
      <c r="E593" s="503"/>
      <c r="F593" s="305"/>
      <c r="G593" s="265"/>
      <c r="H593" s="266"/>
      <c r="I593" s="295"/>
      <c r="J593" s="296"/>
      <c r="K593" s="296"/>
      <c r="L593" s="296"/>
      <c r="M593" s="21"/>
      <c r="N593" s="21"/>
      <c r="O593" s="21"/>
      <c r="P593" s="21"/>
      <c r="Q593" s="325"/>
      <c r="R593" s="21"/>
      <c r="S593" s="274"/>
      <c r="T593" s="21"/>
      <c r="U593" s="275"/>
      <c r="V593" s="82"/>
      <c r="Z593" s="181"/>
      <c r="AA593" s="183"/>
      <c r="AC593" s="26"/>
      <c r="AD593" s="279"/>
      <c r="AE593" s="26"/>
      <c r="AF593" s="26"/>
      <c r="AG593" s="278" t="str">
        <f t="shared" si="114"/>
        <v/>
      </c>
      <c r="AH593" s="278" t="str">
        <f t="shared" si="115"/>
        <v/>
      </c>
      <c r="AJ593" s="25"/>
      <c r="AK593" s="25"/>
      <c r="AL593" s="25"/>
      <c r="AM593" s="25"/>
      <c r="AN593" s="25"/>
      <c r="AO593" s="25"/>
      <c r="AP593" s="25"/>
      <c r="AQ593" s="25"/>
      <c r="AR593" s="25"/>
      <c r="AS593" s="25"/>
      <c r="AT593" s="25"/>
      <c r="AU593" s="25"/>
      <c r="AV593" s="43"/>
      <c r="AW593" s="43"/>
      <c r="AX593" s="114" t="s">
        <v>76</v>
      </c>
      <c r="AY593" s="43"/>
      <c r="AZ593" s="43"/>
      <c r="BA593" s="43"/>
      <c r="BB593" s="43"/>
    </row>
    <row r="594" spans="1:54" ht="12.75" customHeight="1">
      <c r="A594" s="80"/>
      <c r="B594" s="320"/>
      <c r="C594" s="272"/>
      <c r="D594" s="273"/>
      <c r="E594" s="503"/>
      <c r="F594" s="305"/>
      <c r="G594" s="265"/>
      <c r="H594" s="266"/>
      <c r="I594" s="295"/>
      <c r="J594" s="296"/>
      <c r="K594" s="296"/>
      <c r="L594" s="296"/>
      <c r="M594" s="21"/>
      <c r="N594" s="21"/>
      <c r="O594" s="21"/>
      <c r="P594" s="21"/>
      <c r="Q594" s="325"/>
      <c r="R594" s="21"/>
      <c r="S594" s="274"/>
      <c r="T594" s="21"/>
      <c r="U594" s="275"/>
      <c r="V594" s="82"/>
      <c r="Z594" s="181"/>
      <c r="AA594" s="183"/>
      <c r="AC594" s="26"/>
      <c r="AD594" s="279"/>
      <c r="AE594" s="26"/>
      <c r="AF594" s="26"/>
      <c r="AG594" s="278" t="str">
        <f t="shared" si="114"/>
        <v/>
      </c>
      <c r="AH594" s="278" t="str">
        <f t="shared" si="115"/>
        <v/>
      </c>
      <c r="AJ594" s="25"/>
      <c r="AK594" s="25"/>
      <c r="AL594" s="25"/>
      <c r="AM594" s="25"/>
      <c r="AN594" s="25"/>
      <c r="AO594" s="25"/>
      <c r="AP594" s="25"/>
      <c r="AQ594" s="25"/>
      <c r="AR594" s="25"/>
      <c r="AS594" s="25"/>
      <c r="AT594" s="25"/>
      <c r="AU594" s="25"/>
      <c r="AV594" s="43"/>
      <c r="AW594" s="43"/>
      <c r="AX594" s="114" t="s">
        <v>76</v>
      </c>
      <c r="AY594" s="43"/>
      <c r="AZ594" s="43"/>
      <c r="BA594" s="43"/>
      <c r="BB594" s="43"/>
    </row>
    <row r="595" spans="1:54" ht="12.75" customHeight="1">
      <c r="A595" s="80"/>
      <c r="B595" s="320"/>
      <c r="C595" s="272"/>
      <c r="D595" s="273"/>
      <c r="E595" s="503"/>
      <c r="F595" s="305"/>
      <c r="G595" s="265"/>
      <c r="H595" s="266"/>
      <c r="I595" s="295"/>
      <c r="J595" s="296"/>
      <c r="K595" s="296"/>
      <c r="L595" s="296"/>
      <c r="M595" s="21"/>
      <c r="N595" s="21"/>
      <c r="O595" s="21"/>
      <c r="P595" s="21"/>
      <c r="Q595" s="325"/>
      <c r="R595" s="21"/>
      <c r="S595" s="274"/>
      <c r="T595" s="21"/>
      <c r="U595" s="275"/>
      <c r="V595" s="82"/>
      <c r="Z595" s="181"/>
      <c r="AA595" s="183"/>
      <c r="AC595" s="26"/>
      <c r="AD595" s="279"/>
      <c r="AE595" s="26"/>
      <c r="AF595" s="26"/>
      <c r="AG595" s="278" t="str">
        <f t="shared" si="114"/>
        <v/>
      </c>
      <c r="AH595" s="278" t="str">
        <f t="shared" si="115"/>
        <v/>
      </c>
      <c r="AJ595" s="25"/>
      <c r="AK595" s="25"/>
      <c r="AL595" s="25"/>
      <c r="AM595" s="25"/>
      <c r="AN595" s="25"/>
      <c r="AO595" s="25"/>
      <c r="AP595" s="25"/>
      <c r="AQ595" s="25"/>
      <c r="AR595" s="25"/>
      <c r="AS595" s="25"/>
      <c r="AT595" s="25"/>
      <c r="AU595" s="25"/>
      <c r="AV595" s="43"/>
      <c r="AW595" s="43"/>
      <c r="AX595" s="114" t="s">
        <v>76</v>
      </c>
      <c r="AY595" s="43"/>
      <c r="AZ595" s="43"/>
      <c r="BA595" s="43"/>
      <c r="BB595" s="43"/>
    </row>
    <row r="596" spans="1:54" ht="12.75" customHeight="1">
      <c r="A596" s="80"/>
      <c r="B596" s="320"/>
      <c r="C596" s="272"/>
      <c r="D596" s="273"/>
      <c r="E596" s="503"/>
      <c r="F596" s="305"/>
      <c r="G596" s="265"/>
      <c r="H596" s="266"/>
      <c r="I596" s="295"/>
      <c r="J596" s="296"/>
      <c r="K596" s="296"/>
      <c r="L596" s="296"/>
      <c r="M596" s="21"/>
      <c r="N596" s="21"/>
      <c r="O596" s="21"/>
      <c r="P596" s="21"/>
      <c r="Q596" s="325"/>
      <c r="R596" s="21"/>
      <c r="S596" s="274"/>
      <c r="T596" s="21"/>
      <c r="U596" s="275"/>
      <c r="V596" s="82"/>
      <c r="Z596" s="181"/>
      <c r="AA596" s="183"/>
      <c r="AB596" s="30"/>
      <c r="AC596" s="29"/>
      <c r="AD596" s="279"/>
      <c r="AE596" s="26"/>
      <c r="AF596" s="26"/>
      <c r="AG596" s="278" t="str">
        <f t="shared" si="114"/>
        <v/>
      </c>
      <c r="AH596" s="278" t="str">
        <f t="shared" si="115"/>
        <v/>
      </c>
      <c r="AJ596" s="25"/>
      <c r="AK596" s="25"/>
      <c r="AL596" s="25"/>
      <c r="AM596" s="25"/>
      <c r="AN596" s="25"/>
      <c r="AO596" s="25"/>
      <c r="AP596" s="25"/>
      <c r="AQ596" s="25"/>
      <c r="AR596" s="25"/>
      <c r="AS596" s="25"/>
      <c r="AT596" s="25"/>
      <c r="AU596" s="25"/>
      <c r="AV596" s="43"/>
      <c r="AW596" s="43"/>
      <c r="AX596" s="114" t="s">
        <v>76</v>
      </c>
      <c r="AY596" s="43"/>
      <c r="AZ596" s="43"/>
      <c r="BA596" s="43"/>
      <c r="BB596" s="43"/>
    </row>
    <row r="597" spans="1:54" ht="12.75" customHeight="1">
      <c r="A597" s="80"/>
      <c r="B597" s="320"/>
      <c r="C597" s="272"/>
      <c r="D597" s="273"/>
      <c r="E597" s="503"/>
      <c r="F597" s="305"/>
      <c r="G597" s="265"/>
      <c r="H597" s="266"/>
      <c r="I597" s="295"/>
      <c r="J597" s="296"/>
      <c r="K597" s="296"/>
      <c r="L597" s="296"/>
      <c r="M597" s="21"/>
      <c r="N597" s="21"/>
      <c r="O597" s="21"/>
      <c r="P597" s="21"/>
      <c r="Q597" s="325"/>
      <c r="R597" s="21"/>
      <c r="S597" s="274"/>
      <c r="T597" s="21"/>
      <c r="U597" s="275"/>
      <c r="V597" s="82"/>
      <c r="Z597" s="181"/>
      <c r="AA597" s="183"/>
      <c r="AC597" s="26"/>
      <c r="AD597" s="279"/>
      <c r="AE597" s="26"/>
      <c r="AF597" s="26"/>
      <c r="AG597" s="278" t="str">
        <f t="shared" si="114"/>
        <v/>
      </c>
      <c r="AH597" s="278" t="str">
        <f t="shared" si="115"/>
        <v/>
      </c>
      <c r="AJ597" s="25"/>
      <c r="AK597" s="25"/>
      <c r="AL597" s="25"/>
      <c r="AM597" s="25"/>
      <c r="AN597" s="25"/>
      <c r="AO597" s="25"/>
      <c r="AP597" s="25"/>
      <c r="AQ597" s="25"/>
      <c r="AR597" s="25"/>
      <c r="AS597" s="25"/>
      <c r="AT597" s="25"/>
      <c r="AU597" s="25"/>
      <c r="AV597" s="43"/>
      <c r="AW597" s="43"/>
      <c r="AX597" s="114" t="s">
        <v>76</v>
      </c>
      <c r="AY597" s="43"/>
      <c r="AZ597" s="43"/>
      <c r="BA597" s="43"/>
      <c r="BB597" s="43"/>
    </row>
    <row r="598" spans="1:54" ht="12.75" customHeight="1">
      <c r="A598" s="80"/>
      <c r="B598" s="320"/>
      <c r="C598" s="272"/>
      <c r="D598" s="273"/>
      <c r="E598" s="503"/>
      <c r="F598" s="305"/>
      <c r="G598" s="265"/>
      <c r="H598" s="266"/>
      <c r="I598" s="295"/>
      <c r="J598" s="296"/>
      <c r="K598" s="296"/>
      <c r="L598" s="296"/>
      <c r="M598" s="21"/>
      <c r="N598" s="21"/>
      <c r="O598" s="21"/>
      <c r="P598" s="21"/>
      <c r="Q598" s="325"/>
      <c r="R598" s="21"/>
      <c r="S598" s="274"/>
      <c r="T598" s="21"/>
      <c r="U598" s="275"/>
      <c r="V598" s="82"/>
      <c r="Z598" s="181"/>
      <c r="AA598" s="183"/>
      <c r="AC598" s="26"/>
      <c r="AD598" s="279"/>
      <c r="AE598" s="26"/>
      <c r="AF598" s="26"/>
      <c r="AG598" s="278" t="str">
        <f t="shared" si="114"/>
        <v/>
      </c>
      <c r="AH598" s="278" t="str">
        <f t="shared" si="115"/>
        <v/>
      </c>
      <c r="AJ598" s="25"/>
      <c r="AK598" s="25"/>
      <c r="AL598" s="25"/>
      <c r="AM598" s="25"/>
      <c r="AN598" s="25"/>
      <c r="AO598" s="25"/>
      <c r="AP598" s="25"/>
      <c r="AQ598" s="25"/>
      <c r="AR598" s="25"/>
      <c r="AS598" s="25"/>
      <c r="AT598" s="25"/>
      <c r="AU598" s="25"/>
      <c r="AV598" s="43"/>
      <c r="AW598" s="43"/>
      <c r="AX598" s="114" t="s">
        <v>76</v>
      </c>
      <c r="AY598" s="43"/>
      <c r="AZ598" s="43"/>
      <c r="BA598" s="43"/>
      <c r="BB598" s="43"/>
    </row>
    <row r="599" spans="1:54" ht="12.75" customHeight="1">
      <c r="A599" s="80"/>
      <c r="B599" s="320"/>
      <c r="C599" s="272"/>
      <c r="D599" s="273"/>
      <c r="E599" s="503"/>
      <c r="F599" s="305"/>
      <c r="G599" s="265"/>
      <c r="H599" s="266"/>
      <c r="I599" s="295"/>
      <c r="J599" s="296"/>
      <c r="K599" s="296"/>
      <c r="L599" s="296"/>
      <c r="M599" s="21"/>
      <c r="N599" s="21"/>
      <c r="O599" s="21"/>
      <c r="P599" s="21"/>
      <c r="Q599" s="325"/>
      <c r="R599" s="21"/>
      <c r="S599" s="274"/>
      <c r="T599" s="21"/>
      <c r="U599" s="275"/>
      <c r="V599" s="82"/>
      <c r="Z599" s="181"/>
      <c r="AA599" s="183"/>
      <c r="AC599" s="26"/>
      <c r="AD599" s="279"/>
      <c r="AE599" s="26"/>
      <c r="AF599" s="26"/>
      <c r="AG599" s="278" t="str">
        <f t="shared" si="114"/>
        <v/>
      </c>
      <c r="AH599" s="278" t="str">
        <f t="shared" si="115"/>
        <v/>
      </c>
      <c r="AJ599" s="25"/>
      <c r="AK599" s="25"/>
      <c r="AL599" s="25"/>
      <c r="AM599" s="25"/>
      <c r="AN599" s="25"/>
      <c r="AO599" s="25"/>
      <c r="AP599" s="25"/>
      <c r="AQ599" s="25"/>
      <c r="AR599" s="25"/>
      <c r="AS599" s="25"/>
      <c r="AT599" s="25"/>
      <c r="AU599" s="25"/>
      <c r="AV599" s="43"/>
      <c r="AW599" s="43"/>
      <c r="AX599" s="114" t="s">
        <v>76</v>
      </c>
      <c r="AY599" s="43"/>
      <c r="AZ599" s="43"/>
      <c r="BA599" s="43"/>
      <c r="BB599" s="43"/>
    </row>
    <row r="600" spans="1:54" ht="12.75" customHeight="1">
      <c r="A600" s="80"/>
      <c r="B600" s="320"/>
      <c r="C600" s="272"/>
      <c r="D600" s="273"/>
      <c r="E600" s="503"/>
      <c r="F600" s="305"/>
      <c r="G600" s="265"/>
      <c r="H600" s="266"/>
      <c r="I600" s="295"/>
      <c r="J600" s="296"/>
      <c r="K600" s="296"/>
      <c r="L600" s="296"/>
      <c r="M600" s="21"/>
      <c r="N600" s="21"/>
      <c r="O600" s="21"/>
      <c r="P600" s="21"/>
      <c r="Q600" s="325"/>
      <c r="R600" s="21"/>
      <c r="S600" s="274"/>
      <c r="T600" s="21"/>
      <c r="U600" s="275"/>
      <c r="V600" s="82"/>
      <c r="Z600" s="181"/>
      <c r="AA600" s="183"/>
      <c r="AC600" s="26"/>
      <c r="AD600" s="279"/>
      <c r="AE600" s="26"/>
      <c r="AF600" s="26"/>
      <c r="AG600" s="278" t="str">
        <f t="shared" si="114"/>
        <v/>
      </c>
      <c r="AH600" s="278" t="str">
        <f t="shared" si="115"/>
        <v/>
      </c>
      <c r="AJ600" s="25"/>
      <c r="AK600" s="25"/>
      <c r="AL600" s="25"/>
      <c r="AM600" s="25"/>
      <c r="AN600" s="25"/>
      <c r="AO600" s="25"/>
      <c r="AP600" s="25"/>
      <c r="AQ600" s="25"/>
      <c r="AR600" s="25"/>
      <c r="AS600" s="25"/>
      <c r="AT600" s="25"/>
      <c r="AU600" s="25"/>
      <c r="AV600" s="43"/>
      <c r="AW600" s="43"/>
      <c r="AX600" s="114" t="s">
        <v>76</v>
      </c>
      <c r="AY600" s="43"/>
      <c r="AZ600" s="43"/>
      <c r="BA600" s="43"/>
      <c r="BB600" s="43"/>
    </row>
    <row r="601" spans="1:54" ht="12.75" customHeight="1">
      <c r="A601" s="80"/>
      <c r="B601" s="320"/>
      <c r="C601" s="272"/>
      <c r="D601" s="273"/>
      <c r="E601" s="503"/>
      <c r="F601" s="305"/>
      <c r="G601" s="265"/>
      <c r="H601" s="266"/>
      <c r="I601" s="295"/>
      <c r="J601" s="296"/>
      <c r="K601" s="296"/>
      <c r="L601" s="296"/>
      <c r="M601" s="21"/>
      <c r="N601" s="21"/>
      <c r="O601" s="21"/>
      <c r="P601" s="21"/>
      <c r="Q601" s="325"/>
      <c r="R601" s="21"/>
      <c r="S601" s="274"/>
      <c r="T601" s="21"/>
      <c r="U601" s="275"/>
      <c r="V601" s="82"/>
      <c r="Z601" s="181"/>
      <c r="AA601" s="183"/>
      <c r="AC601" s="26"/>
      <c r="AD601" s="279"/>
      <c r="AE601" s="26"/>
      <c r="AF601" s="26"/>
      <c r="AG601" s="278" t="str">
        <f t="shared" si="114"/>
        <v/>
      </c>
      <c r="AH601" s="278" t="str">
        <f t="shared" si="115"/>
        <v/>
      </c>
      <c r="AJ601" s="25"/>
      <c r="AK601" s="25"/>
      <c r="AL601" s="25"/>
      <c r="AM601" s="25"/>
      <c r="AN601" s="25"/>
      <c r="AO601" s="25"/>
      <c r="AP601" s="25"/>
      <c r="AQ601" s="25"/>
      <c r="AR601" s="25"/>
      <c r="AS601" s="25"/>
      <c r="AT601" s="25"/>
      <c r="AU601" s="25"/>
      <c r="AV601" s="43"/>
      <c r="AW601" s="43"/>
      <c r="AX601" s="114" t="s">
        <v>76</v>
      </c>
      <c r="AY601" s="43"/>
      <c r="AZ601" s="43"/>
      <c r="BA601" s="43"/>
      <c r="BB601" s="43"/>
    </row>
    <row r="602" spans="1:54" ht="12.75" customHeight="1">
      <c r="A602" s="80"/>
      <c r="B602" s="320"/>
      <c r="C602" s="272"/>
      <c r="D602" s="273"/>
      <c r="E602" s="503"/>
      <c r="F602" s="305"/>
      <c r="G602" s="265"/>
      <c r="H602" s="266"/>
      <c r="I602" s="295"/>
      <c r="J602" s="296"/>
      <c r="K602" s="296"/>
      <c r="L602" s="296"/>
      <c r="M602" s="21"/>
      <c r="N602" s="21"/>
      <c r="O602" s="21"/>
      <c r="P602" s="21"/>
      <c r="Q602" s="325"/>
      <c r="R602" s="21"/>
      <c r="S602" s="274"/>
      <c r="T602" s="21"/>
      <c r="U602" s="275"/>
      <c r="V602" s="82"/>
      <c r="Z602" s="181"/>
      <c r="AA602" s="183"/>
      <c r="AC602" s="26"/>
      <c r="AD602" s="279"/>
      <c r="AE602" s="26"/>
      <c r="AF602" s="26"/>
      <c r="AG602" s="278" t="str">
        <f t="shared" si="114"/>
        <v/>
      </c>
      <c r="AH602" s="278" t="str">
        <f t="shared" si="115"/>
        <v/>
      </c>
      <c r="AJ602" s="25"/>
      <c r="AK602" s="25"/>
      <c r="AL602" s="25"/>
      <c r="AM602" s="25"/>
      <c r="AN602" s="25"/>
      <c r="AO602" s="25"/>
      <c r="AP602" s="25"/>
      <c r="AQ602" s="25"/>
      <c r="AR602" s="25"/>
      <c r="AS602" s="25"/>
      <c r="AT602" s="25"/>
      <c r="AU602" s="25"/>
      <c r="AV602" s="43"/>
      <c r="AW602" s="43"/>
      <c r="AX602" s="114" t="s">
        <v>76</v>
      </c>
      <c r="AY602" s="43"/>
      <c r="AZ602" s="43"/>
      <c r="BA602" s="43"/>
      <c r="BB602" s="43"/>
    </row>
    <row r="603" spans="1:54" ht="12.75" customHeight="1">
      <c r="A603" s="80"/>
      <c r="B603" s="320"/>
      <c r="C603" s="272"/>
      <c r="D603" s="273"/>
      <c r="E603" s="503"/>
      <c r="F603" s="305"/>
      <c r="G603" s="265"/>
      <c r="H603" s="266"/>
      <c r="I603" s="295"/>
      <c r="J603" s="296"/>
      <c r="K603" s="296"/>
      <c r="L603" s="296"/>
      <c r="M603" s="21"/>
      <c r="N603" s="21"/>
      <c r="O603" s="21"/>
      <c r="P603" s="21"/>
      <c r="Q603" s="325"/>
      <c r="R603" s="21"/>
      <c r="S603" s="274"/>
      <c r="T603" s="21"/>
      <c r="U603" s="275"/>
      <c r="V603" s="82"/>
      <c r="Z603" s="181"/>
      <c r="AA603" s="183"/>
      <c r="AC603" s="26"/>
      <c r="AD603" s="279"/>
      <c r="AE603" s="26"/>
      <c r="AF603" s="26"/>
      <c r="AG603" s="278" t="str">
        <f t="shared" si="114"/>
        <v/>
      </c>
      <c r="AH603" s="278" t="str">
        <f t="shared" si="115"/>
        <v/>
      </c>
      <c r="AJ603" s="25"/>
      <c r="AK603" s="25"/>
      <c r="AL603" s="25"/>
      <c r="AM603" s="25"/>
      <c r="AN603" s="25"/>
      <c r="AO603" s="25"/>
      <c r="AP603" s="25"/>
      <c r="AQ603" s="25"/>
      <c r="AR603" s="25"/>
      <c r="AS603" s="25"/>
      <c r="AT603" s="25"/>
      <c r="AU603" s="25"/>
      <c r="AV603" s="43"/>
      <c r="AW603" s="43"/>
      <c r="AX603" s="114" t="s">
        <v>76</v>
      </c>
      <c r="AY603" s="43"/>
      <c r="AZ603" s="43"/>
      <c r="BA603" s="43"/>
      <c r="BB603" s="43"/>
    </row>
    <row r="604" spans="1:54" ht="12.75" customHeight="1">
      <c r="A604" s="80"/>
      <c r="B604" s="320"/>
      <c r="C604" s="272"/>
      <c r="D604" s="273"/>
      <c r="E604" s="503"/>
      <c r="F604" s="305"/>
      <c r="G604" s="265"/>
      <c r="H604" s="266"/>
      <c r="I604" s="295"/>
      <c r="J604" s="296"/>
      <c r="K604" s="296"/>
      <c r="L604" s="296"/>
      <c r="M604" s="21"/>
      <c r="N604" s="21"/>
      <c r="O604" s="21"/>
      <c r="P604" s="21"/>
      <c r="Q604" s="325"/>
      <c r="R604" s="21"/>
      <c r="S604" s="274"/>
      <c r="T604" s="21"/>
      <c r="U604" s="275"/>
      <c r="V604" s="82"/>
      <c r="Z604" s="181"/>
      <c r="AA604" s="183"/>
      <c r="AC604" s="26"/>
      <c r="AD604" s="279"/>
      <c r="AE604" s="26"/>
      <c r="AF604" s="26"/>
      <c r="AG604" s="278" t="str">
        <f t="shared" si="114"/>
        <v/>
      </c>
      <c r="AH604" s="278" t="str">
        <f t="shared" si="115"/>
        <v/>
      </c>
      <c r="AJ604" s="25"/>
      <c r="AK604" s="25"/>
      <c r="AL604" s="25"/>
      <c r="AM604" s="25"/>
      <c r="AN604" s="25"/>
      <c r="AO604" s="25"/>
      <c r="AP604" s="25"/>
      <c r="AQ604" s="25"/>
      <c r="AR604" s="25"/>
      <c r="AS604" s="25"/>
      <c r="AT604" s="25"/>
      <c r="AU604" s="25"/>
      <c r="AV604" s="43"/>
      <c r="AW604" s="43"/>
      <c r="AX604" s="114" t="s">
        <v>76</v>
      </c>
      <c r="AY604" s="43"/>
      <c r="AZ604" s="43"/>
      <c r="BA604" s="43"/>
      <c r="BB604" s="43"/>
    </row>
    <row r="605" spans="1:54" ht="12.75" customHeight="1">
      <c r="A605" s="80"/>
      <c r="B605" s="320"/>
      <c r="C605" s="272"/>
      <c r="D605" s="273"/>
      <c r="E605" s="503"/>
      <c r="F605" s="305"/>
      <c r="G605" s="265"/>
      <c r="H605" s="266"/>
      <c r="I605" s="295"/>
      <c r="J605" s="296"/>
      <c r="K605" s="296"/>
      <c r="L605" s="296"/>
      <c r="M605" s="21"/>
      <c r="N605" s="21"/>
      <c r="O605" s="21"/>
      <c r="P605" s="21"/>
      <c r="Q605" s="325"/>
      <c r="R605" s="21"/>
      <c r="S605" s="274"/>
      <c r="T605" s="21"/>
      <c r="U605" s="275"/>
      <c r="V605" s="82"/>
      <c r="Z605" s="181"/>
      <c r="AA605" s="183"/>
      <c r="AB605" s="30"/>
      <c r="AC605" s="29"/>
      <c r="AD605" s="279"/>
      <c r="AE605" s="26"/>
      <c r="AF605" s="26"/>
      <c r="AG605" s="278" t="str">
        <f t="shared" si="114"/>
        <v/>
      </c>
      <c r="AH605" s="278" t="str">
        <f t="shared" si="115"/>
        <v/>
      </c>
      <c r="AJ605" s="25"/>
      <c r="AK605" s="25"/>
      <c r="AL605" s="25"/>
      <c r="AM605" s="25"/>
      <c r="AN605" s="25"/>
      <c r="AO605" s="25"/>
      <c r="AP605" s="25"/>
      <c r="AQ605" s="25"/>
      <c r="AR605" s="25"/>
      <c r="AS605" s="25"/>
      <c r="AT605" s="25"/>
      <c r="AU605" s="25"/>
      <c r="AV605" s="43"/>
      <c r="AW605" s="43"/>
      <c r="AX605" s="114" t="s">
        <v>76</v>
      </c>
      <c r="AY605" s="43"/>
      <c r="AZ605" s="43"/>
      <c r="BA605" s="43"/>
      <c r="BB605" s="43"/>
    </row>
    <row r="606" spans="1:54" ht="12.75" customHeight="1">
      <c r="A606" s="80"/>
      <c r="B606" s="320"/>
      <c r="C606" s="272"/>
      <c r="D606" s="273"/>
      <c r="E606" s="503"/>
      <c r="F606" s="305"/>
      <c r="G606" s="265"/>
      <c r="H606" s="266"/>
      <c r="I606" s="295"/>
      <c r="J606" s="296"/>
      <c r="K606" s="296"/>
      <c r="L606" s="296"/>
      <c r="M606" s="21"/>
      <c r="N606" s="21"/>
      <c r="O606" s="21"/>
      <c r="P606" s="21"/>
      <c r="Q606" s="325"/>
      <c r="R606" s="21"/>
      <c r="S606" s="274"/>
      <c r="T606" s="21"/>
      <c r="U606" s="275"/>
      <c r="V606" s="82"/>
      <c r="Z606" s="181"/>
      <c r="AA606" s="183"/>
      <c r="AC606" s="26"/>
      <c r="AD606" s="279"/>
      <c r="AE606" s="26"/>
      <c r="AF606" s="26"/>
      <c r="AG606" s="278" t="str">
        <f t="shared" si="114"/>
        <v/>
      </c>
      <c r="AH606" s="278" t="str">
        <f t="shared" si="115"/>
        <v/>
      </c>
      <c r="AJ606" s="25"/>
      <c r="AK606" s="25"/>
      <c r="AL606" s="25"/>
      <c r="AM606" s="25"/>
      <c r="AN606" s="25"/>
      <c r="AO606" s="25"/>
      <c r="AP606" s="25"/>
      <c r="AQ606" s="25"/>
      <c r="AR606" s="25"/>
      <c r="AS606" s="25"/>
      <c r="AT606" s="25"/>
      <c r="AU606" s="25"/>
      <c r="AV606" s="43"/>
      <c r="AW606" s="43"/>
      <c r="AX606" s="114" t="s">
        <v>76</v>
      </c>
      <c r="AY606" s="43"/>
      <c r="AZ606" s="43"/>
      <c r="BA606" s="43"/>
      <c r="BB606" s="43"/>
    </row>
    <row r="607" spans="1:54" ht="12.75" customHeight="1">
      <c r="A607" s="80"/>
      <c r="B607" s="320"/>
      <c r="C607" s="272"/>
      <c r="D607" s="273"/>
      <c r="E607" s="503"/>
      <c r="F607" s="305"/>
      <c r="G607" s="265"/>
      <c r="H607" s="266"/>
      <c r="I607" s="295"/>
      <c r="J607" s="296"/>
      <c r="K607" s="296"/>
      <c r="L607" s="296"/>
      <c r="M607" s="21"/>
      <c r="N607" s="21"/>
      <c r="O607" s="21"/>
      <c r="P607" s="21"/>
      <c r="Q607" s="325"/>
      <c r="R607" s="21"/>
      <c r="S607" s="274"/>
      <c r="T607" s="21"/>
      <c r="U607" s="275"/>
      <c r="V607" s="82"/>
      <c r="Z607" s="181"/>
      <c r="AA607" s="183"/>
      <c r="AC607" s="26"/>
      <c r="AD607" s="279"/>
      <c r="AE607" s="26"/>
      <c r="AF607" s="26"/>
      <c r="AG607" s="278" t="str">
        <f t="shared" si="114"/>
        <v/>
      </c>
      <c r="AH607" s="278" t="str">
        <f t="shared" si="115"/>
        <v/>
      </c>
      <c r="AJ607" s="25"/>
      <c r="AK607" s="25"/>
      <c r="AL607" s="25"/>
      <c r="AM607" s="25"/>
      <c r="AN607" s="25"/>
      <c r="AO607" s="25"/>
      <c r="AP607" s="25"/>
      <c r="AQ607" s="25"/>
      <c r="AR607" s="25"/>
      <c r="AS607" s="25"/>
      <c r="AT607" s="25"/>
      <c r="AU607" s="25"/>
      <c r="AV607" s="43"/>
      <c r="AW607" s="43"/>
      <c r="AX607" s="114" t="s">
        <v>76</v>
      </c>
      <c r="AY607" s="43"/>
      <c r="AZ607" s="43"/>
      <c r="BA607" s="43"/>
      <c r="BB607" s="43"/>
    </row>
    <row r="608" spans="1:54" ht="12.75" customHeight="1">
      <c r="A608" s="80"/>
      <c r="B608" s="320"/>
      <c r="C608" s="272"/>
      <c r="D608" s="273"/>
      <c r="E608" s="503"/>
      <c r="F608" s="305"/>
      <c r="G608" s="265"/>
      <c r="H608" s="266"/>
      <c r="I608" s="295"/>
      <c r="J608" s="296"/>
      <c r="K608" s="296"/>
      <c r="L608" s="296"/>
      <c r="M608" s="21"/>
      <c r="N608" s="21"/>
      <c r="O608" s="21"/>
      <c r="P608" s="21"/>
      <c r="Q608" s="325"/>
      <c r="R608" s="21"/>
      <c r="S608" s="274"/>
      <c r="T608" s="21"/>
      <c r="U608" s="275"/>
      <c r="V608" s="82"/>
      <c r="Z608" s="181"/>
      <c r="AA608" s="183"/>
      <c r="AC608" s="26"/>
      <c r="AD608" s="279"/>
      <c r="AE608" s="26"/>
      <c r="AF608" s="26"/>
      <c r="AG608" s="278" t="str">
        <f t="shared" si="114"/>
        <v/>
      </c>
      <c r="AH608" s="278" t="str">
        <f t="shared" si="115"/>
        <v/>
      </c>
      <c r="AJ608" s="25"/>
      <c r="AK608" s="25"/>
      <c r="AL608" s="25"/>
      <c r="AM608" s="25"/>
      <c r="AN608" s="25"/>
      <c r="AO608" s="25"/>
      <c r="AP608" s="25"/>
      <c r="AQ608" s="25"/>
      <c r="AR608" s="25"/>
      <c r="AS608" s="25"/>
      <c r="AT608" s="25"/>
      <c r="AU608" s="25"/>
      <c r="AV608" s="43"/>
      <c r="AW608" s="43"/>
      <c r="AX608" s="114" t="s">
        <v>76</v>
      </c>
      <c r="AY608" s="43"/>
      <c r="AZ608" s="43"/>
      <c r="BA608" s="43"/>
      <c r="BB608" s="43"/>
    </row>
    <row r="609" spans="1:54" ht="12.75" customHeight="1">
      <c r="A609" s="80"/>
      <c r="B609" s="320"/>
      <c r="C609" s="272"/>
      <c r="D609" s="273"/>
      <c r="E609" s="503"/>
      <c r="F609" s="305"/>
      <c r="G609" s="265"/>
      <c r="H609" s="266"/>
      <c r="I609" s="295"/>
      <c r="J609" s="296"/>
      <c r="K609" s="296"/>
      <c r="L609" s="296"/>
      <c r="M609" s="21"/>
      <c r="N609" s="21"/>
      <c r="O609" s="21"/>
      <c r="P609" s="21"/>
      <c r="Q609" s="325"/>
      <c r="R609" s="21"/>
      <c r="S609" s="274"/>
      <c r="T609" s="21"/>
      <c r="U609" s="275"/>
      <c r="V609" s="82"/>
      <c r="Z609" s="181"/>
      <c r="AA609" s="183"/>
      <c r="AC609" s="26"/>
      <c r="AD609" s="279"/>
      <c r="AE609" s="26"/>
      <c r="AF609" s="26"/>
      <c r="AG609" s="278" t="str">
        <f t="shared" si="114"/>
        <v/>
      </c>
      <c r="AH609" s="278" t="str">
        <f t="shared" si="115"/>
        <v/>
      </c>
      <c r="AJ609" s="25"/>
      <c r="AK609" s="25"/>
      <c r="AL609" s="25"/>
      <c r="AM609" s="25"/>
      <c r="AN609" s="25"/>
      <c r="AO609" s="25"/>
      <c r="AP609" s="25"/>
      <c r="AQ609" s="25"/>
      <c r="AR609" s="25"/>
      <c r="AS609" s="25"/>
      <c r="AT609" s="25"/>
      <c r="AU609" s="25"/>
      <c r="AV609" s="43"/>
      <c r="AW609" s="43"/>
      <c r="AX609" s="114" t="s">
        <v>76</v>
      </c>
      <c r="AY609" s="43"/>
      <c r="AZ609" s="43"/>
      <c r="BA609" s="43"/>
      <c r="BB609" s="43"/>
    </row>
    <row r="610" spans="1:54" ht="12.75" customHeight="1">
      <c r="A610" s="80"/>
      <c r="B610" s="320"/>
      <c r="C610" s="272"/>
      <c r="D610" s="273"/>
      <c r="E610" s="503"/>
      <c r="F610" s="305"/>
      <c r="G610" s="265"/>
      <c r="H610" s="266"/>
      <c r="I610" s="295"/>
      <c r="J610" s="296"/>
      <c r="K610" s="296"/>
      <c r="L610" s="296"/>
      <c r="M610" s="21"/>
      <c r="N610" s="21"/>
      <c r="O610" s="21"/>
      <c r="P610" s="21"/>
      <c r="Q610" s="325"/>
      <c r="R610" s="21"/>
      <c r="S610" s="274"/>
      <c r="T610" s="21"/>
      <c r="U610" s="275"/>
      <c r="V610" s="82"/>
      <c r="Z610" s="181"/>
      <c r="AA610" s="183"/>
      <c r="AB610" s="32"/>
      <c r="AC610" s="32"/>
      <c r="AD610" s="279"/>
      <c r="AE610" s="26"/>
      <c r="AF610" s="26"/>
      <c r="AG610" s="278" t="str">
        <f t="shared" si="114"/>
        <v/>
      </c>
      <c r="AH610" s="278" t="str">
        <f t="shared" si="115"/>
        <v/>
      </c>
      <c r="AJ610" s="25"/>
      <c r="AK610" s="25"/>
      <c r="AL610" s="25"/>
      <c r="AM610" s="25"/>
      <c r="AN610" s="25"/>
      <c r="AO610" s="25"/>
      <c r="AP610" s="25"/>
      <c r="AQ610" s="25"/>
      <c r="AR610" s="25"/>
      <c r="AS610" s="25"/>
      <c r="AT610" s="25"/>
      <c r="AU610" s="25"/>
      <c r="AV610" s="43"/>
      <c r="AW610" s="43"/>
      <c r="AX610" s="114" t="s">
        <v>76</v>
      </c>
      <c r="AY610" s="43"/>
      <c r="AZ610" s="43"/>
      <c r="BA610" s="43"/>
      <c r="BB610" s="43"/>
    </row>
    <row r="611" spans="1:54" ht="12.75" customHeight="1">
      <c r="A611" s="80"/>
      <c r="B611" s="320"/>
      <c r="C611" s="272"/>
      <c r="D611" s="273"/>
      <c r="E611" s="503"/>
      <c r="F611" s="305"/>
      <c r="G611" s="265"/>
      <c r="H611" s="266"/>
      <c r="I611" s="295"/>
      <c r="J611" s="296"/>
      <c r="K611" s="296"/>
      <c r="L611" s="296"/>
      <c r="M611" s="21"/>
      <c r="N611" s="21"/>
      <c r="O611" s="21"/>
      <c r="P611" s="21"/>
      <c r="Q611" s="325"/>
      <c r="R611" s="21"/>
      <c r="S611" s="274"/>
      <c r="T611" s="21"/>
      <c r="U611" s="275"/>
      <c r="V611" s="82"/>
      <c r="Z611" s="181"/>
      <c r="AA611" s="183"/>
      <c r="AB611" s="35"/>
      <c r="AC611" s="25"/>
      <c r="AD611" s="279"/>
      <c r="AE611" s="26"/>
      <c r="AF611" s="26"/>
      <c r="AG611" s="278" t="str">
        <f t="shared" si="114"/>
        <v/>
      </c>
      <c r="AH611" s="278" t="str">
        <f t="shared" si="115"/>
        <v/>
      </c>
      <c r="AJ611" s="25"/>
      <c r="AK611" s="25"/>
      <c r="AL611" s="25"/>
      <c r="AM611" s="25"/>
      <c r="AN611" s="25"/>
      <c r="AO611" s="25"/>
      <c r="AP611" s="25"/>
      <c r="AQ611" s="25"/>
      <c r="AR611" s="25"/>
      <c r="AS611" s="25"/>
      <c r="AT611" s="25"/>
      <c r="AU611" s="25"/>
      <c r="AV611" s="43"/>
      <c r="AW611" s="43"/>
      <c r="AX611" s="114" t="s">
        <v>76</v>
      </c>
      <c r="AY611" s="43"/>
      <c r="AZ611" s="43"/>
      <c r="BA611" s="43"/>
      <c r="BB611" s="43"/>
    </row>
    <row r="612" spans="1:54" ht="12.75" customHeight="1">
      <c r="A612" s="80"/>
      <c r="B612" s="320"/>
      <c r="C612" s="272"/>
      <c r="D612" s="273"/>
      <c r="E612" s="503"/>
      <c r="F612" s="305"/>
      <c r="G612" s="265"/>
      <c r="H612" s="266"/>
      <c r="I612" s="295"/>
      <c r="J612" s="296"/>
      <c r="K612" s="296"/>
      <c r="L612" s="296"/>
      <c r="M612" s="21"/>
      <c r="N612" s="21"/>
      <c r="O612" s="21"/>
      <c r="P612" s="21"/>
      <c r="Q612" s="325"/>
      <c r="R612" s="21"/>
      <c r="S612" s="274"/>
      <c r="T612" s="21"/>
      <c r="U612" s="275"/>
      <c r="V612" s="82"/>
      <c r="Z612" s="181"/>
      <c r="AA612" s="183"/>
      <c r="AB612" s="30"/>
      <c r="AC612" s="30"/>
      <c r="AD612" s="279"/>
      <c r="AE612" s="26"/>
      <c r="AF612" s="26"/>
      <c r="AG612" s="278" t="str">
        <f t="shared" si="114"/>
        <v/>
      </c>
      <c r="AH612" s="278" t="str">
        <f t="shared" si="115"/>
        <v/>
      </c>
      <c r="AJ612" s="25"/>
      <c r="AK612" s="25"/>
      <c r="AL612" s="25"/>
      <c r="AM612" s="25"/>
      <c r="AN612" s="25"/>
      <c r="AO612" s="25"/>
      <c r="AP612" s="25"/>
      <c r="AQ612" s="25"/>
      <c r="AR612" s="25"/>
      <c r="AS612" s="25"/>
      <c r="AT612" s="25"/>
      <c r="AU612" s="25"/>
      <c r="AV612" s="43"/>
      <c r="AW612" s="43"/>
      <c r="AX612" s="114" t="s">
        <v>76</v>
      </c>
      <c r="AY612" s="43"/>
      <c r="AZ612" s="43"/>
      <c r="BA612" s="43"/>
      <c r="BB612" s="43"/>
    </row>
    <row r="613" spans="1:54" ht="12.75" customHeight="1">
      <c r="A613" s="80"/>
      <c r="B613" s="320"/>
      <c r="C613" s="272"/>
      <c r="D613" s="273"/>
      <c r="E613" s="503"/>
      <c r="F613" s="305"/>
      <c r="G613" s="265"/>
      <c r="H613" s="266"/>
      <c r="I613" s="295"/>
      <c r="J613" s="296"/>
      <c r="K613" s="296"/>
      <c r="L613" s="296"/>
      <c r="M613" s="21"/>
      <c r="N613" s="21"/>
      <c r="O613" s="21"/>
      <c r="P613" s="21"/>
      <c r="Q613" s="325"/>
      <c r="R613" s="21"/>
      <c r="S613" s="274"/>
      <c r="T613" s="21"/>
      <c r="U613" s="275"/>
      <c r="V613" s="82"/>
      <c r="Z613" s="181"/>
      <c r="AA613" s="183"/>
      <c r="AC613" s="23"/>
      <c r="AD613" s="279"/>
      <c r="AE613" s="26"/>
      <c r="AF613" s="26"/>
      <c r="AG613" s="278" t="str">
        <f t="shared" si="114"/>
        <v/>
      </c>
      <c r="AH613" s="278" t="str">
        <f t="shared" si="115"/>
        <v/>
      </c>
      <c r="AJ613" s="25"/>
      <c r="AK613" s="25"/>
      <c r="AL613" s="25"/>
      <c r="AM613" s="25"/>
      <c r="AN613" s="25"/>
      <c r="AO613" s="25"/>
      <c r="AP613" s="25"/>
      <c r="AQ613" s="25"/>
      <c r="AR613" s="25"/>
      <c r="AS613" s="25"/>
      <c r="AT613" s="25"/>
      <c r="AU613" s="25"/>
      <c r="AV613" s="43"/>
      <c r="AW613" s="43"/>
      <c r="AX613" s="114" t="s">
        <v>76</v>
      </c>
      <c r="AY613" s="43"/>
      <c r="AZ613" s="43"/>
      <c r="BA613" s="43"/>
      <c r="BB613" s="43"/>
    </row>
    <row r="614" spans="1:54" ht="12.75" customHeight="1">
      <c r="A614" s="80"/>
      <c r="B614" s="320"/>
      <c r="C614" s="272"/>
      <c r="D614" s="273"/>
      <c r="E614" s="503"/>
      <c r="F614" s="305"/>
      <c r="G614" s="265"/>
      <c r="H614" s="266"/>
      <c r="I614" s="295"/>
      <c r="J614" s="296"/>
      <c r="K614" s="296"/>
      <c r="L614" s="296"/>
      <c r="M614" s="21"/>
      <c r="N614" s="21"/>
      <c r="O614" s="21"/>
      <c r="P614" s="21"/>
      <c r="Q614" s="325"/>
      <c r="R614" s="21"/>
      <c r="S614" s="274"/>
      <c r="T614" s="21"/>
      <c r="U614" s="275"/>
      <c r="V614" s="82"/>
      <c r="Z614" s="181"/>
      <c r="AA614" s="183"/>
      <c r="AC614" s="26"/>
      <c r="AD614" s="279"/>
      <c r="AE614" s="26"/>
      <c r="AF614" s="26"/>
      <c r="AG614" s="278" t="str">
        <f t="shared" si="114"/>
        <v/>
      </c>
      <c r="AH614" s="278" t="str">
        <f t="shared" si="115"/>
        <v/>
      </c>
      <c r="AJ614" s="25"/>
      <c r="AK614" s="25"/>
      <c r="AL614" s="25"/>
      <c r="AM614" s="25"/>
      <c r="AN614" s="25"/>
      <c r="AO614" s="25"/>
      <c r="AP614" s="25"/>
      <c r="AQ614" s="25"/>
      <c r="AR614" s="25"/>
      <c r="AS614" s="25"/>
      <c r="AT614" s="25"/>
      <c r="AU614" s="25"/>
      <c r="AV614" s="43"/>
      <c r="AW614" s="43"/>
      <c r="AX614" s="114" t="s">
        <v>76</v>
      </c>
      <c r="AY614" s="43"/>
      <c r="AZ614" s="43"/>
      <c r="BA614" s="43"/>
      <c r="BB614" s="43"/>
    </row>
    <row r="615" spans="1:54" ht="12.75" customHeight="1">
      <c r="A615" s="80"/>
      <c r="B615" s="320"/>
      <c r="C615" s="272"/>
      <c r="D615" s="273"/>
      <c r="E615" s="503"/>
      <c r="F615" s="305"/>
      <c r="G615" s="265"/>
      <c r="H615" s="266"/>
      <c r="I615" s="295"/>
      <c r="J615" s="296"/>
      <c r="K615" s="296"/>
      <c r="L615" s="296"/>
      <c r="M615" s="21"/>
      <c r="N615" s="21"/>
      <c r="O615" s="21"/>
      <c r="P615" s="21"/>
      <c r="Q615" s="325"/>
      <c r="R615" s="21"/>
      <c r="S615" s="274"/>
      <c r="T615" s="21"/>
      <c r="U615" s="275"/>
      <c r="V615" s="82"/>
      <c r="Z615" s="181"/>
      <c r="AA615" s="183"/>
      <c r="AC615" s="26"/>
      <c r="AD615" s="279"/>
      <c r="AE615" s="26"/>
      <c r="AF615" s="26"/>
      <c r="AG615" s="278" t="str">
        <f t="shared" si="114"/>
        <v/>
      </c>
      <c r="AH615" s="278" t="str">
        <f t="shared" si="115"/>
        <v/>
      </c>
      <c r="AJ615" s="25"/>
      <c r="AK615" s="25"/>
      <c r="AL615" s="25"/>
      <c r="AM615" s="25"/>
      <c r="AN615" s="25"/>
      <c r="AO615" s="25"/>
      <c r="AP615" s="25"/>
      <c r="AQ615" s="25"/>
      <c r="AR615" s="25"/>
      <c r="AS615" s="25"/>
      <c r="AT615" s="25"/>
      <c r="AU615" s="25"/>
      <c r="AV615" s="43"/>
      <c r="AW615" s="43"/>
      <c r="AX615" s="114" t="s">
        <v>76</v>
      </c>
      <c r="AY615" s="43"/>
      <c r="AZ615" s="43"/>
      <c r="BA615" s="43"/>
      <c r="BB615" s="43"/>
    </row>
    <row r="616" spans="1:54" ht="12.75" customHeight="1">
      <c r="A616" s="80"/>
      <c r="B616" s="320"/>
      <c r="C616" s="272"/>
      <c r="D616" s="273"/>
      <c r="E616" s="503"/>
      <c r="F616" s="305"/>
      <c r="G616" s="265"/>
      <c r="H616" s="266"/>
      <c r="I616" s="295"/>
      <c r="J616" s="296"/>
      <c r="K616" s="296"/>
      <c r="L616" s="296"/>
      <c r="M616" s="21"/>
      <c r="N616" s="21"/>
      <c r="O616" s="21"/>
      <c r="P616" s="21"/>
      <c r="Q616" s="325"/>
      <c r="R616" s="21"/>
      <c r="S616" s="274"/>
      <c r="T616" s="21"/>
      <c r="U616" s="275"/>
      <c r="V616" s="82"/>
      <c r="Z616" s="181"/>
      <c r="AA616" s="183"/>
      <c r="AB616" s="30"/>
      <c r="AC616" s="29"/>
      <c r="AD616" s="279"/>
      <c r="AE616" s="26"/>
      <c r="AF616" s="26"/>
      <c r="AG616" s="278" t="str">
        <f t="shared" si="114"/>
        <v/>
      </c>
      <c r="AH616" s="278" t="str">
        <f t="shared" si="115"/>
        <v/>
      </c>
      <c r="AJ616" s="25"/>
      <c r="AK616" s="25"/>
      <c r="AL616" s="25"/>
      <c r="AM616" s="25"/>
      <c r="AN616" s="25"/>
      <c r="AO616" s="25"/>
      <c r="AP616" s="25"/>
      <c r="AQ616" s="25"/>
      <c r="AR616" s="25"/>
      <c r="AS616" s="25"/>
      <c r="AT616" s="25"/>
      <c r="AU616" s="25"/>
      <c r="AV616" s="43"/>
      <c r="AW616" s="43"/>
      <c r="AX616" s="114" t="s">
        <v>76</v>
      </c>
      <c r="AY616" s="43"/>
      <c r="AZ616" s="43"/>
      <c r="BA616" s="43"/>
      <c r="BB616" s="43"/>
    </row>
    <row r="617" spans="1:54" ht="12.75" customHeight="1">
      <c r="A617" s="80"/>
      <c r="B617" s="320"/>
      <c r="C617" s="272"/>
      <c r="D617" s="273"/>
      <c r="E617" s="503"/>
      <c r="F617" s="305"/>
      <c r="G617" s="265"/>
      <c r="H617" s="266"/>
      <c r="I617" s="295"/>
      <c r="J617" s="296"/>
      <c r="K617" s="296"/>
      <c r="L617" s="296"/>
      <c r="M617" s="21"/>
      <c r="N617" s="21"/>
      <c r="O617" s="21"/>
      <c r="P617" s="21"/>
      <c r="Q617" s="325"/>
      <c r="R617" s="21"/>
      <c r="S617" s="274"/>
      <c r="T617" s="21"/>
      <c r="U617" s="275"/>
      <c r="V617" s="82"/>
      <c r="Z617" s="181"/>
      <c r="AA617" s="183"/>
      <c r="AC617" s="26"/>
      <c r="AD617" s="279"/>
      <c r="AE617" s="26"/>
      <c r="AF617" s="26"/>
      <c r="AG617" s="278" t="str">
        <f t="shared" si="114"/>
        <v/>
      </c>
      <c r="AH617" s="278" t="str">
        <f t="shared" si="115"/>
        <v/>
      </c>
      <c r="AJ617" s="25"/>
      <c r="AK617" s="25"/>
      <c r="AL617" s="25"/>
      <c r="AM617" s="25"/>
      <c r="AN617" s="25"/>
      <c r="AO617" s="25"/>
      <c r="AP617" s="25"/>
      <c r="AQ617" s="25"/>
      <c r="AR617" s="25"/>
      <c r="AS617" s="25"/>
      <c r="AT617" s="25"/>
      <c r="AU617" s="25"/>
      <c r="AV617" s="43"/>
      <c r="AW617" s="43"/>
      <c r="AX617" s="114" t="s">
        <v>76</v>
      </c>
      <c r="AY617" s="43"/>
      <c r="AZ617" s="43"/>
      <c r="BA617" s="43"/>
      <c r="BB617" s="43"/>
    </row>
    <row r="618" spans="1:54" ht="12.75" customHeight="1">
      <c r="A618" s="80"/>
      <c r="B618" s="320"/>
      <c r="C618" s="272"/>
      <c r="D618" s="273"/>
      <c r="E618" s="503"/>
      <c r="F618" s="305"/>
      <c r="G618" s="265"/>
      <c r="H618" s="266"/>
      <c r="I618" s="295"/>
      <c r="J618" s="296"/>
      <c r="K618" s="296"/>
      <c r="L618" s="296"/>
      <c r="M618" s="21"/>
      <c r="N618" s="21"/>
      <c r="O618" s="21"/>
      <c r="P618" s="21"/>
      <c r="Q618" s="325"/>
      <c r="R618" s="21"/>
      <c r="S618" s="274"/>
      <c r="T618" s="21"/>
      <c r="U618" s="275"/>
      <c r="V618" s="82"/>
      <c r="Z618" s="181"/>
      <c r="AA618" s="183"/>
      <c r="AC618" s="26"/>
      <c r="AD618" s="279"/>
      <c r="AE618" s="26"/>
      <c r="AF618" s="26"/>
      <c r="AG618" s="278" t="str">
        <f t="shared" si="114"/>
        <v/>
      </c>
      <c r="AH618" s="278" t="str">
        <f t="shared" si="115"/>
        <v/>
      </c>
      <c r="AJ618" s="25"/>
      <c r="AK618" s="25"/>
      <c r="AL618" s="25"/>
      <c r="AM618" s="25"/>
      <c r="AN618" s="25"/>
      <c r="AO618" s="25"/>
      <c r="AP618" s="25"/>
      <c r="AQ618" s="25"/>
      <c r="AR618" s="25"/>
      <c r="AS618" s="25"/>
      <c r="AT618" s="25"/>
      <c r="AU618" s="25"/>
      <c r="AV618" s="43"/>
      <c r="AW618" s="43"/>
      <c r="AX618" s="114" t="s">
        <v>76</v>
      </c>
      <c r="AY618" s="43"/>
      <c r="AZ618" s="43"/>
      <c r="BA618" s="43"/>
      <c r="BB618" s="43"/>
    </row>
    <row r="619" spans="1:54" ht="12.75" customHeight="1">
      <c r="A619" s="80"/>
      <c r="B619" s="320"/>
      <c r="C619" s="272"/>
      <c r="D619" s="273"/>
      <c r="E619" s="503"/>
      <c r="F619" s="305"/>
      <c r="G619" s="265"/>
      <c r="H619" s="266"/>
      <c r="I619" s="295"/>
      <c r="J619" s="296"/>
      <c r="K619" s="296"/>
      <c r="L619" s="296"/>
      <c r="M619" s="21"/>
      <c r="N619" s="21"/>
      <c r="O619" s="21"/>
      <c r="P619" s="21"/>
      <c r="Q619" s="325"/>
      <c r="R619" s="21"/>
      <c r="S619" s="274"/>
      <c r="T619" s="21"/>
      <c r="U619" s="275"/>
      <c r="V619" s="82"/>
      <c r="Z619" s="181"/>
      <c r="AA619" s="183"/>
      <c r="AC619" s="26"/>
      <c r="AD619" s="279"/>
      <c r="AE619" s="26"/>
      <c r="AF619" s="26"/>
      <c r="AG619" s="278" t="str">
        <f t="shared" si="114"/>
        <v/>
      </c>
      <c r="AH619" s="278" t="str">
        <f t="shared" si="115"/>
        <v/>
      </c>
      <c r="AJ619" s="25"/>
      <c r="AK619" s="25"/>
      <c r="AL619" s="25"/>
      <c r="AM619" s="25"/>
      <c r="AN619" s="25"/>
      <c r="AO619" s="25"/>
      <c r="AP619" s="25"/>
      <c r="AQ619" s="25"/>
      <c r="AR619" s="25"/>
      <c r="AS619" s="25"/>
      <c r="AT619" s="25"/>
      <c r="AU619" s="25"/>
      <c r="AV619" s="43"/>
      <c r="AW619" s="43"/>
      <c r="AX619" s="114" t="s">
        <v>76</v>
      </c>
      <c r="AY619" s="43"/>
      <c r="AZ619" s="43"/>
      <c r="BA619" s="43"/>
      <c r="BB619" s="43"/>
    </row>
    <row r="620" spans="1:54" ht="12.75" customHeight="1">
      <c r="A620" s="80"/>
      <c r="B620" s="320"/>
      <c r="C620" s="272"/>
      <c r="D620" s="273"/>
      <c r="E620" s="503"/>
      <c r="F620" s="305"/>
      <c r="G620" s="265"/>
      <c r="H620" s="266"/>
      <c r="I620" s="295"/>
      <c r="J620" s="296"/>
      <c r="K620" s="296"/>
      <c r="L620" s="296"/>
      <c r="M620" s="21"/>
      <c r="N620" s="21"/>
      <c r="O620" s="21"/>
      <c r="P620" s="21"/>
      <c r="Q620" s="325"/>
      <c r="R620" s="21"/>
      <c r="S620" s="274"/>
      <c r="T620" s="21"/>
      <c r="U620" s="275"/>
      <c r="V620" s="82"/>
      <c r="Z620" s="181"/>
      <c r="AA620" s="183"/>
      <c r="AC620" s="26"/>
      <c r="AD620" s="279"/>
      <c r="AE620" s="26"/>
      <c r="AF620" s="26"/>
      <c r="AG620" s="278" t="str">
        <f t="shared" si="114"/>
        <v/>
      </c>
      <c r="AH620" s="278" t="str">
        <f t="shared" si="115"/>
        <v/>
      </c>
      <c r="AJ620" s="25"/>
      <c r="AK620" s="25"/>
      <c r="AL620" s="25"/>
      <c r="AM620" s="25"/>
      <c r="AN620" s="25"/>
      <c r="AO620" s="25"/>
      <c r="AP620" s="25"/>
      <c r="AQ620" s="25"/>
      <c r="AR620" s="25"/>
      <c r="AS620" s="25"/>
      <c r="AT620" s="25"/>
      <c r="AU620" s="25"/>
      <c r="AV620" s="43"/>
      <c r="AW620" s="43"/>
      <c r="AX620" s="114" t="s">
        <v>76</v>
      </c>
      <c r="AY620" s="43"/>
      <c r="AZ620" s="43"/>
      <c r="BA620" s="43"/>
      <c r="BB620" s="43"/>
    </row>
    <row r="621" spans="1:54" ht="12.75" customHeight="1">
      <c r="A621" s="80"/>
      <c r="B621" s="320"/>
      <c r="C621" s="272"/>
      <c r="D621" s="273"/>
      <c r="E621" s="503"/>
      <c r="F621" s="305"/>
      <c r="G621" s="265"/>
      <c r="H621" s="266"/>
      <c r="I621" s="295"/>
      <c r="J621" s="296"/>
      <c r="K621" s="296"/>
      <c r="L621" s="296"/>
      <c r="M621" s="21"/>
      <c r="N621" s="21"/>
      <c r="O621" s="21"/>
      <c r="P621" s="21"/>
      <c r="Q621" s="325"/>
      <c r="R621" s="21"/>
      <c r="S621" s="274"/>
      <c r="T621" s="21"/>
      <c r="U621" s="275"/>
      <c r="V621" s="82"/>
      <c r="Z621" s="181"/>
      <c r="AA621" s="183"/>
      <c r="AC621" s="27"/>
      <c r="AD621" s="279"/>
      <c r="AE621" s="26"/>
      <c r="AF621" s="26"/>
      <c r="AG621" s="278" t="str">
        <f t="shared" si="114"/>
        <v/>
      </c>
      <c r="AH621" s="278" t="str">
        <f t="shared" si="115"/>
        <v/>
      </c>
      <c r="AJ621" s="25"/>
      <c r="AK621" s="25"/>
      <c r="AL621" s="25"/>
      <c r="AM621" s="25"/>
      <c r="AN621" s="25"/>
      <c r="AO621" s="25"/>
      <c r="AP621" s="25"/>
      <c r="AQ621" s="25"/>
      <c r="AR621" s="25"/>
      <c r="AS621" s="25"/>
      <c r="AT621" s="25"/>
      <c r="AU621" s="25"/>
      <c r="AV621" s="43"/>
      <c r="AW621" s="43"/>
      <c r="AX621" s="114" t="s">
        <v>76</v>
      </c>
      <c r="AY621" s="43"/>
      <c r="AZ621" s="43"/>
      <c r="BA621" s="43"/>
      <c r="BB621" s="43"/>
    </row>
    <row r="622" spans="1:54" ht="12.75" customHeight="1">
      <c r="A622" s="80"/>
      <c r="B622" s="320"/>
      <c r="C622" s="272"/>
      <c r="D622" s="273"/>
      <c r="E622" s="503"/>
      <c r="F622" s="305"/>
      <c r="G622" s="265"/>
      <c r="H622" s="266"/>
      <c r="I622" s="295"/>
      <c r="J622" s="296"/>
      <c r="K622" s="296"/>
      <c r="L622" s="296"/>
      <c r="M622" s="21"/>
      <c r="N622" s="21"/>
      <c r="O622" s="21"/>
      <c r="P622" s="21"/>
      <c r="Q622" s="325"/>
      <c r="R622" s="21"/>
      <c r="S622" s="274"/>
      <c r="T622" s="21"/>
      <c r="U622" s="275"/>
      <c r="V622" s="82"/>
      <c r="Z622" s="181"/>
      <c r="AA622" s="183"/>
      <c r="AC622" s="26"/>
      <c r="AD622" s="279"/>
      <c r="AE622" s="26"/>
      <c r="AF622" s="26"/>
      <c r="AG622" s="278" t="str">
        <f t="shared" si="114"/>
        <v/>
      </c>
      <c r="AH622" s="278" t="str">
        <f t="shared" si="115"/>
        <v/>
      </c>
      <c r="AJ622" s="25"/>
      <c r="AK622" s="25"/>
      <c r="AL622" s="25"/>
      <c r="AM622" s="25"/>
      <c r="AN622" s="25"/>
      <c r="AO622" s="25"/>
      <c r="AP622" s="25"/>
      <c r="AQ622" s="25"/>
      <c r="AR622" s="25"/>
      <c r="AS622" s="25"/>
      <c r="AT622" s="25"/>
      <c r="AU622" s="25"/>
      <c r="AV622" s="43"/>
      <c r="AW622" s="43"/>
      <c r="AX622" s="114" t="s">
        <v>76</v>
      </c>
      <c r="AY622" s="43"/>
      <c r="AZ622" s="43"/>
      <c r="BA622" s="43"/>
      <c r="BB622" s="43"/>
    </row>
    <row r="623" spans="1:54" ht="12.75" customHeight="1">
      <c r="A623" s="80"/>
      <c r="B623" s="320"/>
      <c r="C623" s="272"/>
      <c r="D623" s="273"/>
      <c r="E623" s="503"/>
      <c r="F623" s="305"/>
      <c r="G623" s="265"/>
      <c r="H623" s="266"/>
      <c r="I623" s="295"/>
      <c r="J623" s="296"/>
      <c r="K623" s="296"/>
      <c r="L623" s="296"/>
      <c r="M623" s="21"/>
      <c r="N623" s="21"/>
      <c r="O623" s="21"/>
      <c r="P623" s="21"/>
      <c r="Q623" s="325"/>
      <c r="R623" s="21"/>
      <c r="S623" s="274"/>
      <c r="T623" s="21"/>
      <c r="U623" s="275"/>
      <c r="V623" s="82"/>
      <c r="Z623" s="181"/>
      <c r="AA623" s="183"/>
      <c r="AC623" s="26"/>
      <c r="AD623" s="279"/>
      <c r="AE623" s="26"/>
      <c r="AF623" s="26"/>
      <c r="AG623" s="278" t="str">
        <f t="shared" si="114"/>
        <v/>
      </c>
      <c r="AH623" s="278" t="str">
        <f t="shared" si="115"/>
        <v/>
      </c>
      <c r="AJ623" s="25"/>
      <c r="AK623" s="25"/>
      <c r="AL623" s="25"/>
      <c r="AM623" s="25"/>
      <c r="AN623" s="25"/>
      <c r="AO623" s="25"/>
      <c r="AP623" s="25"/>
      <c r="AQ623" s="25"/>
      <c r="AR623" s="25"/>
      <c r="AS623" s="25"/>
      <c r="AT623" s="25"/>
      <c r="AU623" s="25"/>
      <c r="AV623" s="43"/>
      <c r="AW623" s="43"/>
      <c r="AX623" s="114" t="s">
        <v>76</v>
      </c>
      <c r="AY623" s="43"/>
      <c r="AZ623" s="43"/>
      <c r="BA623" s="43"/>
      <c r="BB623" s="43"/>
    </row>
    <row r="624" spans="1:54" ht="12.75" customHeight="1">
      <c r="A624" s="80"/>
      <c r="B624" s="320"/>
      <c r="C624" s="272"/>
      <c r="D624" s="273"/>
      <c r="E624" s="503"/>
      <c r="F624" s="305"/>
      <c r="G624" s="265"/>
      <c r="H624" s="266"/>
      <c r="I624" s="295"/>
      <c r="J624" s="296"/>
      <c r="K624" s="296"/>
      <c r="L624" s="296"/>
      <c r="M624" s="21"/>
      <c r="N624" s="21"/>
      <c r="O624" s="21"/>
      <c r="P624" s="21"/>
      <c r="Q624" s="325"/>
      <c r="R624" s="21"/>
      <c r="S624" s="274"/>
      <c r="T624" s="21"/>
      <c r="U624" s="275"/>
      <c r="V624" s="82"/>
      <c r="Z624" s="181"/>
      <c r="AA624" s="183"/>
      <c r="AB624" s="30"/>
      <c r="AC624" s="29"/>
      <c r="AD624" s="279"/>
      <c r="AE624" s="26"/>
      <c r="AF624" s="26"/>
      <c r="AG624" s="278" t="str">
        <f t="shared" si="114"/>
        <v/>
      </c>
      <c r="AH624" s="278" t="str">
        <f t="shared" si="115"/>
        <v/>
      </c>
      <c r="AJ624" s="25"/>
      <c r="AK624" s="25"/>
      <c r="AL624" s="25"/>
      <c r="AM624" s="25"/>
      <c r="AN624" s="25"/>
      <c r="AO624" s="25"/>
      <c r="AP624" s="25"/>
      <c r="AQ624" s="25"/>
      <c r="AR624" s="25"/>
      <c r="AS624" s="25"/>
      <c r="AT624" s="25"/>
      <c r="AU624" s="25"/>
      <c r="AV624" s="43"/>
      <c r="AW624" s="43"/>
      <c r="AX624" s="114" t="s">
        <v>76</v>
      </c>
      <c r="AY624" s="43"/>
      <c r="AZ624" s="43"/>
      <c r="BA624" s="43"/>
      <c r="BB624" s="43"/>
    </row>
    <row r="625" spans="1:54" ht="12.75" customHeight="1">
      <c r="A625" s="80"/>
      <c r="B625" s="320"/>
      <c r="C625" s="272"/>
      <c r="D625" s="273"/>
      <c r="E625" s="503"/>
      <c r="F625" s="305"/>
      <c r="G625" s="265"/>
      <c r="H625" s="266"/>
      <c r="I625" s="295"/>
      <c r="J625" s="296"/>
      <c r="K625" s="296"/>
      <c r="L625" s="296"/>
      <c r="M625" s="21"/>
      <c r="N625" s="21"/>
      <c r="O625" s="21"/>
      <c r="P625" s="21"/>
      <c r="Q625" s="325"/>
      <c r="R625" s="21"/>
      <c r="S625" s="274"/>
      <c r="T625" s="21"/>
      <c r="U625" s="275"/>
      <c r="V625" s="82"/>
      <c r="Z625" s="181"/>
      <c r="AA625" s="183"/>
      <c r="AC625" s="26"/>
      <c r="AD625" s="279"/>
      <c r="AE625" s="26"/>
      <c r="AF625" s="26"/>
      <c r="AG625" s="278" t="str">
        <f t="shared" si="114"/>
        <v/>
      </c>
      <c r="AH625" s="278" t="str">
        <f t="shared" si="115"/>
        <v/>
      </c>
      <c r="AJ625" s="25"/>
      <c r="AK625" s="25"/>
      <c r="AL625" s="25"/>
      <c r="AM625" s="25"/>
      <c r="AN625" s="25"/>
      <c r="AO625" s="25"/>
      <c r="AP625" s="25"/>
      <c r="AQ625" s="25"/>
      <c r="AR625" s="25"/>
      <c r="AS625" s="25"/>
      <c r="AT625" s="25"/>
      <c r="AU625" s="25"/>
      <c r="AV625" s="43"/>
      <c r="AW625" s="43"/>
      <c r="AX625" s="114" t="s">
        <v>76</v>
      </c>
      <c r="AY625" s="43"/>
      <c r="AZ625" s="43"/>
      <c r="BA625" s="43"/>
      <c r="BB625" s="43"/>
    </row>
    <row r="626" spans="1:54" ht="12.75" customHeight="1">
      <c r="A626" s="80"/>
      <c r="B626" s="320"/>
      <c r="C626" s="272"/>
      <c r="D626" s="273"/>
      <c r="E626" s="503"/>
      <c r="F626" s="305"/>
      <c r="G626" s="265"/>
      <c r="H626" s="266"/>
      <c r="I626" s="295"/>
      <c r="J626" s="296"/>
      <c r="K626" s="296"/>
      <c r="L626" s="296"/>
      <c r="M626" s="21"/>
      <c r="N626" s="21"/>
      <c r="O626" s="21"/>
      <c r="P626" s="21"/>
      <c r="Q626" s="325"/>
      <c r="R626" s="21"/>
      <c r="S626" s="274"/>
      <c r="T626" s="21"/>
      <c r="U626" s="275"/>
      <c r="V626" s="82"/>
      <c r="Z626" s="181"/>
      <c r="AA626" s="183"/>
      <c r="AC626" s="26"/>
      <c r="AD626" s="279"/>
      <c r="AE626" s="26"/>
      <c r="AF626" s="26"/>
      <c r="AG626" s="278" t="str">
        <f t="shared" si="114"/>
        <v/>
      </c>
      <c r="AH626" s="278" t="str">
        <f t="shared" si="115"/>
        <v/>
      </c>
      <c r="AJ626" s="25"/>
      <c r="AK626" s="25"/>
      <c r="AL626" s="25"/>
      <c r="AM626" s="25"/>
      <c r="AN626" s="25"/>
      <c r="AO626" s="25"/>
      <c r="AP626" s="25"/>
      <c r="AQ626" s="25"/>
      <c r="AR626" s="25"/>
      <c r="AS626" s="25"/>
      <c r="AT626" s="25"/>
      <c r="AU626" s="25"/>
      <c r="AV626" s="43"/>
      <c r="AW626" s="43"/>
      <c r="AX626" s="114" t="s">
        <v>76</v>
      </c>
      <c r="AY626" s="43"/>
      <c r="AZ626" s="43"/>
      <c r="BA626" s="43"/>
      <c r="BB626" s="43"/>
    </row>
    <row r="627" spans="1:54" ht="12.75" customHeight="1">
      <c r="A627" s="80"/>
      <c r="B627" s="320"/>
      <c r="C627" s="272"/>
      <c r="D627" s="273"/>
      <c r="E627" s="503"/>
      <c r="F627" s="305"/>
      <c r="G627" s="265"/>
      <c r="H627" s="266"/>
      <c r="I627" s="295"/>
      <c r="J627" s="296"/>
      <c r="K627" s="296"/>
      <c r="L627" s="296"/>
      <c r="M627" s="21"/>
      <c r="N627" s="21"/>
      <c r="O627" s="21"/>
      <c r="P627" s="21"/>
      <c r="Q627" s="325"/>
      <c r="R627" s="21"/>
      <c r="S627" s="274"/>
      <c r="T627" s="21"/>
      <c r="U627" s="275"/>
      <c r="V627" s="82"/>
      <c r="Z627" s="181"/>
      <c r="AA627" s="183"/>
      <c r="AC627" s="26"/>
      <c r="AD627" s="279"/>
      <c r="AE627" s="26"/>
      <c r="AF627" s="26"/>
      <c r="AG627" s="278" t="str">
        <f t="shared" si="114"/>
        <v/>
      </c>
      <c r="AH627" s="278" t="str">
        <f t="shared" si="115"/>
        <v/>
      </c>
      <c r="AJ627" s="25"/>
      <c r="AK627" s="25"/>
      <c r="AL627" s="25"/>
      <c r="AM627" s="25"/>
      <c r="AN627" s="25"/>
      <c r="AO627" s="25"/>
      <c r="AP627" s="25"/>
      <c r="AQ627" s="25"/>
      <c r="AR627" s="25"/>
      <c r="AS627" s="25"/>
      <c r="AT627" s="25"/>
      <c r="AU627" s="25"/>
      <c r="AV627" s="43"/>
      <c r="AW627" s="43"/>
      <c r="AX627" s="114" t="s">
        <v>76</v>
      </c>
      <c r="AY627" s="43"/>
      <c r="AZ627" s="43"/>
      <c r="BA627" s="43"/>
      <c r="BB627" s="43"/>
    </row>
    <row r="628" spans="1:54" ht="12.75" customHeight="1">
      <c r="A628" s="80"/>
      <c r="B628" s="320"/>
      <c r="C628" s="272"/>
      <c r="D628" s="273"/>
      <c r="E628" s="503"/>
      <c r="F628" s="305"/>
      <c r="G628" s="265"/>
      <c r="H628" s="266"/>
      <c r="I628" s="295"/>
      <c r="J628" s="296"/>
      <c r="K628" s="296"/>
      <c r="L628" s="296"/>
      <c r="M628" s="21"/>
      <c r="N628" s="21"/>
      <c r="O628" s="21"/>
      <c r="P628" s="21"/>
      <c r="Q628" s="325"/>
      <c r="R628" s="21"/>
      <c r="S628" s="274"/>
      <c r="T628" s="21"/>
      <c r="U628" s="275"/>
      <c r="V628" s="82"/>
      <c r="Z628" s="181"/>
      <c r="AA628" s="183"/>
      <c r="AC628" s="26"/>
      <c r="AD628" s="279"/>
      <c r="AE628" s="26"/>
      <c r="AF628" s="26"/>
      <c r="AG628" s="278" t="str">
        <f t="shared" si="114"/>
        <v/>
      </c>
      <c r="AH628" s="278" t="str">
        <f t="shared" si="115"/>
        <v/>
      </c>
      <c r="AJ628" s="25"/>
      <c r="AK628" s="25"/>
      <c r="AL628" s="25"/>
      <c r="AM628" s="25"/>
      <c r="AN628" s="25"/>
      <c r="AO628" s="25"/>
      <c r="AP628" s="25"/>
      <c r="AQ628" s="25"/>
      <c r="AR628" s="25"/>
      <c r="AS628" s="25"/>
      <c r="AT628" s="25"/>
      <c r="AU628" s="25"/>
      <c r="AV628" s="43"/>
      <c r="AW628" s="43"/>
      <c r="AX628" s="114" t="s">
        <v>76</v>
      </c>
      <c r="AY628" s="43"/>
      <c r="AZ628" s="43"/>
      <c r="BA628" s="43"/>
      <c r="BB628" s="43"/>
    </row>
    <row r="629" spans="1:54" ht="12.75" customHeight="1">
      <c r="A629" s="80"/>
      <c r="B629" s="320"/>
      <c r="C629" s="272"/>
      <c r="D629" s="273"/>
      <c r="E629" s="503"/>
      <c r="F629" s="305"/>
      <c r="G629" s="265"/>
      <c r="H629" s="266"/>
      <c r="I629" s="295"/>
      <c r="J629" s="296"/>
      <c r="K629" s="296"/>
      <c r="L629" s="296"/>
      <c r="M629" s="21"/>
      <c r="N629" s="21"/>
      <c r="O629" s="21"/>
      <c r="P629" s="21"/>
      <c r="Q629" s="325"/>
      <c r="R629" s="21"/>
      <c r="S629" s="274"/>
      <c r="T629" s="21"/>
      <c r="U629" s="275"/>
      <c r="V629" s="82"/>
      <c r="Z629" s="181"/>
      <c r="AA629" s="183"/>
      <c r="AC629" s="26"/>
      <c r="AD629" s="279"/>
      <c r="AE629" s="26"/>
      <c r="AF629" s="26"/>
      <c r="AG629" s="278" t="str">
        <f t="shared" si="114"/>
        <v/>
      </c>
      <c r="AH629" s="278" t="str">
        <f t="shared" si="115"/>
        <v/>
      </c>
      <c r="AJ629" s="25"/>
      <c r="AK629" s="25"/>
      <c r="AL629" s="25"/>
      <c r="AM629" s="25"/>
      <c r="AN629" s="25"/>
      <c r="AO629" s="25"/>
      <c r="AP629" s="25"/>
      <c r="AQ629" s="25"/>
      <c r="AR629" s="25"/>
      <c r="AS629" s="25"/>
      <c r="AT629" s="25"/>
      <c r="AU629" s="25"/>
      <c r="AV629" s="43"/>
      <c r="AW629" s="43"/>
      <c r="AX629" s="114" t="s">
        <v>76</v>
      </c>
      <c r="AY629" s="43"/>
      <c r="AZ629" s="43"/>
      <c r="BA629" s="43"/>
      <c r="BB629" s="43"/>
    </row>
    <row r="630" spans="1:54" ht="12.75" customHeight="1">
      <c r="A630" s="80"/>
      <c r="B630" s="320"/>
      <c r="C630" s="272"/>
      <c r="D630" s="273"/>
      <c r="E630" s="503"/>
      <c r="F630" s="305"/>
      <c r="G630" s="265"/>
      <c r="H630" s="266"/>
      <c r="I630" s="295"/>
      <c r="J630" s="296"/>
      <c r="K630" s="296"/>
      <c r="L630" s="296"/>
      <c r="M630" s="21"/>
      <c r="N630" s="21"/>
      <c r="O630" s="21"/>
      <c r="P630" s="21"/>
      <c r="Q630" s="325"/>
      <c r="R630" s="21"/>
      <c r="S630" s="274"/>
      <c r="T630" s="21"/>
      <c r="U630" s="275"/>
      <c r="V630" s="82"/>
      <c r="Z630" s="181"/>
      <c r="AA630" s="183"/>
      <c r="AC630" s="26"/>
      <c r="AD630" s="279"/>
      <c r="AE630" s="26"/>
      <c r="AF630" s="26"/>
      <c r="AG630" s="278" t="str">
        <f t="shared" si="114"/>
        <v/>
      </c>
      <c r="AH630" s="278" t="str">
        <f t="shared" si="115"/>
        <v/>
      </c>
      <c r="AJ630" s="25"/>
      <c r="AK630" s="25"/>
      <c r="AL630" s="25"/>
      <c r="AM630" s="25"/>
      <c r="AN630" s="25"/>
      <c r="AO630" s="25"/>
      <c r="AP630" s="25"/>
      <c r="AQ630" s="25"/>
      <c r="AR630" s="25"/>
      <c r="AS630" s="25"/>
      <c r="AT630" s="25"/>
      <c r="AU630" s="25"/>
      <c r="AV630" s="43"/>
      <c r="AW630" s="43"/>
      <c r="AX630" s="114" t="s">
        <v>76</v>
      </c>
      <c r="AY630" s="43"/>
      <c r="AZ630" s="43"/>
      <c r="BA630" s="43"/>
      <c r="BB630" s="43"/>
    </row>
    <row r="631" spans="1:54" ht="12.75" customHeight="1">
      <c r="A631" s="80"/>
      <c r="B631" s="320"/>
      <c r="C631" s="272"/>
      <c r="D631" s="273"/>
      <c r="E631" s="503"/>
      <c r="F631" s="305"/>
      <c r="G631" s="265"/>
      <c r="H631" s="266"/>
      <c r="I631" s="295"/>
      <c r="J631" s="296"/>
      <c r="K631" s="296"/>
      <c r="L631" s="296"/>
      <c r="M631" s="21"/>
      <c r="N631" s="21"/>
      <c r="O631" s="21"/>
      <c r="P631" s="21"/>
      <c r="Q631" s="325"/>
      <c r="R631" s="21"/>
      <c r="S631" s="274"/>
      <c r="T631" s="21"/>
      <c r="U631" s="275"/>
      <c r="V631" s="82"/>
      <c r="Z631" s="181"/>
      <c r="AA631" s="183"/>
      <c r="AC631" s="26"/>
      <c r="AD631" s="279"/>
      <c r="AE631" s="26"/>
      <c r="AF631" s="26"/>
      <c r="AG631" s="278" t="str">
        <f t="shared" si="114"/>
        <v/>
      </c>
      <c r="AH631" s="278" t="str">
        <f t="shared" si="115"/>
        <v/>
      </c>
      <c r="AJ631" s="25"/>
      <c r="AK631" s="25"/>
      <c r="AL631" s="25"/>
      <c r="AM631" s="25"/>
      <c r="AN631" s="25"/>
      <c r="AO631" s="25"/>
      <c r="AP631" s="25"/>
      <c r="AQ631" s="25"/>
      <c r="AR631" s="25"/>
      <c r="AS631" s="25"/>
      <c r="AT631" s="25"/>
      <c r="AU631" s="25"/>
      <c r="AV631" s="43"/>
      <c r="AW631" s="43"/>
      <c r="AX631" s="114" t="s">
        <v>76</v>
      </c>
      <c r="AY631" s="43"/>
      <c r="AZ631" s="43"/>
      <c r="BA631" s="43"/>
      <c r="BB631" s="43"/>
    </row>
    <row r="632" spans="1:54" ht="12.75" customHeight="1">
      <c r="A632" s="80"/>
      <c r="B632" s="320"/>
      <c r="C632" s="272"/>
      <c r="D632" s="273"/>
      <c r="E632" s="503"/>
      <c r="F632" s="305"/>
      <c r="G632" s="265"/>
      <c r="H632" s="266"/>
      <c r="I632" s="295"/>
      <c r="J632" s="296"/>
      <c r="K632" s="296"/>
      <c r="L632" s="296"/>
      <c r="M632" s="21"/>
      <c r="N632" s="21"/>
      <c r="O632" s="21"/>
      <c r="P632" s="21"/>
      <c r="Q632" s="325"/>
      <c r="R632" s="21"/>
      <c r="S632" s="274"/>
      <c r="T632" s="21"/>
      <c r="U632" s="275"/>
      <c r="V632" s="82"/>
      <c r="Z632" s="181"/>
      <c r="AA632" s="183"/>
      <c r="AB632" s="35"/>
      <c r="AC632" s="25"/>
      <c r="AD632" s="279"/>
      <c r="AE632" s="26"/>
      <c r="AF632" s="26"/>
      <c r="AG632" s="278" t="str">
        <f t="shared" si="114"/>
        <v/>
      </c>
      <c r="AH632" s="278" t="str">
        <f t="shared" si="115"/>
        <v/>
      </c>
      <c r="AJ632" s="25"/>
      <c r="AK632" s="25"/>
      <c r="AL632" s="25"/>
      <c r="AM632" s="25"/>
      <c r="AN632" s="25"/>
      <c r="AO632" s="25"/>
      <c r="AP632" s="25"/>
      <c r="AQ632" s="25"/>
      <c r="AR632" s="25"/>
      <c r="AS632" s="25"/>
      <c r="AT632" s="25"/>
      <c r="AU632" s="25"/>
      <c r="AV632" s="43"/>
      <c r="AW632" s="43"/>
      <c r="AX632" s="114" t="s">
        <v>76</v>
      </c>
      <c r="AY632" s="43"/>
      <c r="AZ632" s="43"/>
      <c r="BA632" s="43"/>
      <c r="BB632" s="43"/>
    </row>
    <row r="633" spans="1:54" ht="12.75" customHeight="1">
      <c r="A633" s="80"/>
      <c r="B633" s="320"/>
      <c r="C633" s="272"/>
      <c r="D633" s="273"/>
      <c r="E633" s="503"/>
      <c r="F633" s="305"/>
      <c r="G633" s="265"/>
      <c r="H633" s="266"/>
      <c r="I633" s="295"/>
      <c r="J633" s="296"/>
      <c r="K633" s="296"/>
      <c r="L633" s="296"/>
      <c r="M633" s="21"/>
      <c r="N633" s="21"/>
      <c r="O633" s="21"/>
      <c r="P633" s="21"/>
      <c r="Q633" s="325"/>
      <c r="R633" s="21"/>
      <c r="S633" s="274"/>
      <c r="T633" s="21"/>
      <c r="U633" s="275"/>
      <c r="V633" s="82"/>
      <c r="Z633" s="181"/>
      <c r="AA633" s="183"/>
      <c r="AC633" s="26"/>
      <c r="AD633" s="279"/>
      <c r="AE633" s="26"/>
      <c r="AF633" s="26"/>
      <c r="AG633" s="278" t="str">
        <f t="shared" si="114"/>
        <v/>
      </c>
      <c r="AH633" s="278" t="str">
        <f t="shared" si="115"/>
        <v/>
      </c>
      <c r="AJ633" s="25"/>
      <c r="AK633" s="25"/>
      <c r="AL633" s="25"/>
      <c r="AM633" s="25"/>
      <c r="AN633" s="25"/>
      <c r="AO633" s="25"/>
      <c r="AP633" s="25"/>
      <c r="AQ633" s="25"/>
      <c r="AR633" s="25"/>
      <c r="AS633" s="25"/>
      <c r="AT633" s="25"/>
      <c r="AU633" s="25"/>
      <c r="AV633" s="43"/>
      <c r="AW633" s="43"/>
      <c r="AX633" s="114" t="s">
        <v>76</v>
      </c>
      <c r="AY633" s="43"/>
      <c r="AZ633" s="43"/>
      <c r="BA633" s="43"/>
      <c r="BB633" s="43"/>
    </row>
    <row r="634" spans="1:54" ht="12.75" customHeight="1">
      <c r="A634" s="80"/>
      <c r="B634" s="320"/>
      <c r="C634" s="272"/>
      <c r="D634" s="273"/>
      <c r="E634" s="503"/>
      <c r="F634" s="305"/>
      <c r="G634" s="265"/>
      <c r="H634" s="266"/>
      <c r="I634" s="295"/>
      <c r="J634" s="296"/>
      <c r="K634" s="296"/>
      <c r="L634" s="296"/>
      <c r="M634" s="21"/>
      <c r="N634" s="21"/>
      <c r="O634" s="21"/>
      <c r="P634" s="21"/>
      <c r="Q634" s="325"/>
      <c r="R634" s="21"/>
      <c r="S634" s="274"/>
      <c r="T634" s="21"/>
      <c r="U634" s="275"/>
      <c r="V634" s="82"/>
      <c r="Z634" s="181"/>
      <c r="AA634" s="183"/>
      <c r="AC634" s="26"/>
      <c r="AD634" s="279"/>
      <c r="AE634" s="26"/>
      <c r="AF634" s="26"/>
      <c r="AG634" s="278" t="str">
        <f t="shared" si="114"/>
        <v/>
      </c>
      <c r="AH634" s="278" t="str">
        <f t="shared" si="115"/>
        <v/>
      </c>
      <c r="AJ634" s="25"/>
      <c r="AK634" s="25"/>
      <c r="AL634" s="25"/>
      <c r="AM634" s="25"/>
      <c r="AN634" s="25"/>
      <c r="AO634" s="25"/>
      <c r="AP634" s="25"/>
      <c r="AQ634" s="25"/>
      <c r="AR634" s="25"/>
      <c r="AS634" s="25"/>
      <c r="AT634" s="25"/>
      <c r="AU634" s="25"/>
      <c r="AV634" s="43"/>
      <c r="AW634" s="43"/>
      <c r="AX634" s="114" t="s">
        <v>76</v>
      </c>
      <c r="AY634" s="43"/>
      <c r="AZ634" s="43"/>
      <c r="BA634" s="43"/>
      <c r="BB634" s="43"/>
    </row>
    <row r="635" spans="1:54" ht="12.75" customHeight="1">
      <c r="A635" s="80"/>
      <c r="B635" s="320"/>
      <c r="C635" s="272"/>
      <c r="D635" s="273"/>
      <c r="E635" s="503"/>
      <c r="F635" s="305"/>
      <c r="G635" s="265"/>
      <c r="H635" s="266"/>
      <c r="I635" s="295"/>
      <c r="J635" s="296"/>
      <c r="K635" s="296"/>
      <c r="L635" s="296"/>
      <c r="M635" s="21"/>
      <c r="N635" s="21"/>
      <c r="O635" s="21"/>
      <c r="P635" s="21"/>
      <c r="Q635" s="325"/>
      <c r="R635" s="21"/>
      <c r="S635" s="274"/>
      <c r="T635" s="21"/>
      <c r="U635" s="275"/>
      <c r="V635" s="82"/>
      <c r="Z635" s="181"/>
      <c r="AA635" s="183"/>
      <c r="AC635" s="26"/>
      <c r="AD635" s="279"/>
      <c r="AE635" s="26"/>
      <c r="AF635" s="26"/>
      <c r="AG635" s="278" t="str">
        <f t="shared" si="114"/>
        <v/>
      </c>
      <c r="AH635" s="278" t="str">
        <f t="shared" si="115"/>
        <v/>
      </c>
      <c r="AJ635" s="25"/>
      <c r="AK635" s="25"/>
      <c r="AL635" s="25"/>
      <c r="AM635" s="25"/>
      <c r="AN635" s="25"/>
      <c r="AO635" s="25"/>
      <c r="AP635" s="25"/>
      <c r="AQ635" s="25"/>
      <c r="AR635" s="25"/>
      <c r="AS635" s="25"/>
      <c r="AT635" s="25"/>
      <c r="AU635" s="25"/>
      <c r="AV635" s="43"/>
      <c r="AW635" s="43"/>
      <c r="AX635" s="114" t="s">
        <v>76</v>
      </c>
      <c r="AY635" s="43"/>
      <c r="AZ635" s="43"/>
      <c r="BA635" s="43"/>
      <c r="BB635" s="43"/>
    </row>
    <row r="636" spans="1:54" ht="12.75" customHeight="1">
      <c r="A636" s="80"/>
      <c r="B636" s="320"/>
      <c r="C636" s="272"/>
      <c r="D636" s="273"/>
      <c r="E636" s="503"/>
      <c r="F636" s="305"/>
      <c r="G636" s="265"/>
      <c r="H636" s="266"/>
      <c r="I636" s="295"/>
      <c r="J636" s="296"/>
      <c r="K636" s="296"/>
      <c r="L636" s="296"/>
      <c r="M636" s="21"/>
      <c r="N636" s="21"/>
      <c r="O636" s="21"/>
      <c r="P636" s="21"/>
      <c r="Q636" s="325"/>
      <c r="R636" s="21"/>
      <c r="S636" s="274"/>
      <c r="T636" s="21"/>
      <c r="U636" s="275"/>
      <c r="V636" s="82"/>
      <c r="Z636" s="181"/>
      <c r="AA636" s="183"/>
      <c r="AC636" s="26"/>
      <c r="AD636" s="279"/>
      <c r="AE636" s="26"/>
      <c r="AF636" s="26"/>
      <c r="AG636" s="278" t="str">
        <f t="shared" si="114"/>
        <v/>
      </c>
      <c r="AH636" s="278" t="str">
        <f t="shared" si="115"/>
        <v/>
      </c>
      <c r="AJ636" s="25"/>
      <c r="AK636" s="25"/>
      <c r="AL636" s="25"/>
      <c r="AM636" s="25"/>
      <c r="AN636" s="25"/>
      <c r="AO636" s="25"/>
      <c r="AP636" s="25"/>
      <c r="AQ636" s="25"/>
      <c r="AR636" s="25"/>
      <c r="AS636" s="25"/>
      <c r="AT636" s="25"/>
      <c r="AU636" s="25"/>
      <c r="AV636" s="43"/>
      <c r="AW636" s="43"/>
      <c r="AX636" s="114" t="s">
        <v>76</v>
      </c>
      <c r="AY636" s="43"/>
      <c r="AZ636" s="43"/>
      <c r="BA636" s="43"/>
      <c r="BB636" s="43"/>
    </row>
    <row r="637" spans="1:54" ht="12.75" customHeight="1">
      <c r="A637" s="80"/>
      <c r="B637" s="320"/>
      <c r="C637" s="272"/>
      <c r="D637" s="273"/>
      <c r="E637" s="503"/>
      <c r="F637" s="305"/>
      <c r="G637" s="265"/>
      <c r="H637" s="266"/>
      <c r="I637" s="295"/>
      <c r="J637" s="296"/>
      <c r="K637" s="296"/>
      <c r="L637" s="296"/>
      <c r="M637" s="21"/>
      <c r="N637" s="21"/>
      <c r="O637" s="21"/>
      <c r="P637" s="21"/>
      <c r="Q637" s="325"/>
      <c r="R637" s="21"/>
      <c r="S637" s="274"/>
      <c r="T637" s="21"/>
      <c r="U637" s="275"/>
      <c r="V637" s="82"/>
      <c r="Z637" s="181"/>
      <c r="AA637" s="183"/>
      <c r="AC637" s="26"/>
      <c r="AD637" s="279"/>
      <c r="AE637" s="26"/>
      <c r="AF637" s="26"/>
      <c r="AG637" s="278" t="str">
        <f t="shared" si="114"/>
        <v/>
      </c>
      <c r="AH637" s="278" t="str">
        <f t="shared" si="115"/>
        <v/>
      </c>
      <c r="AJ637" s="25"/>
      <c r="AK637" s="25"/>
      <c r="AL637" s="25"/>
      <c r="AM637" s="25"/>
      <c r="AN637" s="25"/>
      <c r="AO637" s="25"/>
      <c r="AP637" s="25"/>
      <c r="AQ637" s="25"/>
      <c r="AR637" s="25"/>
      <c r="AS637" s="25"/>
      <c r="AT637" s="25"/>
      <c r="AU637" s="25"/>
      <c r="AV637" s="43"/>
      <c r="AW637" s="43"/>
      <c r="AX637" s="114" t="s">
        <v>76</v>
      </c>
      <c r="AY637" s="43"/>
      <c r="AZ637" s="43"/>
      <c r="BA637" s="43"/>
      <c r="BB637" s="43"/>
    </row>
    <row r="638" spans="1:54" ht="12.75" customHeight="1">
      <c r="A638" s="80"/>
      <c r="B638" s="320"/>
      <c r="C638" s="272"/>
      <c r="D638" s="273"/>
      <c r="E638" s="503"/>
      <c r="F638" s="305"/>
      <c r="G638" s="265"/>
      <c r="H638" s="266"/>
      <c r="I638" s="295"/>
      <c r="J638" s="296"/>
      <c r="K638" s="296"/>
      <c r="L638" s="296"/>
      <c r="M638" s="21"/>
      <c r="N638" s="21"/>
      <c r="O638" s="21"/>
      <c r="P638" s="21"/>
      <c r="Q638" s="325"/>
      <c r="R638" s="21"/>
      <c r="S638" s="274"/>
      <c r="T638" s="21"/>
      <c r="U638" s="275"/>
      <c r="V638" s="82"/>
      <c r="Z638" s="181"/>
      <c r="AA638" s="183"/>
      <c r="AC638" s="26"/>
      <c r="AD638" s="279"/>
      <c r="AE638" s="26"/>
      <c r="AF638" s="26"/>
      <c r="AG638" s="278" t="str">
        <f t="shared" si="114"/>
        <v/>
      </c>
      <c r="AH638" s="278" t="str">
        <f t="shared" si="115"/>
        <v/>
      </c>
      <c r="AJ638" s="25"/>
      <c r="AK638" s="25"/>
      <c r="AL638" s="25"/>
      <c r="AM638" s="25"/>
      <c r="AN638" s="25"/>
      <c r="AO638" s="25"/>
      <c r="AP638" s="25"/>
      <c r="AQ638" s="25"/>
      <c r="AR638" s="25"/>
      <c r="AS638" s="25"/>
      <c r="AT638" s="25"/>
      <c r="AU638" s="25"/>
      <c r="AV638" s="43"/>
      <c r="AW638" s="43"/>
      <c r="AX638" s="114" t="s">
        <v>76</v>
      </c>
      <c r="AY638" s="43"/>
      <c r="AZ638" s="43"/>
      <c r="BA638" s="43"/>
      <c r="BB638" s="43"/>
    </row>
    <row r="639" spans="1:54" ht="12.75" customHeight="1">
      <c r="A639" s="80"/>
      <c r="B639" s="320"/>
      <c r="C639" s="272"/>
      <c r="D639" s="273"/>
      <c r="E639" s="503"/>
      <c r="F639" s="305"/>
      <c r="G639" s="265"/>
      <c r="H639" s="266"/>
      <c r="I639" s="295"/>
      <c r="J639" s="296"/>
      <c r="K639" s="296"/>
      <c r="L639" s="296"/>
      <c r="M639" s="21"/>
      <c r="N639" s="21"/>
      <c r="O639" s="21"/>
      <c r="P639" s="21"/>
      <c r="Q639" s="325"/>
      <c r="R639" s="21"/>
      <c r="S639" s="274"/>
      <c r="T639" s="21"/>
      <c r="U639" s="275"/>
      <c r="V639" s="82"/>
      <c r="Z639" s="181"/>
      <c r="AA639" s="183"/>
      <c r="AB639" s="30"/>
      <c r="AC639" s="30"/>
      <c r="AD639" s="279"/>
      <c r="AE639" s="26"/>
      <c r="AF639" s="26"/>
      <c r="AG639" s="278" t="str">
        <f t="shared" si="114"/>
        <v/>
      </c>
      <c r="AH639" s="278" t="str">
        <f t="shared" si="115"/>
        <v/>
      </c>
      <c r="AJ639" s="25"/>
      <c r="AK639" s="25"/>
      <c r="AL639" s="25"/>
      <c r="AM639" s="25"/>
      <c r="AN639" s="25"/>
      <c r="AO639" s="25"/>
      <c r="AP639" s="25"/>
      <c r="AQ639" s="25"/>
      <c r="AR639" s="25"/>
      <c r="AS639" s="25"/>
      <c r="AT639" s="25"/>
      <c r="AU639" s="25"/>
      <c r="AV639" s="43"/>
      <c r="AW639" s="43"/>
      <c r="AX639" s="114" t="s">
        <v>76</v>
      </c>
      <c r="AY639" s="43"/>
      <c r="AZ639" s="43"/>
      <c r="BA639" s="43"/>
      <c r="BB639" s="43"/>
    </row>
    <row r="640" spans="1:54" ht="12.75" customHeight="1">
      <c r="A640" s="80"/>
      <c r="B640" s="320"/>
      <c r="C640" s="272"/>
      <c r="D640" s="273"/>
      <c r="E640" s="503"/>
      <c r="F640" s="305"/>
      <c r="G640" s="265"/>
      <c r="H640" s="266"/>
      <c r="I640" s="295"/>
      <c r="J640" s="296"/>
      <c r="K640" s="296"/>
      <c r="L640" s="296"/>
      <c r="M640" s="21"/>
      <c r="N640" s="21"/>
      <c r="O640" s="21"/>
      <c r="P640" s="21"/>
      <c r="Q640" s="325"/>
      <c r="R640" s="21"/>
      <c r="S640" s="274"/>
      <c r="T640" s="21"/>
      <c r="U640" s="275"/>
      <c r="V640" s="82"/>
      <c r="Z640" s="181"/>
      <c r="AA640" s="183"/>
      <c r="AC640" s="26"/>
      <c r="AD640" s="279"/>
      <c r="AE640" s="26"/>
      <c r="AF640" s="26"/>
      <c r="AG640" s="278" t="str">
        <f t="shared" si="114"/>
        <v/>
      </c>
      <c r="AH640" s="278" t="str">
        <f t="shared" si="115"/>
        <v/>
      </c>
      <c r="AJ640" s="25"/>
      <c r="AK640" s="25"/>
      <c r="AL640" s="25"/>
      <c r="AM640" s="25"/>
      <c r="AN640" s="25"/>
      <c r="AO640" s="25"/>
      <c r="AP640" s="25"/>
      <c r="AQ640" s="25"/>
      <c r="AR640" s="25"/>
      <c r="AS640" s="25"/>
      <c r="AT640" s="25"/>
      <c r="AU640" s="25"/>
      <c r="AV640" s="43"/>
      <c r="AW640" s="43"/>
      <c r="AX640" s="114" t="s">
        <v>76</v>
      </c>
      <c r="AY640" s="43"/>
      <c r="AZ640" s="43"/>
      <c r="BA640" s="43"/>
      <c r="BB640" s="43"/>
    </row>
    <row r="641" spans="1:54" ht="12.75" customHeight="1">
      <c r="A641" s="80"/>
      <c r="B641" s="320"/>
      <c r="C641" s="272"/>
      <c r="D641" s="273"/>
      <c r="E641" s="503"/>
      <c r="F641" s="305"/>
      <c r="G641" s="265"/>
      <c r="H641" s="266"/>
      <c r="I641" s="295"/>
      <c r="J641" s="296"/>
      <c r="K641" s="296"/>
      <c r="L641" s="296"/>
      <c r="M641" s="21"/>
      <c r="N641" s="21"/>
      <c r="O641" s="21"/>
      <c r="P641" s="21"/>
      <c r="Q641" s="325"/>
      <c r="R641" s="21"/>
      <c r="S641" s="274"/>
      <c r="T641" s="21"/>
      <c r="U641" s="275"/>
      <c r="V641" s="82"/>
      <c r="Z641" s="181"/>
      <c r="AA641" s="183"/>
      <c r="AC641" s="26"/>
      <c r="AD641" s="279"/>
      <c r="AE641" s="26"/>
      <c r="AF641" s="26"/>
      <c r="AG641" s="278" t="str">
        <f t="shared" si="114"/>
        <v/>
      </c>
      <c r="AH641" s="278" t="str">
        <f t="shared" si="115"/>
        <v/>
      </c>
      <c r="AJ641" s="25"/>
      <c r="AK641" s="25"/>
      <c r="AL641" s="25"/>
      <c r="AM641" s="25"/>
      <c r="AN641" s="25"/>
      <c r="AO641" s="25"/>
      <c r="AP641" s="25"/>
      <c r="AQ641" s="25"/>
      <c r="AR641" s="25"/>
      <c r="AS641" s="25"/>
      <c r="AT641" s="25"/>
      <c r="AU641" s="25"/>
      <c r="AV641" s="43"/>
      <c r="AW641" s="43"/>
      <c r="AX641" s="114" t="s">
        <v>76</v>
      </c>
      <c r="AY641" s="43"/>
      <c r="AZ641" s="43"/>
      <c r="BA641" s="43"/>
      <c r="BB641" s="43"/>
    </row>
    <row r="642" spans="1:54" ht="12.75" customHeight="1">
      <c r="A642" s="80"/>
      <c r="B642" s="320"/>
      <c r="C642" s="272"/>
      <c r="D642" s="273"/>
      <c r="E642" s="503"/>
      <c r="F642" s="305"/>
      <c r="G642" s="265"/>
      <c r="H642" s="266"/>
      <c r="I642" s="295"/>
      <c r="J642" s="296"/>
      <c r="K642" s="296"/>
      <c r="L642" s="296"/>
      <c r="M642" s="21"/>
      <c r="N642" s="21"/>
      <c r="O642" s="21"/>
      <c r="P642" s="21"/>
      <c r="Q642" s="325"/>
      <c r="R642" s="21"/>
      <c r="S642" s="274"/>
      <c r="T642" s="21"/>
      <c r="U642" s="275"/>
      <c r="V642" s="82"/>
      <c r="Z642" s="181"/>
      <c r="AA642" s="183"/>
      <c r="AC642" s="26"/>
      <c r="AD642" s="279"/>
      <c r="AE642" s="26"/>
      <c r="AF642" s="26"/>
      <c r="AG642" s="278" t="str">
        <f t="shared" si="114"/>
        <v/>
      </c>
      <c r="AH642" s="278" t="str">
        <f t="shared" si="115"/>
        <v/>
      </c>
      <c r="AJ642" s="25"/>
      <c r="AK642" s="25"/>
      <c r="AL642" s="25"/>
      <c r="AM642" s="25"/>
      <c r="AN642" s="25"/>
      <c r="AO642" s="25"/>
      <c r="AP642" s="25"/>
      <c r="AQ642" s="25"/>
      <c r="AR642" s="25"/>
      <c r="AS642" s="25"/>
      <c r="AT642" s="25"/>
      <c r="AU642" s="25"/>
      <c r="AV642" s="43"/>
      <c r="AW642" s="43"/>
      <c r="AX642" s="114" t="s">
        <v>76</v>
      </c>
      <c r="AY642" s="43"/>
      <c r="AZ642" s="43"/>
      <c r="BA642" s="43"/>
      <c r="BB642" s="43"/>
    </row>
    <row r="643" spans="1:54" ht="12.75" customHeight="1">
      <c r="A643" s="80"/>
      <c r="B643" s="320"/>
      <c r="C643" s="272"/>
      <c r="D643" s="273"/>
      <c r="E643" s="503"/>
      <c r="F643" s="305"/>
      <c r="G643" s="265"/>
      <c r="H643" s="266"/>
      <c r="I643" s="295"/>
      <c r="J643" s="296"/>
      <c r="K643" s="296"/>
      <c r="L643" s="296"/>
      <c r="M643" s="21"/>
      <c r="N643" s="21"/>
      <c r="O643" s="21"/>
      <c r="P643" s="21"/>
      <c r="Q643" s="325"/>
      <c r="R643" s="21"/>
      <c r="S643" s="274"/>
      <c r="T643" s="21"/>
      <c r="U643" s="275"/>
      <c r="V643" s="82"/>
      <c r="Z643" s="181"/>
      <c r="AA643" s="183"/>
      <c r="AB643" s="448"/>
      <c r="AC643" s="33"/>
      <c r="AD643" s="279"/>
      <c r="AE643" s="26"/>
      <c r="AF643" s="26"/>
      <c r="AG643" s="278" t="str">
        <f t="shared" si="114"/>
        <v/>
      </c>
      <c r="AH643" s="278" t="str">
        <f t="shared" si="115"/>
        <v/>
      </c>
      <c r="AJ643" s="25"/>
      <c r="AK643" s="25"/>
      <c r="AL643" s="25"/>
      <c r="AM643" s="25"/>
      <c r="AN643" s="25"/>
      <c r="AO643" s="25"/>
      <c r="AP643" s="25"/>
      <c r="AQ643" s="25"/>
      <c r="AR643" s="25"/>
      <c r="AS643" s="25"/>
      <c r="AT643" s="25"/>
      <c r="AU643" s="25"/>
      <c r="AV643" s="43"/>
      <c r="AW643" s="43"/>
      <c r="AX643" s="114" t="s">
        <v>76</v>
      </c>
      <c r="AY643" s="43"/>
      <c r="AZ643" s="43"/>
      <c r="BA643" s="43"/>
      <c r="BB643" s="43"/>
    </row>
    <row r="644" spans="1:54" ht="12.75" customHeight="1">
      <c r="A644" s="80"/>
      <c r="B644" s="320"/>
      <c r="C644" s="272"/>
      <c r="D644" s="273"/>
      <c r="E644" s="503"/>
      <c r="F644" s="305"/>
      <c r="G644" s="265"/>
      <c r="H644" s="266"/>
      <c r="I644" s="295"/>
      <c r="J644" s="296"/>
      <c r="K644" s="296"/>
      <c r="L644" s="296"/>
      <c r="M644" s="21"/>
      <c r="N644" s="21"/>
      <c r="O644" s="21"/>
      <c r="P644" s="21"/>
      <c r="Q644" s="325"/>
      <c r="R644" s="21"/>
      <c r="S644" s="274"/>
      <c r="T644" s="21"/>
      <c r="U644" s="275"/>
      <c r="V644" s="82"/>
      <c r="Z644" s="181"/>
      <c r="AA644" s="183"/>
      <c r="AB644" s="35"/>
      <c r="AC644" s="25"/>
      <c r="AD644" s="279"/>
      <c r="AE644" s="26"/>
      <c r="AF644" s="26"/>
      <c r="AG644" s="278" t="str">
        <f t="shared" si="114"/>
        <v/>
      </c>
      <c r="AH644" s="278" t="str">
        <f t="shared" si="115"/>
        <v/>
      </c>
      <c r="AJ644" s="25"/>
      <c r="AK644" s="25"/>
      <c r="AL644" s="25"/>
      <c r="AM644" s="25"/>
      <c r="AN644" s="25"/>
      <c r="AO644" s="25"/>
      <c r="AP644" s="25"/>
      <c r="AQ644" s="25"/>
      <c r="AR644" s="25"/>
      <c r="AS644" s="25"/>
      <c r="AT644" s="25"/>
      <c r="AU644" s="25"/>
      <c r="AV644" s="43"/>
      <c r="AW644" s="43"/>
      <c r="AX644" s="114" t="s">
        <v>76</v>
      </c>
      <c r="AY644" s="43"/>
      <c r="AZ644" s="43"/>
      <c r="BA644" s="43"/>
      <c r="BB644" s="43"/>
    </row>
    <row r="645" spans="1:54" ht="12.75" customHeight="1">
      <c r="A645" s="80"/>
      <c r="B645" s="320"/>
      <c r="C645" s="272"/>
      <c r="D645" s="273"/>
      <c r="E645" s="503"/>
      <c r="F645" s="305"/>
      <c r="G645" s="265"/>
      <c r="H645" s="266"/>
      <c r="I645" s="295"/>
      <c r="J645" s="296"/>
      <c r="K645" s="296"/>
      <c r="L645" s="296"/>
      <c r="M645" s="21"/>
      <c r="N645" s="21"/>
      <c r="O645" s="21"/>
      <c r="P645" s="21"/>
      <c r="Q645" s="325"/>
      <c r="R645" s="21"/>
      <c r="S645" s="274"/>
      <c r="T645" s="21"/>
      <c r="U645" s="275"/>
      <c r="V645" s="82"/>
      <c r="Z645" s="181"/>
      <c r="AA645" s="183"/>
      <c r="AB645" s="35"/>
      <c r="AC645" s="25"/>
      <c r="AD645" s="279"/>
      <c r="AE645" s="26"/>
      <c r="AF645" s="26"/>
      <c r="AG645" s="278" t="str">
        <f t="shared" si="114"/>
        <v/>
      </c>
      <c r="AH645" s="278" t="str">
        <f t="shared" si="115"/>
        <v/>
      </c>
      <c r="AJ645" s="25"/>
      <c r="AK645" s="25"/>
      <c r="AL645" s="25"/>
      <c r="AM645" s="25"/>
      <c r="AN645" s="25"/>
      <c r="AO645" s="25"/>
      <c r="AP645" s="25"/>
      <c r="AQ645" s="25"/>
      <c r="AR645" s="25"/>
      <c r="AS645" s="25"/>
      <c r="AT645" s="25"/>
      <c r="AU645" s="25"/>
      <c r="AV645" s="43"/>
      <c r="AW645" s="43"/>
      <c r="AX645" s="114" t="s">
        <v>76</v>
      </c>
      <c r="AY645" s="43"/>
      <c r="AZ645" s="43"/>
      <c r="BA645" s="43"/>
      <c r="BB645" s="43"/>
    </row>
    <row r="646" spans="1:54" ht="12.75" customHeight="1">
      <c r="A646" s="80"/>
      <c r="B646" s="320"/>
      <c r="C646" s="272"/>
      <c r="D646" s="273"/>
      <c r="E646" s="503"/>
      <c r="F646" s="305"/>
      <c r="G646" s="265"/>
      <c r="H646" s="266"/>
      <c r="I646" s="295"/>
      <c r="J646" s="296"/>
      <c r="K646" s="296"/>
      <c r="L646" s="296"/>
      <c r="M646" s="21"/>
      <c r="N646" s="21"/>
      <c r="O646" s="21"/>
      <c r="P646" s="21"/>
      <c r="Q646" s="325"/>
      <c r="R646" s="21"/>
      <c r="S646" s="274"/>
      <c r="T646" s="21"/>
      <c r="U646" s="275"/>
      <c r="V646" s="82"/>
      <c r="Z646" s="181"/>
      <c r="AA646" s="183"/>
      <c r="AC646" s="26"/>
      <c r="AD646" s="279"/>
      <c r="AE646" s="26"/>
      <c r="AF646" s="26"/>
      <c r="AG646" s="278" t="str">
        <f t="shared" ref="AG646:AG709" si="116">IF(AE646="","",AE646*AltBounce)</f>
        <v/>
      </c>
      <c r="AH646" s="278" t="str">
        <f t="shared" ref="AH646:AH709" si="117">IF(AA646="","",AE646*(1/AltBounce))</f>
        <v/>
      </c>
      <c r="AJ646" s="25"/>
      <c r="AK646" s="25"/>
      <c r="AL646" s="25"/>
      <c r="AM646" s="25"/>
      <c r="AN646" s="25"/>
      <c r="AO646" s="25"/>
      <c r="AP646" s="25"/>
      <c r="AQ646" s="25"/>
      <c r="AR646" s="25"/>
      <c r="AS646" s="25"/>
      <c r="AT646" s="25"/>
      <c r="AU646" s="25"/>
      <c r="AV646" s="43"/>
      <c r="AW646" s="43"/>
      <c r="AX646" s="114" t="s">
        <v>76</v>
      </c>
      <c r="AY646" s="43"/>
      <c r="AZ646" s="43"/>
      <c r="BA646" s="43"/>
      <c r="BB646" s="43"/>
    </row>
    <row r="647" spans="1:54" ht="12.75" customHeight="1">
      <c r="A647" s="80"/>
      <c r="B647" s="320"/>
      <c r="C647" s="272"/>
      <c r="D647" s="273"/>
      <c r="E647" s="503"/>
      <c r="F647" s="305"/>
      <c r="G647" s="265"/>
      <c r="H647" s="266"/>
      <c r="I647" s="295"/>
      <c r="J647" s="296"/>
      <c r="K647" s="296"/>
      <c r="L647" s="296"/>
      <c r="M647" s="21"/>
      <c r="N647" s="21"/>
      <c r="O647" s="21"/>
      <c r="P647" s="21"/>
      <c r="Q647" s="325"/>
      <c r="R647" s="21"/>
      <c r="S647" s="274"/>
      <c r="T647" s="21"/>
      <c r="U647" s="275"/>
      <c r="V647" s="82"/>
      <c r="Z647" s="181"/>
      <c r="AA647" s="183"/>
      <c r="AC647" s="26"/>
      <c r="AD647" s="279"/>
      <c r="AE647" s="26"/>
      <c r="AF647" s="26"/>
      <c r="AG647" s="278" t="str">
        <f t="shared" si="116"/>
        <v/>
      </c>
      <c r="AH647" s="278" t="str">
        <f t="shared" si="117"/>
        <v/>
      </c>
      <c r="AJ647" s="25"/>
      <c r="AK647" s="25"/>
      <c r="AL647" s="25"/>
      <c r="AM647" s="25"/>
      <c r="AN647" s="25"/>
      <c r="AO647" s="25"/>
      <c r="AP647" s="25"/>
      <c r="AQ647" s="25"/>
      <c r="AR647" s="25"/>
      <c r="AS647" s="25"/>
      <c r="AT647" s="25"/>
      <c r="AU647" s="25"/>
      <c r="AV647" s="43"/>
      <c r="AW647" s="43"/>
      <c r="AX647" s="114" t="s">
        <v>76</v>
      </c>
      <c r="AY647" s="43"/>
      <c r="AZ647" s="43"/>
      <c r="BA647" s="43"/>
      <c r="BB647" s="43"/>
    </row>
    <row r="648" spans="1:54" ht="12.75" customHeight="1">
      <c r="A648" s="80"/>
      <c r="B648" s="320"/>
      <c r="C648" s="272"/>
      <c r="D648" s="273"/>
      <c r="E648" s="503"/>
      <c r="F648" s="305"/>
      <c r="G648" s="265"/>
      <c r="H648" s="266"/>
      <c r="I648" s="295"/>
      <c r="J648" s="296"/>
      <c r="K648" s="296"/>
      <c r="L648" s="296"/>
      <c r="M648" s="21"/>
      <c r="N648" s="21"/>
      <c r="O648" s="21"/>
      <c r="P648" s="21"/>
      <c r="Q648" s="325"/>
      <c r="R648" s="21"/>
      <c r="S648" s="274"/>
      <c r="T648" s="21"/>
      <c r="U648" s="275"/>
      <c r="V648" s="82"/>
      <c r="Z648" s="181"/>
      <c r="AA648" s="183"/>
      <c r="AB648" s="35"/>
      <c r="AC648" s="25"/>
      <c r="AD648" s="279"/>
      <c r="AE648" s="26"/>
      <c r="AF648" s="26"/>
      <c r="AG648" s="278" t="str">
        <f t="shared" si="116"/>
        <v/>
      </c>
      <c r="AH648" s="278" t="str">
        <f t="shared" si="117"/>
        <v/>
      </c>
      <c r="AJ648" s="25"/>
      <c r="AK648" s="25"/>
      <c r="AL648" s="25"/>
      <c r="AM648" s="25"/>
      <c r="AN648" s="25"/>
      <c r="AO648" s="25"/>
      <c r="AP648" s="25"/>
      <c r="AQ648" s="25"/>
      <c r="AR648" s="25"/>
      <c r="AS648" s="25"/>
      <c r="AT648" s="25"/>
      <c r="AU648" s="25"/>
      <c r="AV648" s="43"/>
      <c r="AW648" s="43"/>
      <c r="AX648" s="114" t="s">
        <v>76</v>
      </c>
      <c r="AY648" s="43"/>
      <c r="AZ648" s="43"/>
      <c r="BA648" s="43"/>
      <c r="BB648" s="43"/>
    </row>
    <row r="649" spans="1:54" ht="12.75" customHeight="1">
      <c r="A649" s="80"/>
      <c r="B649" s="320"/>
      <c r="C649" s="272"/>
      <c r="D649" s="273"/>
      <c r="E649" s="503"/>
      <c r="F649" s="305"/>
      <c r="G649" s="265"/>
      <c r="H649" s="266"/>
      <c r="I649" s="295"/>
      <c r="J649" s="296"/>
      <c r="K649" s="296"/>
      <c r="L649" s="296"/>
      <c r="M649" s="21"/>
      <c r="N649" s="21"/>
      <c r="O649" s="21"/>
      <c r="P649" s="21"/>
      <c r="Q649" s="325"/>
      <c r="R649" s="21"/>
      <c r="S649" s="274"/>
      <c r="T649" s="21"/>
      <c r="U649" s="275"/>
      <c r="V649" s="82"/>
      <c r="Z649" s="181"/>
      <c r="AA649" s="183"/>
      <c r="AC649" s="26"/>
      <c r="AD649" s="279"/>
      <c r="AE649" s="26"/>
      <c r="AF649" s="26"/>
      <c r="AG649" s="278" t="str">
        <f t="shared" si="116"/>
        <v/>
      </c>
      <c r="AH649" s="278" t="str">
        <f t="shared" si="117"/>
        <v/>
      </c>
      <c r="AJ649" s="25"/>
      <c r="AK649" s="25"/>
      <c r="AL649" s="25"/>
      <c r="AM649" s="25"/>
      <c r="AN649" s="25"/>
      <c r="AO649" s="25"/>
      <c r="AP649" s="25"/>
      <c r="AQ649" s="25"/>
      <c r="AR649" s="25"/>
      <c r="AS649" s="25"/>
      <c r="AT649" s="25"/>
      <c r="AU649" s="25"/>
      <c r="AV649" s="43"/>
      <c r="AW649" s="43"/>
      <c r="AX649" s="114" t="s">
        <v>76</v>
      </c>
      <c r="AY649" s="43"/>
      <c r="AZ649" s="43"/>
      <c r="BA649" s="43"/>
      <c r="BB649" s="43"/>
    </row>
    <row r="650" spans="1:54" ht="12.75" customHeight="1">
      <c r="A650" s="80"/>
      <c r="B650" s="320"/>
      <c r="C650" s="272"/>
      <c r="D650" s="273"/>
      <c r="E650" s="503"/>
      <c r="F650" s="305"/>
      <c r="G650" s="265"/>
      <c r="H650" s="266"/>
      <c r="I650" s="295"/>
      <c r="J650" s="296"/>
      <c r="K650" s="296"/>
      <c r="L650" s="296"/>
      <c r="M650" s="21"/>
      <c r="N650" s="21"/>
      <c r="O650" s="21"/>
      <c r="P650" s="21"/>
      <c r="Q650" s="325"/>
      <c r="R650" s="21"/>
      <c r="S650" s="274"/>
      <c r="T650" s="21"/>
      <c r="U650" s="275"/>
      <c r="V650" s="82"/>
      <c r="Z650" s="181"/>
      <c r="AA650" s="183"/>
      <c r="AC650" s="26"/>
      <c r="AD650" s="279"/>
      <c r="AE650" s="26"/>
      <c r="AF650" s="26"/>
      <c r="AG650" s="278" t="str">
        <f t="shared" si="116"/>
        <v/>
      </c>
      <c r="AH650" s="278" t="str">
        <f t="shared" si="117"/>
        <v/>
      </c>
      <c r="AJ650" s="25"/>
      <c r="AK650" s="25"/>
      <c r="AL650" s="25"/>
      <c r="AM650" s="25"/>
      <c r="AN650" s="25"/>
      <c r="AO650" s="25"/>
      <c r="AP650" s="25"/>
      <c r="AQ650" s="25"/>
      <c r="AR650" s="25"/>
      <c r="AS650" s="25"/>
      <c r="AT650" s="25"/>
      <c r="AU650" s="25"/>
      <c r="AV650" s="43"/>
      <c r="AW650" s="43"/>
      <c r="AX650" s="114" t="s">
        <v>76</v>
      </c>
      <c r="AY650" s="43"/>
      <c r="AZ650" s="43"/>
      <c r="BA650" s="43"/>
      <c r="BB650" s="43"/>
    </row>
    <row r="651" spans="1:54" ht="12.75" customHeight="1">
      <c r="A651" s="80"/>
      <c r="B651" s="320"/>
      <c r="C651" s="272"/>
      <c r="D651" s="273"/>
      <c r="E651" s="503"/>
      <c r="F651" s="305"/>
      <c r="G651" s="265"/>
      <c r="H651" s="266"/>
      <c r="I651" s="295"/>
      <c r="J651" s="296"/>
      <c r="K651" s="296"/>
      <c r="L651" s="296"/>
      <c r="M651" s="21"/>
      <c r="N651" s="21"/>
      <c r="O651" s="21"/>
      <c r="P651" s="21"/>
      <c r="Q651" s="325"/>
      <c r="R651" s="21"/>
      <c r="S651" s="274"/>
      <c r="T651" s="21"/>
      <c r="U651" s="275"/>
      <c r="V651" s="82"/>
      <c r="Z651" s="181"/>
      <c r="AA651" s="183"/>
      <c r="AC651" s="26"/>
      <c r="AD651" s="279"/>
      <c r="AE651" s="26"/>
      <c r="AF651" s="26"/>
      <c r="AG651" s="278" t="str">
        <f t="shared" si="116"/>
        <v/>
      </c>
      <c r="AH651" s="278" t="str">
        <f t="shared" si="117"/>
        <v/>
      </c>
      <c r="AJ651" s="25"/>
      <c r="AK651" s="25"/>
      <c r="AL651" s="25"/>
      <c r="AM651" s="25"/>
      <c r="AN651" s="25"/>
      <c r="AO651" s="25"/>
      <c r="AP651" s="25"/>
      <c r="AQ651" s="25"/>
      <c r="AR651" s="25"/>
      <c r="AS651" s="25"/>
      <c r="AT651" s="25"/>
      <c r="AU651" s="25"/>
      <c r="AV651" s="43"/>
      <c r="AW651" s="43"/>
      <c r="AX651" s="114" t="s">
        <v>76</v>
      </c>
      <c r="AY651" s="43"/>
      <c r="AZ651" s="43"/>
      <c r="BA651" s="43"/>
      <c r="BB651" s="43"/>
    </row>
    <row r="652" spans="1:54" ht="12.75" customHeight="1">
      <c r="A652" s="80"/>
      <c r="B652" s="320"/>
      <c r="C652" s="272"/>
      <c r="D652" s="273"/>
      <c r="E652" s="503"/>
      <c r="F652" s="305"/>
      <c r="G652" s="265"/>
      <c r="H652" s="266"/>
      <c r="I652" s="295"/>
      <c r="J652" s="296"/>
      <c r="K652" s="296"/>
      <c r="L652" s="296"/>
      <c r="M652" s="21"/>
      <c r="N652" s="21"/>
      <c r="O652" s="21"/>
      <c r="P652" s="21"/>
      <c r="Q652" s="325"/>
      <c r="R652" s="21"/>
      <c r="S652" s="274"/>
      <c r="T652" s="21"/>
      <c r="U652" s="275"/>
      <c r="V652" s="82"/>
      <c r="Z652" s="181"/>
      <c r="AA652" s="183"/>
      <c r="AC652" s="26"/>
      <c r="AD652" s="279"/>
      <c r="AE652" s="26"/>
      <c r="AF652" s="26"/>
      <c r="AG652" s="278" t="str">
        <f t="shared" si="116"/>
        <v/>
      </c>
      <c r="AH652" s="278" t="str">
        <f t="shared" si="117"/>
        <v/>
      </c>
      <c r="AJ652" s="25"/>
      <c r="AK652" s="25"/>
      <c r="AL652" s="25"/>
      <c r="AM652" s="25"/>
      <c r="AN652" s="25"/>
      <c r="AO652" s="25"/>
      <c r="AP652" s="25"/>
      <c r="AQ652" s="25"/>
      <c r="AR652" s="25"/>
      <c r="AS652" s="25"/>
      <c r="AT652" s="25"/>
      <c r="AU652" s="25"/>
      <c r="AV652" s="43"/>
      <c r="AW652" s="43"/>
      <c r="AX652" s="114" t="s">
        <v>76</v>
      </c>
      <c r="AY652" s="43"/>
      <c r="AZ652" s="43"/>
      <c r="BA652" s="43"/>
      <c r="BB652" s="43"/>
    </row>
    <row r="653" spans="1:54" ht="12.75" customHeight="1">
      <c r="A653" s="80"/>
      <c r="B653" s="320"/>
      <c r="C653" s="272"/>
      <c r="D653" s="273"/>
      <c r="E653" s="503"/>
      <c r="F653" s="305"/>
      <c r="G653" s="265"/>
      <c r="H653" s="266"/>
      <c r="I653" s="295"/>
      <c r="J653" s="296"/>
      <c r="K653" s="296"/>
      <c r="L653" s="296"/>
      <c r="M653" s="21"/>
      <c r="N653" s="21"/>
      <c r="O653" s="21"/>
      <c r="P653" s="21"/>
      <c r="Q653" s="325"/>
      <c r="R653" s="21"/>
      <c r="S653" s="274"/>
      <c r="T653" s="21"/>
      <c r="U653" s="275"/>
      <c r="V653" s="82"/>
      <c r="Z653" s="181"/>
      <c r="AA653" s="183"/>
      <c r="AC653" s="26"/>
      <c r="AD653" s="279"/>
      <c r="AE653" s="26"/>
      <c r="AF653" s="26"/>
      <c r="AG653" s="278" t="str">
        <f t="shared" si="116"/>
        <v/>
      </c>
      <c r="AH653" s="278" t="str">
        <f t="shared" si="117"/>
        <v/>
      </c>
      <c r="AJ653" s="25"/>
      <c r="AK653" s="25"/>
      <c r="AL653" s="25"/>
      <c r="AM653" s="25"/>
      <c r="AN653" s="25"/>
      <c r="AO653" s="25"/>
      <c r="AP653" s="25"/>
      <c r="AQ653" s="25"/>
      <c r="AR653" s="25"/>
      <c r="AS653" s="25"/>
      <c r="AT653" s="25"/>
      <c r="AU653" s="25"/>
      <c r="AV653" s="43"/>
      <c r="AW653" s="43"/>
      <c r="AX653" s="114" t="s">
        <v>76</v>
      </c>
      <c r="AY653" s="43"/>
      <c r="AZ653" s="43"/>
      <c r="BA653" s="43"/>
      <c r="BB653" s="43"/>
    </row>
    <row r="654" spans="1:54" ht="12.75" customHeight="1">
      <c r="A654" s="80"/>
      <c r="B654" s="320"/>
      <c r="C654" s="272"/>
      <c r="D654" s="273"/>
      <c r="E654" s="503"/>
      <c r="F654" s="305"/>
      <c r="G654" s="265"/>
      <c r="H654" s="266"/>
      <c r="I654" s="295"/>
      <c r="J654" s="296"/>
      <c r="K654" s="296"/>
      <c r="L654" s="296"/>
      <c r="M654" s="21"/>
      <c r="N654" s="21"/>
      <c r="O654" s="21"/>
      <c r="P654" s="21"/>
      <c r="Q654" s="325"/>
      <c r="R654" s="21"/>
      <c r="S654" s="274"/>
      <c r="T654" s="21"/>
      <c r="U654" s="275"/>
      <c r="V654" s="82"/>
      <c r="Z654" s="181"/>
      <c r="AA654" s="183"/>
      <c r="AB654" s="35"/>
      <c r="AC654" s="25"/>
      <c r="AD654" s="279"/>
      <c r="AE654" s="26"/>
      <c r="AF654" s="26"/>
      <c r="AG654" s="278" t="str">
        <f t="shared" si="116"/>
        <v/>
      </c>
      <c r="AH654" s="278" t="str">
        <f t="shared" si="117"/>
        <v/>
      </c>
      <c r="AJ654" s="25"/>
      <c r="AK654" s="25"/>
      <c r="AL654" s="25"/>
      <c r="AM654" s="25"/>
      <c r="AN654" s="25"/>
      <c r="AO654" s="25"/>
      <c r="AP654" s="25"/>
      <c r="AQ654" s="25"/>
      <c r="AR654" s="25"/>
      <c r="AS654" s="25"/>
      <c r="AT654" s="25"/>
      <c r="AU654" s="25"/>
      <c r="AV654" s="43"/>
      <c r="AW654" s="43"/>
      <c r="AX654" s="114" t="s">
        <v>76</v>
      </c>
      <c r="AY654" s="43"/>
      <c r="AZ654" s="43"/>
      <c r="BA654" s="43"/>
      <c r="BB654" s="43"/>
    </row>
    <row r="655" spans="1:54" ht="12.75" customHeight="1">
      <c r="A655" s="80"/>
      <c r="B655" s="320"/>
      <c r="C655" s="272"/>
      <c r="D655" s="273"/>
      <c r="E655" s="503"/>
      <c r="F655" s="305"/>
      <c r="G655" s="265"/>
      <c r="H655" s="266"/>
      <c r="I655" s="295"/>
      <c r="J655" s="296"/>
      <c r="K655" s="296"/>
      <c r="L655" s="296"/>
      <c r="M655" s="21"/>
      <c r="N655" s="21"/>
      <c r="O655" s="21"/>
      <c r="P655" s="21"/>
      <c r="Q655" s="325"/>
      <c r="R655" s="21"/>
      <c r="S655" s="274"/>
      <c r="T655" s="21"/>
      <c r="U655" s="275"/>
      <c r="V655" s="82"/>
      <c r="Z655" s="181"/>
      <c r="AA655" s="183"/>
      <c r="AC655" s="26"/>
      <c r="AD655" s="279"/>
      <c r="AE655" s="26"/>
      <c r="AF655" s="26"/>
      <c r="AG655" s="278" t="str">
        <f t="shared" si="116"/>
        <v/>
      </c>
      <c r="AH655" s="278" t="str">
        <f t="shared" si="117"/>
        <v/>
      </c>
      <c r="AJ655" s="25"/>
      <c r="AK655" s="25"/>
      <c r="AL655" s="25"/>
      <c r="AM655" s="25"/>
      <c r="AN655" s="25"/>
      <c r="AO655" s="25"/>
      <c r="AP655" s="25"/>
      <c r="AQ655" s="25"/>
      <c r="AR655" s="25"/>
      <c r="AS655" s="25"/>
      <c r="AT655" s="25"/>
      <c r="AU655" s="25"/>
      <c r="AV655" s="43"/>
      <c r="AW655" s="43"/>
      <c r="AX655" s="114" t="s">
        <v>76</v>
      </c>
      <c r="AY655" s="43"/>
      <c r="AZ655" s="43"/>
      <c r="BA655" s="43"/>
      <c r="BB655" s="43"/>
    </row>
    <row r="656" spans="1:54" ht="12.75" customHeight="1">
      <c r="A656" s="80"/>
      <c r="B656" s="320"/>
      <c r="C656" s="272"/>
      <c r="D656" s="273"/>
      <c r="E656" s="503"/>
      <c r="F656" s="305"/>
      <c r="G656" s="265"/>
      <c r="H656" s="266"/>
      <c r="I656" s="295"/>
      <c r="J656" s="296"/>
      <c r="K656" s="296"/>
      <c r="L656" s="296"/>
      <c r="M656" s="21"/>
      <c r="N656" s="21"/>
      <c r="O656" s="21"/>
      <c r="P656" s="21"/>
      <c r="Q656" s="325"/>
      <c r="R656" s="21"/>
      <c r="S656" s="274"/>
      <c r="T656" s="21"/>
      <c r="U656" s="275"/>
      <c r="V656" s="82"/>
      <c r="Z656" s="181"/>
      <c r="AA656" s="183"/>
      <c r="AB656" s="35"/>
      <c r="AC656" s="25"/>
      <c r="AD656" s="279"/>
      <c r="AE656" s="26"/>
      <c r="AF656" s="26"/>
      <c r="AG656" s="278" t="str">
        <f t="shared" si="116"/>
        <v/>
      </c>
      <c r="AH656" s="278" t="str">
        <f t="shared" si="117"/>
        <v/>
      </c>
      <c r="AJ656" s="25"/>
      <c r="AK656" s="25"/>
      <c r="AL656" s="25"/>
      <c r="AM656" s="25"/>
      <c r="AN656" s="25"/>
      <c r="AO656" s="25"/>
      <c r="AP656" s="25"/>
      <c r="AQ656" s="25"/>
      <c r="AR656" s="25"/>
      <c r="AS656" s="25"/>
      <c r="AT656" s="25"/>
      <c r="AU656" s="25"/>
      <c r="AV656" s="43"/>
      <c r="AW656" s="43"/>
      <c r="AX656" s="114" t="s">
        <v>76</v>
      </c>
      <c r="AY656" s="43"/>
      <c r="AZ656" s="43"/>
      <c r="BA656" s="43"/>
      <c r="BB656" s="43"/>
    </row>
    <row r="657" spans="1:54" ht="12.75" customHeight="1">
      <c r="A657" s="80"/>
      <c r="B657" s="320"/>
      <c r="C657" s="272"/>
      <c r="D657" s="273"/>
      <c r="E657" s="503"/>
      <c r="F657" s="305"/>
      <c r="G657" s="265"/>
      <c r="H657" s="266"/>
      <c r="I657" s="295"/>
      <c r="J657" s="296"/>
      <c r="K657" s="296"/>
      <c r="L657" s="296"/>
      <c r="M657" s="21"/>
      <c r="N657" s="21"/>
      <c r="O657" s="21"/>
      <c r="P657" s="21"/>
      <c r="Q657" s="325"/>
      <c r="R657" s="21"/>
      <c r="S657" s="274"/>
      <c r="T657" s="21"/>
      <c r="U657" s="275"/>
      <c r="V657" s="82"/>
      <c r="Z657" s="181"/>
      <c r="AA657" s="183"/>
      <c r="AB657" s="35"/>
      <c r="AC657" s="25"/>
      <c r="AD657" s="279"/>
      <c r="AE657" s="26"/>
      <c r="AF657" s="26"/>
      <c r="AG657" s="278" t="str">
        <f t="shared" si="116"/>
        <v/>
      </c>
      <c r="AH657" s="278" t="str">
        <f t="shared" si="117"/>
        <v/>
      </c>
      <c r="AJ657" s="25"/>
      <c r="AK657" s="25"/>
      <c r="AL657" s="25"/>
      <c r="AM657" s="25"/>
      <c r="AN657" s="25"/>
      <c r="AO657" s="25"/>
      <c r="AP657" s="25"/>
      <c r="AQ657" s="25"/>
      <c r="AR657" s="25"/>
      <c r="AS657" s="25"/>
      <c r="AT657" s="25"/>
      <c r="AU657" s="25"/>
      <c r="AV657" s="43"/>
      <c r="AW657" s="43"/>
      <c r="AX657" s="114" t="s">
        <v>76</v>
      </c>
      <c r="AY657" s="43"/>
      <c r="AZ657" s="43"/>
      <c r="BA657" s="43"/>
      <c r="BB657" s="43"/>
    </row>
    <row r="658" spans="1:54" ht="12.75" customHeight="1">
      <c r="A658" s="80"/>
      <c r="B658" s="320"/>
      <c r="C658" s="272"/>
      <c r="D658" s="273"/>
      <c r="E658" s="503"/>
      <c r="F658" s="305"/>
      <c r="G658" s="265"/>
      <c r="H658" s="266"/>
      <c r="I658" s="295"/>
      <c r="J658" s="296"/>
      <c r="K658" s="296"/>
      <c r="L658" s="296"/>
      <c r="M658" s="21"/>
      <c r="N658" s="21"/>
      <c r="O658" s="21"/>
      <c r="P658" s="21"/>
      <c r="Q658" s="325"/>
      <c r="R658" s="21"/>
      <c r="S658" s="274"/>
      <c r="T658" s="21"/>
      <c r="U658" s="275"/>
      <c r="V658" s="82"/>
      <c r="Z658" s="181"/>
      <c r="AA658" s="183"/>
      <c r="AC658" s="26"/>
      <c r="AD658" s="279"/>
      <c r="AE658" s="26"/>
      <c r="AF658" s="26"/>
      <c r="AG658" s="278" t="str">
        <f t="shared" si="116"/>
        <v/>
      </c>
      <c r="AH658" s="278" t="str">
        <f t="shared" si="117"/>
        <v/>
      </c>
      <c r="AJ658" s="25"/>
      <c r="AK658" s="25"/>
      <c r="AL658" s="25"/>
      <c r="AM658" s="25"/>
      <c r="AN658" s="25"/>
      <c r="AO658" s="25"/>
      <c r="AP658" s="25"/>
      <c r="AQ658" s="25"/>
      <c r="AR658" s="25"/>
      <c r="AS658" s="25"/>
      <c r="AT658" s="25"/>
      <c r="AU658" s="25"/>
      <c r="AV658" s="43"/>
      <c r="AW658" s="43"/>
      <c r="AX658" s="114" t="s">
        <v>76</v>
      </c>
      <c r="AY658" s="43"/>
      <c r="AZ658" s="43"/>
      <c r="BA658" s="43"/>
      <c r="BB658" s="43"/>
    </row>
    <row r="659" spans="1:54" ht="12.75" customHeight="1">
      <c r="A659" s="80"/>
      <c r="B659" s="320"/>
      <c r="C659" s="272"/>
      <c r="D659" s="273"/>
      <c r="E659" s="503"/>
      <c r="F659" s="305"/>
      <c r="G659" s="265"/>
      <c r="H659" s="266"/>
      <c r="I659" s="295"/>
      <c r="J659" s="296"/>
      <c r="K659" s="296"/>
      <c r="L659" s="296"/>
      <c r="M659" s="21"/>
      <c r="N659" s="21"/>
      <c r="O659" s="21"/>
      <c r="P659" s="21"/>
      <c r="Q659" s="325"/>
      <c r="R659" s="21"/>
      <c r="S659" s="274"/>
      <c r="T659" s="21"/>
      <c r="U659" s="275"/>
      <c r="V659" s="82"/>
      <c r="Z659" s="181"/>
      <c r="AA659" s="183"/>
      <c r="AB659" s="35"/>
      <c r="AC659" s="25"/>
      <c r="AD659" s="279"/>
      <c r="AE659" s="26"/>
      <c r="AF659" s="26"/>
      <c r="AG659" s="278" t="str">
        <f t="shared" si="116"/>
        <v/>
      </c>
      <c r="AH659" s="278" t="str">
        <f t="shared" si="117"/>
        <v/>
      </c>
      <c r="AJ659" s="25"/>
      <c r="AK659" s="25"/>
      <c r="AL659" s="25"/>
      <c r="AM659" s="25"/>
      <c r="AN659" s="25"/>
      <c r="AO659" s="25"/>
      <c r="AP659" s="25"/>
      <c r="AQ659" s="25"/>
      <c r="AR659" s="25"/>
      <c r="AS659" s="25"/>
      <c r="AT659" s="25"/>
      <c r="AU659" s="25"/>
      <c r="AV659" s="43"/>
      <c r="AW659" s="43"/>
      <c r="AX659" s="114" t="s">
        <v>76</v>
      </c>
      <c r="AY659" s="43"/>
      <c r="AZ659" s="43"/>
      <c r="BA659" s="43"/>
      <c r="BB659" s="43"/>
    </row>
    <row r="660" spans="1:54" ht="12.75" customHeight="1">
      <c r="A660" s="80"/>
      <c r="B660" s="320"/>
      <c r="C660" s="272"/>
      <c r="D660" s="273"/>
      <c r="E660" s="503"/>
      <c r="F660" s="305"/>
      <c r="G660" s="265"/>
      <c r="H660" s="266"/>
      <c r="I660" s="295"/>
      <c r="J660" s="296"/>
      <c r="K660" s="296"/>
      <c r="L660" s="296"/>
      <c r="M660" s="21"/>
      <c r="N660" s="21"/>
      <c r="O660" s="21"/>
      <c r="P660" s="21"/>
      <c r="Q660" s="325"/>
      <c r="R660" s="21"/>
      <c r="S660" s="274"/>
      <c r="T660" s="21"/>
      <c r="U660" s="275"/>
      <c r="V660" s="82"/>
      <c r="Z660" s="181"/>
      <c r="AA660" s="183"/>
      <c r="AC660" s="26"/>
      <c r="AD660" s="279"/>
      <c r="AE660" s="26"/>
      <c r="AF660" s="26"/>
      <c r="AG660" s="278" t="str">
        <f t="shared" si="116"/>
        <v/>
      </c>
      <c r="AH660" s="278" t="str">
        <f t="shared" si="117"/>
        <v/>
      </c>
      <c r="AJ660" s="25"/>
      <c r="AK660" s="25"/>
      <c r="AL660" s="25"/>
      <c r="AM660" s="25"/>
      <c r="AN660" s="25"/>
      <c r="AO660" s="25"/>
      <c r="AP660" s="25"/>
      <c r="AQ660" s="25"/>
      <c r="AR660" s="25"/>
      <c r="AS660" s="25"/>
      <c r="AT660" s="25"/>
      <c r="AU660" s="25"/>
      <c r="AV660" s="43"/>
      <c r="AW660" s="43"/>
      <c r="AX660" s="114" t="s">
        <v>76</v>
      </c>
      <c r="AY660" s="43"/>
      <c r="AZ660" s="43"/>
      <c r="BA660" s="43"/>
      <c r="BB660" s="43"/>
    </row>
    <row r="661" spans="1:54" ht="12.75" customHeight="1">
      <c r="A661" s="80"/>
      <c r="B661" s="320"/>
      <c r="C661" s="272"/>
      <c r="D661" s="273"/>
      <c r="E661" s="503"/>
      <c r="F661" s="305"/>
      <c r="G661" s="265"/>
      <c r="H661" s="266"/>
      <c r="I661" s="295"/>
      <c r="J661" s="296"/>
      <c r="K661" s="296"/>
      <c r="L661" s="296"/>
      <c r="M661" s="21"/>
      <c r="N661" s="21"/>
      <c r="O661" s="21"/>
      <c r="P661" s="21"/>
      <c r="Q661" s="325"/>
      <c r="R661" s="21"/>
      <c r="S661" s="274"/>
      <c r="T661" s="21"/>
      <c r="U661" s="275"/>
      <c r="V661" s="82"/>
      <c r="Z661" s="181"/>
      <c r="AA661" s="183"/>
      <c r="AC661" s="27"/>
      <c r="AD661" s="279"/>
      <c r="AE661" s="26"/>
      <c r="AF661" s="26"/>
      <c r="AG661" s="278" t="str">
        <f t="shared" si="116"/>
        <v/>
      </c>
      <c r="AH661" s="278" t="str">
        <f t="shared" si="117"/>
        <v/>
      </c>
      <c r="AJ661" s="25"/>
      <c r="AK661" s="25"/>
      <c r="AL661" s="25"/>
      <c r="AM661" s="25"/>
      <c r="AN661" s="25"/>
      <c r="AO661" s="25"/>
      <c r="AP661" s="25"/>
      <c r="AQ661" s="25"/>
      <c r="AR661" s="25"/>
      <c r="AS661" s="25"/>
      <c r="AT661" s="25"/>
      <c r="AU661" s="25"/>
      <c r="AV661" s="43"/>
      <c r="AW661" s="43"/>
      <c r="AX661" s="114" t="s">
        <v>76</v>
      </c>
      <c r="AY661" s="43"/>
      <c r="AZ661" s="43"/>
      <c r="BA661" s="43"/>
      <c r="BB661" s="43"/>
    </row>
    <row r="662" spans="1:54" ht="12.75" customHeight="1">
      <c r="A662" s="80"/>
      <c r="B662" s="320"/>
      <c r="C662" s="272"/>
      <c r="D662" s="273"/>
      <c r="E662" s="503"/>
      <c r="F662" s="305"/>
      <c r="G662" s="265"/>
      <c r="H662" s="266"/>
      <c r="I662" s="295"/>
      <c r="J662" s="296"/>
      <c r="K662" s="296"/>
      <c r="L662" s="296"/>
      <c r="M662" s="21"/>
      <c r="N662" s="21"/>
      <c r="O662" s="21"/>
      <c r="P662" s="21"/>
      <c r="Q662" s="325"/>
      <c r="R662" s="21"/>
      <c r="S662" s="274"/>
      <c r="T662" s="21"/>
      <c r="U662" s="275"/>
      <c r="V662" s="82"/>
      <c r="Z662" s="181"/>
      <c r="AA662" s="183"/>
      <c r="AC662" s="26"/>
      <c r="AD662" s="279"/>
      <c r="AE662" s="26"/>
      <c r="AF662" s="26"/>
      <c r="AG662" s="278" t="str">
        <f t="shared" si="116"/>
        <v/>
      </c>
      <c r="AH662" s="278" t="str">
        <f t="shared" si="117"/>
        <v/>
      </c>
      <c r="AJ662" s="25"/>
      <c r="AK662" s="25"/>
      <c r="AL662" s="25"/>
      <c r="AM662" s="25"/>
      <c r="AN662" s="25"/>
      <c r="AO662" s="25"/>
      <c r="AP662" s="25"/>
      <c r="AQ662" s="25"/>
      <c r="AR662" s="25"/>
      <c r="AS662" s="25"/>
      <c r="AT662" s="25"/>
      <c r="AU662" s="25"/>
      <c r="AV662" s="43"/>
      <c r="AW662" s="43"/>
      <c r="AX662" s="114" t="s">
        <v>76</v>
      </c>
      <c r="AY662" s="43"/>
      <c r="AZ662" s="43"/>
      <c r="BA662" s="43"/>
      <c r="BB662" s="43"/>
    </row>
    <row r="663" spans="1:54" ht="12.75" customHeight="1">
      <c r="A663" s="80"/>
      <c r="B663" s="320"/>
      <c r="C663" s="272"/>
      <c r="D663" s="273"/>
      <c r="E663" s="503"/>
      <c r="F663" s="305"/>
      <c r="G663" s="265"/>
      <c r="H663" s="266"/>
      <c r="I663" s="295"/>
      <c r="J663" s="296"/>
      <c r="K663" s="296"/>
      <c r="L663" s="296"/>
      <c r="M663" s="21"/>
      <c r="N663" s="21"/>
      <c r="O663" s="21"/>
      <c r="P663" s="21"/>
      <c r="Q663" s="325"/>
      <c r="R663" s="21"/>
      <c r="S663" s="274"/>
      <c r="T663" s="21"/>
      <c r="U663" s="275"/>
      <c r="V663" s="82"/>
      <c r="Z663" s="181"/>
      <c r="AA663" s="183"/>
      <c r="AC663" s="26"/>
      <c r="AD663" s="279"/>
      <c r="AE663" s="26"/>
      <c r="AF663" s="26"/>
      <c r="AG663" s="278" t="str">
        <f t="shared" si="116"/>
        <v/>
      </c>
      <c r="AH663" s="278" t="str">
        <f t="shared" si="117"/>
        <v/>
      </c>
      <c r="AJ663" s="25"/>
      <c r="AK663" s="25"/>
      <c r="AL663" s="25"/>
      <c r="AM663" s="25"/>
      <c r="AN663" s="25"/>
      <c r="AO663" s="25"/>
      <c r="AP663" s="25"/>
      <c r="AQ663" s="25"/>
      <c r="AR663" s="25"/>
      <c r="AS663" s="25"/>
      <c r="AT663" s="25"/>
      <c r="AU663" s="25"/>
      <c r="AV663" s="43"/>
      <c r="AW663" s="43"/>
      <c r="AX663" s="114" t="s">
        <v>76</v>
      </c>
      <c r="AY663" s="43"/>
      <c r="AZ663" s="43"/>
      <c r="BA663" s="43"/>
      <c r="BB663" s="43"/>
    </row>
    <row r="664" spans="1:54" ht="12.75" customHeight="1">
      <c r="A664" s="80"/>
      <c r="B664" s="320"/>
      <c r="C664" s="272"/>
      <c r="D664" s="273"/>
      <c r="E664" s="503"/>
      <c r="F664" s="305"/>
      <c r="G664" s="265"/>
      <c r="H664" s="266"/>
      <c r="I664" s="295"/>
      <c r="J664" s="296"/>
      <c r="K664" s="296"/>
      <c r="L664" s="296"/>
      <c r="M664" s="21"/>
      <c r="N664" s="21"/>
      <c r="O664" s="21"/>
      <c r="P664" s="21"/>
      <c r="Q664" s="325"/>
      <c r="R664" s="21"/>
      <c r="S664" s="274"/>
      <c r="T664" s="21"/>
      <c r="U664" s="275"/>
      <c r="V664" s="82"/>
      <c r="Z664" s="181"/>
      <c r="AA664" s="183"/>
      <c r="AB664" s="30"/>
      <c r="AC664" s="29"/>
      <c r="AD664" s="279"/>
      <c r="AE664" s="26"/>
      <c r="AF664" s="26"/>
      <c r="AG664" s="278" t="str">
        <f t="shared" si="116"/>
        <v/>
      </c>
      <c r="AH664" s="278" t="str">
        <f t="shared" si="117"/>
        <v/>
      </c>
      <c r="AJ664" s="25"/>
      <c r="AK664" s="25"/>
      <c r="AL664" s="25"/>
      <c r="AM664" s="25"/>
      <c r="AN664" s="25"/>
      <c r="AO664" s="25"/>
      <c r="AP664" s="25"/>
      <c r="AQ664" s="25"/>
      <c r="AR664" s="25"/>
      <c r="AS664" s="25"/>
      <c r="AT664" s="25"/>
      <c r="AU664" s="25"/>
      <c r="AV664" s="43"/>
      <c r="AW664" s="43"/>
      <c r="AX664" s="114" t="s">
        <v>76</v>
      </c>
      <c r="AY664" s="43"/>
      <c r="AZ664" s="43"/>
      <c r="BA664" s="43"/>
      <c r="BB664" s="43"/>
    </row>
    <row r="665" spans="1:54" ht="12.75" customHeight="1">
      <c r="A665" s="80"/>
      <c r="B665" s="320"/>
      <c r="C665" s="272"/>
      <c r="D665" s="273"/>
      <c r="E665" s="503"/>
      <c r="F665" s="305"/>
      <c r="G665" s="265"/>
      <c r="H665" s="266"/>
      <c r="I665" s="295"/>
      <c r="J665" s="296"/>
      <c r="K665" s="296"/>
      <c r="L665" s="296"/>
      <c r="M665" s="21"/>
      <c r="N665" s="21"/>
      <c r="O665" s="21"/>
      <c r="P665" s="21"/>
      <c r="Q665" s="325"/>
      <c r="R665" s="21"/>
      <c r="S665" s="274"/>
      <c r="T665" s="21"/>
      <c r="U665" s="275"/>
      <c r="V665" s="82"/>
      <c r="Z665" s="181"/>
      <c r="AA665" s="183"/>
      <c r="AC665" s="26"/>
      <c r="AD665" s="279"/>
      <c r="AE665" s="26"/>
      <c r="AF665" s="26"/>
      <c r="AG665" s="278" t="str">
        <f t="shared" si="116"/>
        <v/>
      </c>
      <c r="AH665" s="278" t="str">
        <f t="shared" si="117"/>
        <v/>
      </c>
      <c r="AJ665" s="25"/>
      <c r="AK665" s="25"/>
      <c r="AL665" s="25"/>
      <c r="AM665" s="25"/>
      <c r="AN665" s="25"/>
      <c r="AO665" s="25"/>
      <c r="AP665" s="25"/>
      <c r="AQ665" s="25"/>
      <c r="AR665" s="25"/>
      <c r="AS665" s="25"/>
      <c r="AT665" s="25"/>
      <c r="AU665" s="25"/>
      <c r="AV665" s="43"/>
      <c r="AW665" s="43"/>
      <c r="AX665" s="114" t="s">
        <v>76</v>
      </c>
      <c r="AY665" s="43"/>
      <c r="AZ665" s="43"/>
      <c r="BA665" s="43"/>
      <c r="BB665" s="43"/>
    </row>
    <row r="666" spans="1:54" ht="12.75" customHeight="1">
      <c r="A666" s="80"/>
      <c r="B666" s="320"/>
      <c r="C666" s="272"/>
      <c r="D666" s="273"/>
      <c r="E666" s="503"/>
      <c r="F666" s="305"/>
      <c r="G666" s="265"/>
      <c r="H666" s="266"/>
      <c r="I666" s="295"/>
      <c r="J666" s="296"/>
      <c r="K666" s="296"/>
      <c r="L666" s="296"/>
      <c r="M666" s="21"/>
      <c r="N666" s="21"/>
      <c r="O666" s="21"/>
      <c r="P666" s="21"/>
      <c r="Q666" s="325"/>
      <c r="R666" s="21"/>
      <c r="S666" s="274"/>
      <c r="T666" s="21"/>
      <c r="U666" s="275"/>
      <c r="V666" s="82"/>
      <c r="Z666" s="181"/>
      <c r="AA666" s="183"/>
      <c r="AB666" s="30"/>
      <c r="AC666" s="29"/>
      <c r="AD666" s="279"/>
      <c r="AE666" s="26"/>
      <c r="AF666" s="26"/>
      <c r="AG666" s="278" t="str">
        <f t="shared" si="116"/>
        <v/>
      </c>
      <c r="AH666" s="278" t="str">
        <f t="shared" si="117"/>
        <v/>
      </c>
      <c r="AJ666" s="25"/>
      <c r="AK666" s="25"/>
      <c r="AL666" s="25"/>
      <c r="AM666" s="25"/>
      <c r="AN666" s="25"/>
      <c r="AO666" s="25"/>
      <c r="AP666" s="25"/>
      <c r="AQ666" s="25"/>
      <c r="AR666" s="25"/>
      <c r="AS666" s="25"/>
      <c r="AT666" s="25"/>
      <c r="AU666" s="25"/>
      <c r="AV666" s="43"/>
      <c r="AW666" s="43"/>
      <c r="AX666" s="114" t="s">
        <v>76</v>
      </c>
      <c r="AY666" s="43"/>
      <c r="AZ666" s="43"/>
      <c r="BA666" s="43"/>
      <c r="BB666" s="43"/>
    </row>
    <row r="667" spans="1:54" ht="12.75" customHeight="1">
      <c r="A667" s="80"/>
      <c r="B667" s="320"/>
      <c r="C667" s="272"/>
      <c r="D667" s="273"/>
      <c r="E667" s="503"/>
      <c r="F667" s="305"/>
      <c r="G667" s="265"/>
      <c r="H667" s="266"/>
      <c r="I667" s="295"/>
      <c r="J667" s="296"/>
      <c r="K667" s="296"/>
      <c r="L667" s="296"/>
      <c r="M667" s="21"/>
      <c r="N667" s="21"/>
      <c r="O667" s="21"/>
      <c r="P667" s="21"/>
      <c r="Q667" s="325"/>
      <c r="R667" s="21"/>
      <c r="S667" s="274"/>
      <c r="T667" s="21"/>
      <c r="U667" s="275"/>
      <c r="V667" s="82"/>
      <c r="Z667" s="181"/>
      <c r="AA667" s="183"/>
      <c r="AB667" s="30"/>
      <c r="AC667" s="29"/>
      <c r="AD667" s="279"/>
      <c r="AE667" s="26"/>
      <c r="AF667" s="26"/>
      <c r="AG667" s="278" t="str">
        <f t="shared" si="116"/>
        <v/>
      </c>
      <c r="AH667" s="278" t="str">
        <f t="shared" si="117"/>
        <v/>
      </c>
      <c r="AJ667" s="25"/>
      <c r="AK667" s="25"/>
      <c r="AL667" s="25"/>
      <c r="AM667" s="25"/>
      <c r="AN667" s="25"/>
      <c r="AO667" s="25"/>
      <c r="AP667" s="25"/>
      <c r="AQ667" s="25"/>
      <c r="AR667" s="25"/>
      <c r="AS667" s="25"/>
      <c r="AT667" s="25"/>
      <c r="AU667" s="25"/>
      <c r="AV667" s="43"/>
      <c r="AW667" s="43"/>
      <c r="AX667" s="114" t="s">
        <v>76</v>
      </c>
      <c r="AY667" s="43"/>
      <c r="AZ667" s="43"/>
      <c r="BA667" s="43"/>
      <c r="BB667" s="43"/>
    </row>
    <row r="668" spans="1:54" ht="12.75" customHeight="1">
      <c r="A668" s="80"/>
      <c r="B668" s="320"/>
      <c r="C668" s="272"/>
      <c r="D668" s="273"/>
      <c r="E668" s="503"/>
      <c r="F668" s="305"/>
      <c r="G668" s="265"/>
      <c r="H668" s="266"/>
      <c r="I668" s="295"/>
      <c r="J668" s="296"/>
      <c r="K668" s="296"/>
      <c r="L668" s="296"/>
      <c r="M668" s="21"/>
      <c r="N668" s="21"/>
      <c r="O668" s="21"/>
      <c r="P668" s="21"/>
      <c r="Q668" s="325"/>
      <c r="R668" s="21"/>
      <c r="S668" s="274"/>
      <c r="T668" s="21"/>
      <c r="U668" s="275"/>
      <c r="V668" s="82"/>
      <c r="Z668" s="181"/>
      <c r="AA668" s="183"/>
      <c r="AC668" s="26"/>
      <c r="AD668" s="279"/>
      <c r="AE668" s="26"/>
      <c r="AF668" s="26"/>
      <c r="AG668" s="278" t="str">
        <f t="shared" si="116"/>
        <v/>
      </c>
      <c r="AH668" s="278" t="str">
        <f t="shared" si="117"/>
        <v/>
      </c>
      <c r="AJ668" s="25"/>
      <c r="AK668" s="25"/>
      <c r="AL668" s="25"/>
      <c r="AM668" s="25"/>
      <c r="AN668" s="25"/>
      <c r="AO668" s="25"/>
      <c r="AP668" s="25"/>
      <c r="AQ668" s="25"/>
      <c r="AR668" s="25"/>
      <c r="AS668" s="25"/>
      <c r="AT668" s="25"/>
      <c r="AU668" s="25"/>
      <c r="AV668" s="43"/>
      <c r="AW668" s="43"/>
      <c r="AX668" s="114" t="s">
        <v>76</v>
      </c>
      <c r="AY668" s="43"/>
      <c r="AZ668" s="43"/>
      <c r="BA668" s="43"/>
      <c r="BB668" s="43"/>
    </row>
    <row r="669" spans="1:54" ht="12.75" customHeight="1">
      <c r="A669" s="80"/>
      <c r="B669" s="320"/>
      <c r="C669" s="272"/>
      <c r="D669" s="273"/>
      <c r="E669" s="503"/>
      <c r="F669" s="305"/>
      <c r="G669" s="265"/>
      <c r="H669" s="266"/>
      <c r="I669" s="295"/>
      <c r="J669" s="296"/>
      <c r="K669" s="296"/>
      <c r="L669" s="296"/>
      <c r="M669" s="21"/>
      <c r="N669" s="21"/>
      <c r="O669" s="21"/>
      <c r="P669" s="21"/>
      <c r="Q669" s="325"/>
      <c r="R669" s="21"/>
      <c r="S669" s="274"/>
      <c r="T669" s="21"/>
      <c r="U669" s="275"/>
      <c r="V669" s="82"/>
      <c r="Z669" s="181"/>
      <c r="AA669" s="183"/>
      <c r="AC669" s="26"/>
      <c r="AD669" s="279"/>
      <c r="AE669" s="26"/>
      <c r="AF669" s="26"/>
      <c r="AG669" s="278" t="str">
        <f t="shared" si="116"/>
        <v/>
      </c>
      <c r="AH669" s="278" t="str">
        <f t="shared" si="117"/>
        <v/>
      </c>
      <c r="AJ669" s="25"/>
      <c r="AK669" s="25"/>
      <c r="AL669" s="25"/>
      <c r="AM669" s="25"/>
      <c r="AN669" s="25"/>
      <c r="AO669" s="25"/>
      <c r="AP669" s="25"/>
      <c r="AQ669" s="25"/>
      <c r="AR669" s="25"/>
      <c r="AS669" s="25"/>
      <c r="AT669" s="25"/>
      <c r="AU669" s="25"/>
      <c r="AV669" s="43"/>
      <c r="AW669" s="43"/>
      <c r="AX669" s="114" t="s">
        <v>76</v>
      </c>
      <c r="AY669" s="43"/>
      <c r="AZ669" s="43"/>
      <c r="BA669" s="43"/>
      <c r="BB669" s="43"/>
    </row>
    <row r="670" spans="1:54" ht="12.75" customHeight="1">
      <c r="A670" s="80"/>
      <c r="B670" s="320"/>
      <c r="C670" s="272"/>
      <c r="D670" s="273"/>
      <c r="E670" s="503"/>
      <c r="F670" s="305"/>
      <c r="G670" s="265"/>
      <c r="H670" s="266"/>
      <c r="I670" s="295"/>
      <c r="J670" s="296"/>
      <c r="K670" s="296"/>
      <c r="L670" s="296"/>
      <c r="M670" s="21"/>
      <c r="N670" s="21"/>
      <c r="O670" s="21"/>
      <c r="P670" s="21"/>
      <c r="Q670" s="325"/>
      <c r="R670" s="21"/>
      <c r="S670" s="274"/>
      <c r="T670" s="21"/>
      <c r="U670" s="275"/>
      <c r="V670" s="82"/>
      <c r="Z670" s="181"/>
      <c r="AA670" s="183"/>
      <c r="AB670" s="35"/>
      <c r="AC670" s="25"/>
      <c r="AD670" s="279"/>
      <c r="AE670" s="26"/>
      <c r="AF670" s="26"/>
      <c r="AG670" s="278" t="str">
        <f t="shared" si="116"/>
        <v/>
      </c>
      <c r="AH670" s="278" t="str">
        <f t="shared" si="117"/>
        <v/>
      </c>
      <c r="AJ670" s="25"/>
      <c r="AK670" s="25"/>
      <c r="AL670" s="25"/>
      <c r="AM670" s="25"/>
      <c r="AN670" s="25"/>
      <c r="AO670" s="25"/>
      <c r="AP670" s="25"/>
      <c r="AQ670" s="25"/>
      <c r="AR670" s="25"/>
      <c r="AS670" s="25"/>
      <c r="AT670" s="25"/>
      <c r="AU670" s="25"/>
      <c r="AV670" s="43"/>
      <c r="AW670" s="43"/>
      <c r="AX670" s="114" t="s">
        <v>76</v>
      </c>
      <c r="AY670" s="43"/>
      <c r="AZ670" s="43"/>
      <c r="BA670" s="43"/>
      <c r="BB670" s="43"/>
    </row>
    <row r="671" spans="1:54" ht="12.75" customHeight="1">
      <c r="A671" s="80"/>
      <c r="B671" s="320"/>
      <c r="C671" s="272"/>
      <c r="D671" s="273"/>
      <c r="E671" s="503"/>
      <c r="F671" s="305"/>
      <c r="G671" s="265"/>
      <c r="H671" s="266"/>
      <c r="I671" s="295"/>
      <c r="J671" s="296"/>
      <c r="K671" s="296"/>
      <c r="L671" s="296"/>
      <c r="M671" s="21"/>
      <c r="N671" s="21"/>
      <c r="O671" s="21"/>
      <c r="P671" s="21"/>
      <c r="Q671" s="325"/>
      <c r="R671" s="21"/>
      <c r="S671" s="274"/>
      <c r="T671" s="21"/>
      <c r="U671" s="275"/>
      <c r="V671" s="82"/>
      <c r="Z671" s="181"/>
      <c r="AA671" s="183"/>
      <c r="AB671" s="35"/>
      <c r="AC671" s="25"/>
      <c r="AD671" s="279"/>
      <c r="AE671" s="26"/>
      <c r="AF671" s="26"/>
      <c r="AG671" s="278" t="str">
        <f t="shared" si="116"/>
        <v/>
      </c>
      <c r="AH671" s="278" t="str">
        <f t="shared" si="117"/>
        <v/>
      </c>
      <c r="AJ671" s="25"/>
      <c r="AK671" s="25"/>
      <c r="AL671" s="25"/>
      <c r="AM671" s="25"/>
      <c r="AN671" s="25"/>
      <c r="AO671" s="25"/>
      <c r="AP671" s="25"/>
      <c r="AQ671" s="25"/>
      <c r="AR671" s="25"/>
      <c r="AS671" s="25"/>
      <c r="AT671" s="25"/>
      <c r="AU671" s="25"/>
      <c r="AV671" s="43"/>
      <c r="AW671" s="43"/>
      <c r="AX671" s="114" t="s">
        <v>76</v>
      </c>
      <c r="AY671" s="43"/>
      <c r="AZ671" s="43"/>
      <c r="BA671" s="43"/>
      <c r="BB671" s="43"/>
    </row>
    <row r="672" spans="1:54" ht="12.75" customHeight="1">
      <c r="A672" s="80"/>
      <c r="B672" s="320"/>
      <c r="C672" s="272"/>
      <c r="D672" s="273"/>
      <c r="E672" s="503"/>
      <c r="F672" s="305"/>
      <c r="G672" s="265"/>
      <c r="H672" s="266"/>
      <c r="I672" s="295"/>
      <c r="J672" s="296"/>
      <c r="K672" s="296"/>
      <c r="L672" s="296"/>
      <c r="M672" s="21"/>
      <c r="N672" s="21"/>
      <c r="O672" s="21"/>
      <c r="P672" s="21"/>
      <c r="Q672" s="325"/>
      <c r="R672" s="21"/>
      <c r="S672" s="274"/>
      <c r="T672" s="21"/>
      <c r="U672" s="275"/>
      <c r="V672" s="82"/>
      <c r="Z672" s="181"/>
      <c r="AA672" s="183"/>
      <c r="AC672" s="26"/>
      <c r="AD672" s="279"/>
      <c r="AE672" s="26"/>
      <c r="AF672" s="26"/>
      <c r="AG672" s="278" t="str">
        <f t="shared" si="116"/>
        <v/>
      </c>
      <c r="AH672" s="278" t="str">
        <f t="shared" si="117"/>
        <v/>
      </c>
      <c r="AJ672" s="25"/>
      <c r="AK672" s="25"/>
      <c r="AL672" s="25"/>
      <c r="AM672" s="25"/>
      <c r="AN672" s="25"/>
      <c r="AO672" s="25"/>
      <c r="AP672" s="25"/>
      <c r="AQ672" s="25"/>
      <c r="AR672" s="25"/>
      <c r="AS672" s="25"/>
      <c r="AT672" s="25"/>
      <c r="AU672" s="25"/>
      <c r="AV672" s="43"/>
      <c r="AW672" s="43"/>
      <c r="AX672" s="114" t="s">
        <v>76</v>
      </c>
      <c r="AY672" s="43"/>
      <c r="AZ672" s="43"/>
      <c r="BA672" s="43"/>
      <c r="BB672" s="43"/>
    </row>
    <row r="673" spans="1:54" ht="12.75" customHeight="1">
      <c r="A673" s="80"/>
      <c r="B673" s="320"/>
      <c r="C673" s="272"/>
      <c r="D673" s="273"/>
      <c r="E673" s="503"/>
      <c r="F673" s="305"/>
      <c r="G673" s="265"/>
      <c r="H673" s="266"/>
      <c r="I673" s="295"/>
      <c r="J673" s="296"/>
      <c r="K673" s="296"/>
      <c r="L673" s="296"/>
      <c r="M673" s="21"/>
      <c r="N673" s="21"/>
      <c r="O673" s="21"/>
      <c r="P673" s="21"/>
      <c r="Q673" s="325"/>
      <c r="R673" s="21"/>
      <c r="S673" s="274"/>
      <c r="T673" s="21"/>
      <c r="U673" s="275"/>
      <c r="V673" s="82"/>
      <c r="Z673" s="181"/>
      <c r="AA673" s="183"/>
      <c r="AB673" s="35"/>
      <c r="AC673" s="25"/>
      <c r="AD673" s="279"/>
      <c r="AE673" s="26"/>
      <c r="AF673" s="26"/>
      <c r="AG673" s="278" t="str">
        <f t="shared" si="116"/>
        <v/>
      </c>
      <c r="AH673" s="278" t="str">
        <f t="shared" si="117"/>
        <v/>
      </c>
      <c r="AJ673" s="25"/>
      <c r="AK673" s="25"/>
      <c r="AL673" s="25"/>
      <c r="AM673" s="25"/>
      <c r="AN673" s="25"/>
      <c r="AO673" s="25"/>
      <c r="AP673" s="25"/>
      <c r="AQ673" s="25"/>
      <c r="AR673" s="25"/>
      <c r="AS673" s="25"/>
      <c r="AT673" s="25"/>
      <c r="AU673" s="25"/>
      <c r="AV673" s="43"/>
      <c r="AW673" s="43"/>
      <c r="AX673" s="114" t="s">
        <v>76</v>
      </c>
      <c r="AY673" s="43"/>
      <c r="AZ673" s="43"/>
      <c r="BA673" s="43"/>
      <c r="BB673" s="43"/>
    </row>
    <row r="674" spans="1:54" ht="12.75" customHeight="1">
      <c r="A674" s="80"/>
      <c r="B674" s="320"/>
      <c r="C674" s="272"/>
      <c r="D674" s="273"/>
      <c r="E674" s="503"/>
      <c r="F674" s="305"/>
      <c r="G674" s="265"/>
      <c r="H674" s="266"/>
      <c r="I674" s="295"/>
      <c r="J674" s="296"/>
      <c r="K674" s="296"/>
      <c r="L674" s="296"/>
      <c r="M674" s="21"/>
      <c r="N674" s="21"/>
      <c r="O674" s="21"/>
      <c r="P674" s="21"/>
      <c r="Q674" s="325"/>
      <c r="R674" s="21"/>
      <c r="S674" s="274"/>
      <c r="T674" s="21"/>
      <c r="U674" s="275"/>
      <c r="V674" s="82"/>
      <c r="Z674" s="181"/>
      <c r="AA674" s="183"/>
      <c r="AC674" s="26"/>
      <c r="AD674" s="279"/>
      <c r="AE674" s="26"/>
      <c r="AF674" s="26"/>
      <c r="AG674" s="278" t="str">
        <f t="shared" si="116"/>
        <v/>
      </c>
      <c r="AH674" s="278" t="str">
        <f t="shared" si="117"/>
        <v/>
      </c>
      <c r="AJ674" s="25"/>
      <c r="AK674" s="25"/>
      <c r="AL674" s="25"/>
      <c r="AM674" s="25"/>
      <c r="AN674" s="25"/>
      <c r="AO674" s="25"/>
      <c r="AP674" s="25"/>
      <c r="AQ674" s="25"/>
      <c r="AR674" s="25"/>
      <c r="AS674" s="25"/>
      <c r="AT674" s="25"/>
      <c r="AU674" s="25"/>
      <c r="AV674" s="43"/>
      <c r="AW674" s="43"/>
      <c r="AX674" s="114" t="s">
        <v>76</v>
      </c>
      <c r="AY674" s="43"/>
      <c r="AZ674" s="43"/>
      <c r="BA674" s="43"/>
      <c r="BB674" s="43"/>
    </row>
    <row r="675" spans="1:54" ht="12.75" customHeight="1">
      <c r="A675" s="80"/>
      <c r="B675" s="320"/>
      <c r="C675" s="272"/>
      <c r="D675" s="273"/>
      <c r="E675" s="503"/>
      <c r="F675" s="305"/>
      <c r="G675" s="265"/>
      <c r="H675" s="266"/>
      <c r="I675" s="295"/>
      <c r="J675" s="296"/>
      <c r="K675" s="296"/>
      <c r="L675" s="296"/>
      <c r="M675" s="21"/>
      <c r="N675" s="21"/>
      <c r="O675" s="21"/>
      <c r="P675" s="21"/>
      <c r="Q675" s="325"/>
      <c r="R675" s="21"/>
      <c r="S675" s="274"/>
      <c r="T675" s="21"/>
      <c r="U675" s="275"/>
      <c r="V675" s="82"/>
      <c r="Z675" s="181"/>
      <c r="AA675" s="183"/>
      <c r="AC675" s="26"/>
      <c r="AD675" s="279"/>
      <c r="AE675" s="26"/>
      <c r="AF675" s="26"/>
      <c r="AG675" s="278" t="str">
        <f t="shared" si="116"/>
        <v/>
      </c>
      <c r="AH675" s="278" t="str">
        <f t="shared" si="117"/>
        <v/>
      </c>
      <c r="AJ675" s="25"/>
      <c r="AK675" s="25"/>
      <c r="AL675" s="25"/>
      <c r="AM675" s="25"/>
      <c r="AN675" s="25"/>
      <c r="AO675" s="25"/>
      <c r="AP675" s="25"/>
      <c r="AQ675" s="25"/>
      <c r="AR675" s="25"/>
      <c r="AS675" s="25"/>
      <c r="AT675" s="25"/>
      <c r="AU675" s="25"/>
      <c r="AV675" s="43"/>
      <c r="AW675" s="43"/>
      <c r="AX675" s="114" t="s">
        <v>76</v>
      </c>
      <c r="AY675" s="43"/>
      <c r="AZ675" s="43"/>
      <c r="BA675" s="43"/>
      <c r="BB675" s="43"/>
    </row>
    <row r="676" spans="1:54" ht="12.75" customHeight="1">
      <c r="A676" s="80"/>
      <c r="B676" s="320"/>
      <c r="C676" s="272"/>
      <c r="D676" s="273"/>
      <c r="E676" s="503"/>
      <c r="F676" s="305"/>
      <c r="G676" s="265"/>
      <c r="H676" s="266"/>
      <c r="I676" s="295"/>
      <c r="J676" s="296"/>
      <c r="K676" s="296"/>
      <c r="L676" s="296"/>
      <c r="M676" s="21"/>
      <c r="N676" s="21"/>
      <c r="O676" s="21"/>
      <c r="P676" s="21"/>
      <c r="Q676" s="325"/>
      <c r="R676" s="21"/>
      <c r="S676" s="274"/>
      <c r="T676" s="21"/>
      <c r="U676" s="275"/>
      <c r="V676" s="82"/>
      <c r="Z676" s="181"/>
      <c r="AA676" s="183"/>
      <c r="AB676" s="35"/>
      <c r="AC676" s="28"/>
      <c r="AD676" s="279"/>
      <c r="AE676" s="26"/>
      <c r="AF676" s="26"/>
      <c r="AG676" s="278" t="str">
        <f t="shared" si="116"/>
        <v/>
      </c>
      <c r="AH676" s="278" t="str">
        <f t="shared" si="117"/>
        <v/>
      </c>
      <c r="AJ676" s="25"/>
      <c r="AK676" s="25"/>
      <c r="AL676" s="25"/>
      <c r="AM676" s="25"/>
      <c r="AN676" s="25"/>
      <c r="AO676" s="25"/>
      <c r="AP676" s="25"/>
      <c r="AQ676" s="25"/>
      <c r="AR676" s="25"/>
      <c r="AS676" s="25"/>
      <c r="AT676" s="25"/>
      <c r="AU676" s="25"/>
      <c r="AV676" s="43"/>
      <c r="AW676" s="43"/>
      <c r="AX676" s="114" t="s">
        <v>76</v>
      </c>
      <c r="AY676" s="43"/>
      <c r="AZ676" s="43"/>
      <c r="BA676" s="43"/>
      <c r="BB676" s="43"/>
    </row>
    <row r="677" spans="1:54" ht="12.75" customHeight="1">
      <c r="A677" s="80"/>
      <c r="B677" s="320"/>
      <c r="C677" s="272"/>
      <c r="D677" s="273"/>
      <c r="E677" s="503"/>
      <c r="F677" s="305"/>
      <c r="G677" s="265"/>
      <c r="H677" s="266"/>
      <c r="I677" s="295"/>
      <c r="J677" s="296"/>
      <c r="K677" s="296"/>
      <c r="L677" s="296"/>
      <c r="M677" s="21"/>
      <c r="N677" s="21"/>
      <c r="O677" s="21"/>
      <c r="P677" s="21"/>
      <c r="Q677" s="325"/>
      <c r="R677" s="21"/>
      <c r="S677" s="274"/>
      <c r="T677" s="21"/>
      <c r="U677" s="275"/>
      <c r="V677" s="82"/>
      <c r="Z677" s="181"/>
      <c r="AA677" s="183"/>
      <c r="AB677" s="35"/>
      <c r="AC677" s="25"/>
      <c r="AD677" s="279"/>
      <c r="AE677" s="26"/>
      <c r="AF677" s="26"/>
      <c r="AG677" s="278" t="str">
        <f t="shared" si="116"/>
        <v/>
      </c>
      <c r="AH677" s="278" t="str">
        <f t="shared" si="117"/>
        <v/>
      </c>
      <c r="AJ677" s="25"/>
      <c r="AK677" s="25"/>
      <c r="AL677" s="25"/>
      <c r="AM677" s="25"/>
      <c r="AN677" s="25"/>
      <c r="AO677" s="25"/>
      <c r="AP677" s="25"/>
      <c r="AQ677" s="25"/>
      <c r="AR677" s="25"/>
      <c r="AS677" s="25"/>
      <c r="AT677" s="25"/>
      <c r="AU677" s="25"/>
      <c r="AV677" s="43"/>
      <c r="AW677" s="43"/>
      <c r="AX677" s="114" t="s">
        <v>76</v>
      </c>
      <c r="AY677" s="43"/>
      <c r="AZ677" s="43"/>
      <c r="BA677" s="43"/>
      <c r="BB677" s="43"/>
    </row>
    <row r="678" spans="1:54" ht="12.75" customHeight="1">
      <c r="A678" s="80"/>
      <c r="B678" s="320"/>
      <c r="C678" s="272"/>
      <c r="D678" s="273"/>
      <c r="E678" s="503"/>
      <c r="F678" s="305"/>
      <c r="G678" s="265"/>
      <c r="H678" s="266"/>
      <c r="I678" s="295"/>
      <c r="J678" s="296"/>
      <c r="K678" s="296"/>
      <c r="L678" s="296"/>
      <c r="M678" s="21"/>
      <c r="N678" s="21"/>
      <c r="O678" s="21"/>
      <c r="P678" s="21"/>
      <c r="Q678" s="325"/>
      <c r="R678" s="21"/>
      <c r="S678" s="274"/>
      <c r="T678" s="21"/>
      <c r="U678" s="275"/>
      <c r="V678" s="82"/>
      <c r="Z678" s="181"/>
      <c r="AA678" s="183"/>
      <c r="AC678" s="26"/>
      <c r="AD678" s="279"/>
      <c r="AE678" s="26"/>
      <c r="AF678" s="26"/>
      <c r="AG678" s="278" t="str">
        <f t="shared" si="116"/>
        <v/>
      </c>
      <c r="AH678" s="278" t="str">
        <f t="shared" si="117"/>
        <v/>
      </c>
      <c r="AJ678" s="25"/>
      <c r="AK678" s="25"/>
      <c r="AL678" s="25"/>
      <c r="AM678" s="25"/>
      <c r="AN678" s="25"/>
      <c r="AO678" s="25"/>
      <c r="AP678" s="25"/>
      <c r="AQ678" s="25"/>
      <c r="AR678" s="25"/>
      <c r="AS678" s="25"/>
      <c r="AT678" s="25"/>
      <c r="AU678" s="25"/>
      <c r="AV678" s="43"/>
      <c r="AW678" s="43"/>
      <c r="AX678" s="114" t="s">
        <v>76</v>
      </c>
      <c r="AY678" s="43"/>
      <c r="AZ678" s="43"/>
      <c r="BA678" s="43"/>
      <c r="BB678" s="43"/>
    </row>
    <row r="679" spans="1:54" ht="12.75" customHeight="1">
      <c r="A679" s="80"/>
      <c r="B679" s="320"/>
      <c r="C679" s="272"/>
      <c r="D679" s="273"/>
      <c r="E679" s="503"/>
      <c r="F679" s="305"/>
      <c r="G679" s="265"/>
      <c r="H679" s="266"/>
      <c r="I679" s="295"/>
      <c r="J679" s="296"/>
      <c r="K679" s="296"/>
      <c r="L679" s="296"/>
      <c r="M679" s="21"/>
      <c r="N679" s="21"/>
      <c r="O679" s="21"/>
      <c r="P679" s="21"/>
      <c r="Q679" s="325"/>
      <c r="R679" s="21"/>
      <c r="S679" s="274"/>
      <c r="T679" s="21"/>
      <c r="U679" s="275"/>
      <c r="V679" s="82"/>
      <c r="Z679" s="181"/>
      <c r="AA679" s="183"/>
      <c r="AB679" s="30"/>
      <c r="AC679" s="29"/>
      <c r="AD679" s="279"/>
      <c r="AE679" s="26"/>
      <c r="AF679" s="26"/>
      <c r="AG679" s="278" t="str">
        <f t="shared" si="116"/>
        <v/>
      </c>
      <c r="AH679" s="278" t="str">
        <f t="shared" si="117"/>
        <v/>
      </c>
      <c r="AJ679" s="25"/>
      <c r="AK679" s="25"/>
      <c r="AL679" s="25"/>
      <c r="AM679" s="25"/>
      <c r="AN679" s="25"/>
      <c r="AO679" s="25"/>
      <c r="AP679" s="25"/>
      <c r="AQ679" s="25"/>
      <c r="AR679" s="25"/>
      <c r="AS679" s="25"/>
      <c r="AT679" s="25"/>
      <c r="AU679" s="25"/>
      <c r="AV679" s="43"/>
      <c r="AW679" s="43"/>
      <c r="AX679" s="114" t="s">
        <v>76</v>
      </c>
      <c r="AY679" s="43"/>
      <c r="AZ679" s="43"/>
      <c r="BA679" s="43"/>
      <c r="BB679" s="43"/>
    </row>
    <row r="680" spans="1:54" ht="12.75" customHeight="1">
      <c r="A680" s="80"/>
      <c r="B680" s="320"/>
      <c r="C680" s="272"/>
      <c r="D680" s="273"/>
      <c r="E680" s="503"/>
      <c r="F680" s="305"/>
      <c r="G680" s="265"/>
      <c r="H680" s="266"/>
      <c r="I680" s="295"/>
      <c r="J680" s="296"/>
      <c r="K680" s="296"/>
      <c r="L680" s="296"/>
      <c r="M680" s="21"/>
      <c r="N680" s="21"/>
      <c r="O680" s="21"/>
      <c r="P680" s="21"/>
      <c r="Q680" s="325"/>
      <c r="R680" s="21"/>
      <c r="S680" s="274"/>
      <c r="T680" s="21"/>
      <c r="U680" s="275"/>
      <c r="V680" s="82"/>
      <c r="Z680" s="181"/>
      <c r="AA680" s="183"/>
      <c r="AB680" s="30"/>
      <c r="AC680" s="29"/>
      <c r="AD680" s="279"/>
      <c r="AE680" s="26"/>
      <c r="AF680" s="26"/>
      <c r="AG680" s="278" t="str">
        <f t="shared" si="116"/>
        <v/>
      </c>
      <c r="AH680" s="278" t="str">
        <f t="shared" si="117"/>
        <v/>
      </c>
      <c r="AJ680" s="25"/>
      <c r="AK680" s="25"/>
      <c r="AL680" s="25"/>
      <c r="AM680" s="25"/>
      <c r="AN680" s="25"/>
      <c r="AO680" s="25"/>
      <c r="AP680" s="25"/>
      <c r="AQ680" s="25"/>
      <c r="AR680" s="25"/>
      <c r="AS680" s="25"/>
      <c r="AT680" s="25"/>
      <c r="AU680" s="25"/>
      <c r="AV680" s="43"/>
      <c r="AW680" s="43"/>
      <c r="AX680" s="114" t="s">
        <v>76</v>
      </c>
      <c r="AY680" s="43"/>
      <c r="AZ680" s="43"/>
      <c r="BA680" s="43"/>
      <c r="BB680" s="43"/>
    </row>
    <row r="681" spans="1:54" ht="12.75" customHeight="1">
      <c r="A681" s="80"/>
      <c r="B681" s="320"/>
      <c r="C681" s="272"/>
      <c r="D681" s="273"/>
      <c r="E681" s="503"/>
      <c r="F681" s="305"/>
      <c r="G681" s="265"/>
      <c r="H681" s="266"/>
      <c r="I681" s="295"/>
      <c r="J681" s="296"/>
      <c r="K681" s="296"/>
      <c r="L681" s="296"/>
      <c r="M681" s="21"/>
      <c r="N681" s="21"/>
      <c r="O681" s="21"/>
      <c r="P681" s="21"/>
      <c r="Q681" s="325"/>
      <c r="R681" s="21"/>
      <c r="S681" s="274"/>
      <c r="T681" s="21"/>
      <c r="U681" s="275"/>
      <c r="V681" s="82"/>
      <c r="Z681" s="181"/>
      <c r="AA681" s="183"/>
      <c r="AC681" s="26"/>
      <c r="AD681" s="279"/>
      <c r="AE681" s="26"/>
      <c r="AF681" s="26"/>
      <c r="AG681" s="278" t="str">
        <f t="shared" si="116"/>
        <v/>
      </c>
      <c r="AH681" s="278" t="str">
        <f t="shared" si="117"/>
        <v/>
      </c>
      <c r="AJ681" s="25"/>
      <c r="AK681" s="25"/>
      <c r="AL681" s="25"/>
      <c r="AM681" s="25"/>
      <c r="AN681" s="25"/>
      <c r="AO681" s="25"/>
      <c r="AP681" s="25"/>
      <c r="AQ681" s="25"/>
      <c r="AR681" s="25"/>
      <c r="AS681" s="25"/>
      <c r="AT681" s="25"/>
      <c r="AU681" s="25"/>
      <c r="AV681" s="43"/>
      <c r="AW681" s="43"/>
      <c r="AX681" s="114" t="s">
        <v>76</v>
      </c>
      <c r="AY681" s="43"/>
      <c r="AZ681" s="43"/>
      <c r="BA681" s="43"/>
      <c r="BB681" s="43"/>
    </row>
    <row r="682" spans="1:54" ht="12.75" customHeight="1">
      <c r="A682" s="80"/>
      <c r="B682" s="320"/>
      <c r="C682" s="272"/>
      <c r="D682" s="273"/>
      <c r="E682" s="503"/>
      <c r="F682" s="305"/>
      <c r="G682" s="265"/>
      <c r="H682" s="266"/>
      <c r="I682" s="295"/>
      <c r="J682" s="296"/>
      <c r="K682" s="296"/>
      <c r="L682" s="296"/>
      <c r="M682" s="21"/>
      <c r="N682" s="21"/>
      <c r="O682" s="21"/>
      <c r="P682" s="21"/>
      <c r="Q682" s="325"/>
      <c r="R682" s="21"/>
      <c r="S682" s="274"/>
      <c r="T682" s="21"/>
      <c r="U682" s="275"/>
      <c r="V682" s="82"/>
      <c r="Z682" s="181"/>
      <c r="AA682" s="183"/>
      <c r="AC682" s="26"/>
      <c r="AD682" s="279"/>
      <c r="AE682" s="26"/>
      <c r="AF682" s="26"/>
      <c r="AG682" s="278" t="str">
        <f t="shared" si="116"/>
        <v/>
      </c>
      <c r="AH682" s="278" t="str">
        <f t="shared" si="117"/>
        <v/>
      </c>
      <c r="AJ682" s="25"/>
      <c r="AK682" s="25"/>
      <c r="AL682" s="25"/>
      <c r="AM682" s="25"/>
      <c r="AN682" s="25"/>
      <c r="AO682" s="25"/>
      <c r="AP682" s="25"/>
      <c r="AQ682" s="25"/>
      <c r="AR682" s="25"/>
      <c r="AS682" s="25"/>
      <c r="AT682" s="25"/>
      <c r="AU682" s="25"/>
      <c r="AV682" s="43"/>
      <c r="AW682" s="43"/>
      <c r="AX682" s="114" t="s">
        <v>76</v>
      </c>
      <c r="AY682" s="43"/>
      <c r="AZ682" s="43"/>
      <c r="BA682" s="43"/>
      <c r="BB682" s="43"/>
    </row>
    <row r="683" spans="1:54" ht="12.75" customHeight="1">
      <c r="A683" s="80"/>
      <c r="B683" s="320"/>
      <c r="C683" s="272"/>
      <c r="D683" s="273"/>
      <c r="E683" s="503"/>
      <c r="F683" s="305"/>
      <c r="G683" s="265"/>
      <c r="H683" s="266"/>
      <c r="I683" s="295"/>
      <c r="J683" s="296"/>
      <c r="K683" s="296"/>
      <c r="L683" s="296"/>
      <c r="M683" s="21"/>
      <c r="N683" s="21"/>
      <c r="O683" s="21"/>
      <c r="P683" s="21"/>
      <c r="Q683" s="325"/>
      <c r="R683" s="21"/>
      <c r="S683" s="274"/>
      <c r="T683" s="21"/>
      <c r="U683" s="275"/>
      <c r="V683" s="82"/>
      <c r="Z683" s="181"/>
      <c r="AA683" s="183"/>
      <c r="AC683" s="26"/>
      <c r="AD683" s="279"/>
      <c r="AE683" s="26"/>
      <c r="AF683" s="26"/>
      <c r="AG683" s="278" t="str">
        <f t="shared" si="116"/>
        <v/>
      </c>
      <c r="AH683" s="278" t="str">
        <f t="shared" si="117"/>
        <v/>
      </c>
      <c r="AJ683" s="25"/>
      <c r="AK683" s="25"/>
      <c r="AL683" s="25"/>
      <c r="AM683" s="25"/>
      <c r="AN683" s="25"/>
      <c r="AO683" s="25"/>
      <c r="AP683" s="25"/>
      <c r="AQ683" s="25"/>
      <c r="AR683" s="25"/>
      <c r="AS683" s="25"/>
      <c r="AT683" s="25"/>
      <c r="AU683" s="25"/>
      <c r="AV683" s="43"/>
      <c r="AW683" s="43"/>
      <c r="AX683" s="114" t="s">
        <v>76</v>
      </c>
      <c r="AY683" s="43"/>
      <c r="AZ683" s="43"/>
      <c r="BA683" s="43"/>
      <c r="BB683" s="43"/>
    </row>
    <row r="684" spans="1:54" ht="12.75" customHeight="1">
      <c r="A684" s="80"/>
      <c r="B684" s="320"/>
      <c r="C684" s="272"/>
      <c r="D684" s="273"/>
      <c r="E684" s="503"/>
      <c r="F684" s="305"/>
      <c r="G684" s="265"/>
      <c r="H684" s="266"/>
      <c r="I684" s="295"/>
      <c r="J684" s="296"/>
      <c r="K684" s="296"/>
      <c r="L684" s="296"/>
      <c r="M684" s="21"/>
      <c r="N684" s="21"/>
      <c r="O684" s="21"/>
      <c r="P684" s="21"/>
      <c r="Q684" s="325"/>
      <c r="R684" s="21"/>
      <c r="S684" s="274"/>
      <c r="T684" s="21"/>
      <c r="U684" s="275"/>
      <c r="V684" s="82"/>
      <c r="Z684" s="181"/>
      <c r="AA684" s="183"/>
      <c r="AC684" s="26"/>
      <c r="AD684" s="279"/>
      <c r="AE684" s="26"/>
      <c r="AF684" s="26"/>
      <c r="AG684" s="278" t="str">
        <f t="shared" si="116"/>
        <v/>
      </c>
      <c r="AH684" s="278" t="str">
        <f t="shared" si="117"/>
        <v/>
      </c>
      <c r="AJ684" s="25"/>
      <c r="AK684" s="25"/>
      <c r="AL684" s="25"/>
      <c r="AM684" s="25"/>
      <c r="AN684" s="25"/>
      <c r="AO684" s="25"/>
      <c r="AP684" s="25"/>
      <c r="AQ684" s="25"/>
      <c r="AR684" s="25"/>
      <c r="AS684" s="25"/>
      <c r="AT684" s="25"/>
      <c r="AU684" s="25"/>
      <c r="AV684" s="43"/>
      <c r="AW684" s="43"/>
      <c r="AX684" s="114" t="s">
        <v>76</v>
      </c>
      <c r="AY684" s="43"/>
      <c r="AZ684" s="43"/>
      <c r="BA684" s="43"/>
      <c r="BB684" s="43"/>
    </row>
    <row r="685" spans="1:54" ht="12.75" customHeight="1">
      <c r="A685" s="80"/>
      <c r="B685" s="320"/>
      <c r="C685" s="272"/>
      <c r="D685" s="273"/>
      <c r="E685" s="503"/>
      <c r="F685" s="305"/>
      <c r="G685" s="265"/>
      <c r="H685" s="266"/>
      <c r="I685" s="295"/>
      <c r="J685" s="296"/>
      <c r="K685" s="296"/>
      <c r="L685" s="296"/>
      <c r="M685" s="21"/>
      <c r="N685" s="21"/>
      <c r="O685" s="21"/>
      <c r="P685" s="21"/>
      <c r="Q685" s="325"/>
      <c r="R685" s="21"/>
      <c r="S685" s="274"/>
      <c r="T685" s="21"/>
      <c r="U685" s="275"/>
      <c r="V685" s="82"/>
      <c r="Z685" s="181"/>
      <c r="AA685" s="183"/>
      <c r="AB685" s="32"/>
      <c r="AC685" s="34"/>
      <c r="AD685" s="279"/>
      <c r="AE685" s="26"/>
      <c r="AF685" s="26"/>
      <c r="AG685" s="278" t="str">
        <f t="shared" si="116"/>
        <v/>
      </c>
      <c r="AH685" s="278" t="str">
        <f t="shared" si="117"/>
        <v/>
      </c>
      <c r="AJ685" s="25"/>
      <c r="AK685" s="25"/>
      <c r="AL685" s="25"/>
      <c r="AM685" s="25"/>
      <c r="AN685" s="25"/>
      <c r="AO685" s="25"/>
      <c r="AP685" s="25"/>
      <c r="AQ685" s="25"/>
      <c r="AR685" s="25"/>
      <c r="AS685" s="25"/>
      <c r="AT685" s="25"/>
      <c r="AU685" s="25"/>
      <c r="AV685" s="43"/>
      <c r="AW685" s="43"/>
      <c r="AX685" s="114" t="s">
        <v>76</v>
      </c>
      <c r="AY685" s="43"/>
      <c r="AZ685" s="43"/>
      <c r="BA685" s="43"/>
      <c r="BB685" s="43"/>
    </row>
    <row r="686" spans="1:54" ht="12.75" customHeight="1">
      <c r="A686" s="80"/>
      <c r="B686" s="320"/>
      <c r="C686" s="272"/>
      <c r="D686" s="273"/>
      <c r="E686" s="503"/>
      <c r="F686" s="305"/>
      <c r="G686" s="265"/>
      <c r="H686" s="266"/>
      <c r="I686" s="295"/>
      <c r="J686" s="296"/>
      <c r="K686" s="296"/>
      <c r="L686" s="296"/>
      <c r="M686" s="21"/>
      <c r="N686" s="21"/>
      <c r="O686" s="21"/>
      <c r="P686" s="21"/>
      <c r="Q686" s="325"/>
      <c r="R686" s="21"/>
      <c r="S686" s="274"/>
      <c r="T686" s="21"/>
      <c r="U686" s="275"/>
      <c r="V686" s="82"/>
      <c r="Z686" s="181"/>
      <c r="AA686" s="183"/>
      <c r="AC686" s="26"/>
      <c r="AD686" s="279"/>
      <c r="AE686" s="26"/>
      <c r="AF686" s="26"/>
      <c r="AG686" s="278" t="str">
        <f t="shared" si="116"/>
        <v/>
      </c>
      <c r="AH686" s="278" t="str">
        <f t="shared" si="117"/>
        <v/>
      </c>
      <c r="AJ686" s="25"/>
      <c r="AK686" s="25"/>
      <c r="AL686" s="25"/>
      <c r="AM686" s="25"/>
      <c r="AN686" s="25"/>
      <c r="AO686" s="25"/>
      <c r="AP686" s="25"/>
      <c r="AQ686" s="25"/>
      <c r="AR686" s="25"/>
      <c r="AS686" s="25"/>
      <c r="AT686" s="25"/>
      <c r="AU686" s="25"/>
      <c r="AV686" s="43"/>
      <c r="AW686" s="43"/>
      <c r="AX686" s="114" t="s">
        <v>76</v>
      </c>
      <c r="AY686" s="43"/>
      <c r="AZ686" s="43"/>
      <c r="BA686" s="43"/>
      <c r="BB686" s="43"/>
    </row>
    <row r="687" spans="1:54" ht="12.75" customHeight="1">
      <c r="A687" s="80"/>
      <c r="B687" s="320"/>
      <c r="C687" s="272"/>
      <c r="D687" s="273"/>
      <c r="E687" s="503"/>
      <c r="F687" s="305"/>
      <c r="G687" s="265"/>
      <c r="H687" s="266"/>
      <c r="I687" s="295"/>
      <c r="J687" s="296"/>
      <c r="K687" s="296"/>
      <c r="L687" s="296"/>
      <c r="M687" s="21"/>
      <c r="N687" s="21"/>
      <c r="O687" s="21"/>
      <c r="P687" s="21"/>
      <c r="Q687" s="325"/>
      <c r="R687" s="21"/>
      <c r="S687" s="274"/>
      <c r="T687" s="21"/>
      <c r="U687" s="275"/>
      <c r="V687" s="82"/>
      <c r="Z687" s="181"/>
      <c r="AA687" s="183"/>
      <c r="AB687" s="35"/>
      <c r="AC687" s="28"/>
      <c r="AD687" s="279"/>
      <c r="AE687" s="26"/>
      <c r="AF687" s="26"/>
      <c r="AG687" s="278" t="str">
        <f t="shared" si="116"/>
        <v/>
      </c>
      <c r="AH687" s="278" t="str">
        <f t="shared" si="117"/>
        <v/>
      </c>
      <c r="AJ687" s="25"/>
      <c r="AK687" s="25"/>
      <c r="AL687" s="25"/>
      <c r="AM687" s="25"/>
      <c r="AN687" s="25"/>
      <c r="AO687" s="25"/>
      <c r="AP687" s="25"/>
      <c r="AQ687" s="25"/>
      <c r="AR687" s="25"/>
      <c r="AS687" s="25"/>
      <c r="AT687" s="25"/>
      <c r="AU687" s="25"/>
      <c r="AV687" s="43"/>
      <c r="AW687" s="43"/>
      <c r="AX687" s="114" t="s">
        <v>76</v>
      </c>
      <c r="AY687" s="43"/>
      <c r="AZ687" s="43"/>
      <c r="BA687" s="43"/>
      <c r="BB687" s="43"/>
    </row>
    <row r="688" spans="1:54" ht="12.75" customHeight="1">
      <c r="A688" s="80"/>
      <c r="B688" s="320"/>
      <c r="C688" s="272"/>
      <c r="D688" s="273"/>
      <c r="E688" s="503"/>
      <c r="F688" s="305"/>
      <c r="G688" s="265"/>
      <c r="H688" s="266"/>
      <c r="I688" s="295"/>
      <c r="J688" s="296"/>
      <c r="K688" s="296"/>
      <c r="L688" s="296"/>
      <c r="M688" s="21"/>
      <c r="N688" s="21"/>
      <c r="O688" s="21"/>
      <c r="P688" s="21"/>
      <c r="Q688" s="325"/>
      <c r="R688" s="21"/>
      <c r="S688" s="274"/>
      <c r="T688" s="21"/>
      <c r="U688" s="275"/>
      <c r="V688" s="82"/>
      <c r="Z688" s="181"/>
      <c r="AA688" s="183"/>
      <c r="AC688" s="26"/>
      <c r="AD688" s="279"/>
      <c r="AE688" s="26"/>
      <c r="AF688" s="26"/>
      <c r="AG688" s="278" t="str">
        <f t="shared" si="116"/>
        <v/>
      </c>
      <c r="AH688" s="278" t="str">
        <f t="shared" si="117"/>
        <v/>
      </c>
      <c r="AJ688" s="25"/>
      <c r="AK688" s="25"/>
      <c r="AL688" s="25"/>
      <c r="AM688" s="25"/>
      <c r="AN688" s="25"/>
      <c r="AO688" s="25"/>
      <c r="AP688" s="25"/>
      <c r="AQ688" s="25"/>
      <c r="AR688" s="25"/>
      <c r="AS688" s="25"/>
      <c r="AT688" s="25"/>
      <c r="AU688" s="25"/>
      <c r="AV688" s="43"/>
      <c r="AW688" s="43"/>
      <c r="AX688" s="114" t="s">
        <v>76</v>
      </c>
      <c r="AY688" s="43"/>
      <c r="AZ688" s="43"/>
      <c r="BA688" s="43"/>
      <c r="BB688" s="43"/>
    </row>
    <row r="689" spans="1:54" ht="12.75" customHeight="1">
      <c r="A689" s="80"/>
      <c r="B689" s="320"/>
      <c r="C689" s="272"/>
      <c r="D689" s="273"/>
      <c r="E689" s="503"/>
      <c r="F689" s="305"/>
      <c r="G689" s="265"/>
      <c r="H689" s="266"/>
      <c r="I689" s="295"/>
      <c r="J689" s="296"/>
      <c r="K689" s="296"/>
      <c r="L689" s="296"/>
      <c r="M689" s="21"/>
      <c r="N689" s="21"/>
      <c r="O689" s="21"/>
      <c r="P689" s="21"/>
      <c r="Q689" s="325"/>
      <c r="R689" s="21"/>
      <c r="S689" s="274"/>
      <c r="T689" s="21"/>
      <c r="U689" s="275"/>
      <c r="V689" s="82"/>
      <c r="Z689" s="181"/>
      <c r="AA689" s="183"/>
      <c r="AC689" s="26"/>
      <c r="AD689" s="279"/>
      <c r="AE689" s="26"/>
      <c r="AF689" s="26"/>
      <c r="AG689" s="278" t="str">
        <f t="shared" si="116"/>
        <v/>
      </c>
      <c r="AH689" s="278" t="str">
        <f t="shared" si="117"/>
        <v/>
      </c>
      <c r="AJ689" s="25"/>
      <c r="AK689" s="25"/>
      <c r="AL689" s="25"/>
      <c r="AM689" s="25"/>
      <c r="AN689" s="25"/>
      <c r="AO689" s="25"/>
      <c r="AP689" s="25"/>
      <c r="AQ689" s="25"/>
      <c r="AR689" s="25"/>
      <c r="AS689" s="25"/>
      <c r="AT689" s="25"/>
      <c r="AU689" s="25"/>
      <c r="AV689" s="43"/>
      <c r="AW689" s="43"/>
      <c r="AX689" s="114" t="s">
        <v>76</v>
      </c>
      <c r="AY689" s="43"/>
      <c r="AZ689" s="43"/>
      <c r="BA689" s="43"/>
      <c r="BB689" s="43"/>
    </row>
    <row r="690" spans="1:54" ht="12.75" customHeight="1">
      <c r="A690" s="80"/>
      <c r="B690" s="320"/>
      <c r="C690" s="272"/>
      <c r="D690" s="273"/>
      <c r="E690" s="503"/>
      <c r="F690" s="305"/>
      <c r="G690" s="265"/>
      <c r="H690" s="266"/>
      <c r="I690" s="295"/>
      <c r="J690" s="296"/>
      <c r="K690" s="296"/>
      <c r="L690" s="296"/>
      <c r="M690" s="21"/>
      <c r="N690" s="21"/>
      <c r="O690" s="21"/>
      <c r="P690" s="21"/>
      <c r="Q690" s="325"/>
      <c r="R690" s="21"/>
      <c r="S690" s="274"/>
      <c r="T690" s="21"/>
      <c r="U690" s="275"/>
      <c r="V690" s="82"/>
      <c r="Z690" s="181"/>
      <c r="AA690" s="183"/>
      <c r="AC690" s="26"/>
      <c r="AD690" s="279"/>
      <c r="AE690" s="26"/>
      <c r="AF690" s="26"/>
      <c r="AG690" s="278" t="str">
        <f t="shared" si="116"/>
        <v/>
      </c>
      <c r="AH690" s="278" t="str">
        <f t="shared" si="117"/>
        <v/>
      </c>
      <c r="AJ690" s="25"/>
      <c r="AK690" s="25"/>
      <c r="AL690" s="25"/>
      <c r="AM690" s="25"/>
      <c r="AN690" s="25"/>
      <c r="AO690" s="25"/>
      <c r="AP690" s="25"/>
      <c r="AQ690" s="25"/>
      <c r="AR690" s="25"/>
      <c r="AS690" s="25"/>
      <c r="AT690" s="25"/>
      <c r="AU690" s="25"/>
      <c r="AV690" s="43"/>
      <c r="AW690" s="43"/>
      <c r="AX690" s="114" t="s">
        <v>76</v>
      </c>
      <c r="AY690" s="43"/>
      <c r="AZ690" s="43"/>
      <c r="BA690" s="43"/>
      <c r="BB690" s="43"/>
    </row>
    <row r="691" spans="1:54" ht="12.75" customHeight="1">
      <c r="A691" s="80"/>
      <c r="B691" s="320"/>
      <c r="C691" s="272"/>
      <c r="D691" s="273"/>
      <c r="E691" s="503"/>
      <c r="F691" s="305"/>
      <c r="G691" s="265"/>
      <c r="H691" s="266"/>
      <c r="I691" s="295"/>
      <c r="J691" s="296"/>
      <c r="K691" s="296"/>
      <c r="L691" s="296"/>
      <c r="M691" s="21"/>
      <c r="N691" s="21"/>
      <c r="O691" s="21"/>
      <c r="P691" s="21"/>
      <c r="Q691" s="325"/>
      <c r="R691" s="21"/>
      <c r="S691" s="274"/>
      <c r="T691" s="21"/>
      <c r="U691" s="275"/>
      <c r="V691" s="82"/>
      <c r="Z691" s="181"/>
      <c r="AA691" s="183"/>
      <c r="AC691" s="26"/>
      <c r="AD691" s="279"/>
      <c r="AE691" s="26"/>
      <c r="AF691" s="26"/>
      <c r="AG691" s="278" t="str">
        <f t="shared" si="116"/>
        <v/>
      </c>
      <c r="AH691" s="278" t="str">
        <f t="shared" si="117"/>
        <v/>
      </c>
      <c r="AJ691" s="25"/>
      <c r="AK691" s="25"/>
      <c r="AL691" s="25"/>
      <c r="AM691" s="25"/>
      <c r="AN691" s="25"/>
      <c r="AO691" s="25"/>
      <c r="AP691" s="25"/>
      <c r="AQ691" s="25"/>
      <c r="AR691" s="25"/>
      <c r="AS691" s="25"/>
      <c r="AT691" s="25"/>
      <c r="AU691" s="25"/>
      <c r="AV691" s="43"/>
      <c r="AW691" s="43"/>
      <c r="AX691" s="114" t="s">
        <v>76</v>
      </c>
      <c r="AY691" s="43"/>
      <c r="AZ691" s="43"/>
      <c r="BA691" s="43"/>
      <c r="BB691" s="43"/>
    </row>
    <row r="692" spans="1:54" ht="12.75" customHeight="1">
      <c r="A692" s="80"/>
      <c r="B692" s="320"/>
      <c r="C692" s="272"/>
      <c r="D692" s="273"/>
      <c r="E692" s="503"/>
      <c r="F692" s="305"/>
      <c r="G692" s="265"/>
      <c r="H692" s="266"/>
      <c r="I692" s="295"/>
      <c r="J692" s="296"/>
      <c r="K692" s="296"/>
      <c r="L692" s="296"/>
      <c r="M692" s="21"/>
      <c r="N692" s="21"/>
      <c r="O692" s="21"/>
      <c r="P692" s="21"/>
      <c r="Q692" s="325"/>
      <c r="R692" s="21"/>
      <c r="S692" s="274"/>
      <c r="T692" s="21"/>
      <c r="U692" s="275"/>
      <c r="V692" s="82"/>
      <c r="Z692" s="181"/>
      <c r="AA692" s="183"/>
      <c r="AC692" s="26"/>
      <c r="AD692" s="279"/>
      <c r="AE692" s="26"/>
      <c r="AF692" s="26"/>
      <c r="AG692" s="278" t="str">
        <f t="shared" si="116"/>
        <v/>
      </c>
      <c r="AH692" s="278" t="str">
        <f t="shared" si="117"/>
        <v/>
      </c>
      <c r="AJ692" s="25"/>
      <c r="AK692" s="25"/>
      <c r="AL692" s="25"/>
      <c r="AM692" s="25"/>
      <c r="AN692" s="25"/>
      <c r="AO692" s="25"/>
      <c r="AP692" s="25"/>
      <c r="AQ692" s="25"/>
      <c r="AR692" s="25"/>
      <c r="AS692" s="25"/>
      <c r="AT692" s="25"/>
      <c r="AU692" s="25"/>
      <c r="AV692" s="43"/>
      <c r="AW692" s="43"/>
      <c r="AX692" s="114" t="s">
        <v>76</v>
      </c>
      <c r="AY692" s="43"/>
      <c r="AZ692" s="43"/>
      <c r="BA692" s="43"/>
      <c r="BB692" s="43"/>
    </row>
    <row r="693" spans="1:54" ht="12.75" customHeight="1">
      <c r="A693" s="80"/>
      <c r="B693" s="320"/>
      <c r="C693" s="272"/>
      <c r="D693" s="273"/>
      <c r="E693" s="503"/>
      <c r="F693" s="305"/>
      <c r="G693" s="265"/>
      <c r="H693" s="266"/>
      <c r="I693" s="295"/>
      <c r="J693" s="296"/>
      <c r="K693" s="296"/>
      <c r="L693" s="296"/>
      <c r="M693" s="21"/>
      <c r="N693" s="21"/>
      <c r="O693" s="21"/>
      <c r="P693" s="21"/>
      <c r="Q693" s="325"/>
      <c r="R693" s="21"/>
      <c r="S693" s="274"/>
      <c r="T693" s="21"/>
      <c r="U693" s="275"/>
      <c r="V693" s="82"/>
      <c r="Z693" s="181"/>
      <c r="AA693" s="183"/>
      <c r="AB693" s="35"/>
      <c r="AC693" s="25"/>
      <c r="AD693" s="279"/>
      <c r="AE693" s="26"/>
      <c r="AF693" s="26"/>
      <c r="AG693" s="278" t="str">
        <f t="shared" si="116"/>
        <v/>
      </c>
      <c r="AH693" s="278" t="str">
        <f t="shared" si="117"/>
        <v/>
      </c>
      <c r="AJ693" s="25"/>
      <c r="AK693" s="25"/>
      <c r="AL693" s="25"/>
      <c r="AM693" s="25"/>
      <c r="AN693" s="25"/>
      <c r="AO693" s="25"/>
      <c r="AP693" s="25"/>
      <c r="AQ693" s="25"/>
      <c r="AR693" s="25"/>
      <c r="AS693" s="25"/>
      <c r="AT693" s="25"/>
      <c r="AU693" s="25"/>
      <c r="AV693" s="43"/>
      <c r="AW693" s="43"/>
      <c r="AX693" s="114" t="s">
        <v>76</v>
      </c>
      <c r="AY693" s="43"/>
      <c r="AZ693" s="43"/>
      <c r="BA693" s="43"/>
      <c r="BB693" s="43"/>
    </row>
    <row r="694" spans="1:54" ht="12.75" customHeight="1">
      <c r="A694" s="80"/>
      <c r="B694" s="320"/>
      <c r="C694" s="272"/>
      <c r="D694" s="273"/>
      <c r="E694" s="503"/>
      <c r="F694" s="305"/>
      <c r="G694" s="265"/>
      <c r="H694" s="266"/>
      <c r="I694" s="295"/>
      <c r="J694" s="296"/>
      <c r="K694" s="296"/>
      <c r="L694" s="296"/>
      <c r="M694" s="21"/>
      <c r="N694" s="21"/>
      <c r="O694" s="21"/>
      <c r="P694" s="21"/>
      <c r="Q694" s="325"/>
      <c r="R694" s="21"/>
      <c r="S694" s="274"/>
      <c r="T694" s="21"/>
      <c r="U694" s="275"/>
      <c r="V694" s="82"/>
      <c r="Z694" s="181"/>
      <c r="AA694" s="183"/>
      <c r="AC694" s="26"/>
      <c r="AD694" s="279"/>
      <c r="AE694" s="26"/>
      <c r="AF694" s="26"/>
      <c r="AG694" s="278" t="str">
        <f t="shared" si="116"/>
        <v/>
      </c>
      <c r="AH694" s="278" t="str">
        <f t="shared" si="117"/>
        <v/>
      </c>
      <c r="AJ694" s="25"/>
      <c r="AK694" s="25"/>
      <c r="AL694" s="25"/>
      <c r="AM694" s="25"/>
      <c r="AN694" s="25"/>
      <c r="AO694" s="25"/>
      <c r="AP694" s="25"/>
      <c r="AQ694" s="25"/>
      <c r="AR694" s="25"/>
      <c r="AS694" s="25"/>
      <c r="AT694" s="25"/>
      <c r="AU694" s="25"/>
      <c r="AV694" s="43"/>
      <c r="AW694" s="43"/>
      <c r="AX694" s="114" t="s">
        <v>76</v>
      </c>
      <c r="AY694" s="43"/>
      <c r="AZ694" s="43"/>
      <c r="BA694" s="43"/>
      <c r="BB694" s="43"/>
    </row>
    <row r="695" spans="1:54" ht="12.75" customHeight="1">
      <c r="A695" s="80"/>
      <c r="B695" s="320"/>
      <c r="C695" s="272"/>
      <c r="D695" s="273"/>
      <c r="E695" s="503"/>
      <c r="F695" s="305"/>
      <c r="G695" s="265"/>
      <c r="H695" s="266"/>
      <c r="I695" s="295"/>
      <c r="J695" s="296"/>
      <c r="K695" s="296"/>
      <c r="L695" s="296"/>
      <c r="M695" s="21"/>
      <c r="N695" s="21"/>
      <c r="O695" s="21"/>
      <c r="P695" s="21"/>
      <c r="Q695" s="325"/>
      <c r="R695" s="21"/>
      <c r="S695" s="274"/>
      <c r="T695" s="21"/>
      <c r="U695" s="275"/>
      <c r="V695" s="82"/>
      <c r="Z695" s="181"/>
      <c r="AA695" s="183"/>
      <c r="AC695" s="26"/>
      <c r="AD695" s="279"/>
      <c r="AE695" s="26"/>
      <c r="AF695" s="26"/>
      <c r="AG695" s="278" t="str">
        <f t="shared" si="116"/>
        <v/>
      </c>
      <c r="AH695" s="278" t="str">
        <f t="shared" si="117"/>
        <v/>
      </c>
      <c r="AJ695" s="25"/>
      <c r="AK695" s="25"/>
      <c r="AL695" s="25"/>
      <c r="AM695" s="25"/>
      <c r="AN695" s="25"/>
      <c r="AO695" s="25"/>
      <c r="AP695" s="25"/>
      <c r="AQ695" s="25"/>
      <c r="AR695" s="25"/>
      <c r="AS695" s="25"/>
      <c r="AT695" s="25"/>
      <c r="AU695" s="25"/>
      <c r="AV695" s="43"/>
      <c r="AW695" s="43"/>
      <c r="AX695" s="114" t="s">
        <v>76</v>
      </c>
      <c r="AY695" s="43"/>
      <c r="AZ695" s="43"/>
      <c r="BA695" s="43"/>
      <c r="BB695" s="43"/>
    </row>
    <row r="696" spans="1:54" ht="12.75" customHeight="1">
      <c r="A696" s="80"/>
      <c r="B696" s="320"/>
      <c r="C696" s="272"/>
      <c r="D696" s="273"/>
      <c r="E696" s="503"/>
      <c r="F696" s="305"/>
      <c r="G696" s="265"/>
      <c r="H696" s="266"/>
      <c r="I696" s="295"/>
      <c r="J696" s="296"/>
      <c r="K696" s="296"/>
      <c r="L696" s="296"/>
      <c r="M696" s="21"/>
      <c r="N696" s="21"/>
      <c r="O696" s="21"/>
      <c r="P696" s="21"/>
      <c r="Q696" s="325"/>
      <c r="R696" s="21"/>
      <c r="S696" s="274"/>
      <c r="T696" s="21"/>
      <c r="U696" s="275"/>
      <c r="V696" s="82"/>
      <c r="Z696" s="181"/>
      <c r="AA696" s="183"/>
      <c r="AC696" s="26"/>
      <c r="AD696" s="279"/>
      <c r="AE696" s="26"/>
      <c r="AF696" s="26"/>
      <c r="AG696" s="278" t="str">
        <f t="shared" si="116"/>
        <v/>
      </c>
      <c r="AH696" s="278" t="str">
        <f t="shared" si="117"/>
        <v/>
      </c>
      <c r="AJ696" s="25"/>
      <c r="AK696" s="25"/>
      <c r="AL696" s="25"/>
      <c r="AM696" s="25"/>
      <c r="AN696" s="25"/>
      <c r="AO696" s="25"/>
      <c r="AP696" s="25"/>
      <c r="AQ696" s="25"/>
      <c r="AR696" s="25"/>
      <c r="AS696" s="25"/>
      <c r="AT696" s="25"/>
      <c r="AU696" s="25"/>
      <c r="AV696" s="43"/>
      <c r="AW696" s="43"/>
      <c r="AX696" s="114" t="s">
        <v>76</v>
      </c>
      <c r="AY696" s="43"/>
      <c r="AZ696" s="43"/>
      <c r="BA696" s="43"/>
      <c r="BB696" s="43"/>
    </row>
    <row r="697" spans="1:54" ht="12.75" customHeight="1">
      <c r="A697" s="80"/>
      <c r="B697" s="320"/>
      <c r="C697" s="272"/>
      <c r="D697" s="273"/>
      <c r="E697" s="503"/>
      <c r="F697" s="305"/>
      <c r="G697" s="265"/>
      <c r="H697" s="266"/>
      <c r="I697" s="295"/>
      <c r="J697" s="296"/>
      <c r="K697" s="296"/>
      <c r="L697" s="296"/>
      <c r="M697" s="21"/>
      <c r="N697" s="21"/>
      <c r="O697" s="21"/>
      <c r="P697" s="21"/>
      <c r="Q697" s="325"/>
      <c r="R697" s="21"/>
      <c r="S697" s="274"/>
      <c r="T697" s="21"/>
      <c r="U697" s="275"/>
      <c r="V697" s="82"/>
      <c r="Z697" s="181"/>
      <c r="AA697" s="183"/>
      <c r="AC697" s="26"/>
      <c r="AD697" s="279"/>
      <c r="AE697" s="26"/>
      <c r="AF697" s="26"/>
      <c r="AG697" s="278" t="str">
        <f t="shared" si="116"/>
        <v/>
      </c>
      <c r="AH697" s="278" t="str">
        <f t="shared" si="117"/>
        <v/>
      </c>
      <c r="AJ697" s="25"/>
      <c r="AK697" s="25"/>
      <c r="AL697" s="25"/>
      <c r="AM697" s="25"/>
      <c r="AN697" s="25"/>
      <c r="AO697" s="25"/>
      <c r="AP697" s="25"/>
      <c r="AQ697" s="25"/>
      <c r="AR697" s="25"/>
      <c r="AS697" s="25"/>
      <c r="AT697" s="25"/>
      <c r="AU697" s="25"/>
      <c r="AV697" s="43"/>
      <c r="AW697" s="43"/>
      <c r="AX697" s="114" t="s">
        <v>76</v>
      </c>
      <c r="AY697" s="43"/>
      <c r="AZ697" s="43"/>
      <c r="BA697" s="43"/>
      <c r="BB697" s="43"/>
    </row>
    <row r="698" spans="1:54" ht="12.75" customHeight="1">
      <c r="A698" s="80"/>
      <c r="B698" s="320"/>
      <c r="C698" s="272"/>
      <c r="D698" s="273"/>
      <c r="E698" s="503"/>
      <c r="F698" s="305"/>
      <c r="G698" s="265"/>
      <c r="H698" s="266"/>
      <c r="I698" s="295"/>
      <c r="J698" s="296"/>
      <c r="K698" s="296"/>
      <c r="L698" s="296"/>
      <c r="M698" s="21"/>
      <c r="N698" s="21"/>
      <c r="O698" s="21"/>
      <c r="P698" s="21"/>
      <c r="Q698" s="325"/>
      <c r="R698" s="21"/>
      <c r="S698" s="274"/>
      <c r="T698" s="21"/>
      <c r="U698" s="275"/>
      <c r="V698" s="82"/>
      <c r="Z698" s="181"/>
      <c r="AA698" s="183"/>
      <c r="AB698" s="35"/>
      <c r="AC698" s="28"/>
      <c r="AD698" s="279"/>
      <c r="AE698" s="26"/>
      <c r="AF698" s="26"/>
      <c r="AG698" s="278" t="str">
        <f t="shared" si="116"/>
        <v/>
      </c>
      <c r="AH698" s="278" t="str">
        <f t="shared" si="117"/>
        <v/>
      </c>
      <c r="AJ698" s="25"/>
      <c r="AK698" s="25"/>
      <c r="AL698" s="25"/>
      <c r="AM698" s="25"/>
      <c r="AN698" s="25"/>
      <c r="AO698" s="25"/>
      <c r="AP698" s="25"/>
      <c r="AQ698" s="25"/>
      <c r="AR698" s="25"/>
      <c r="AS698" s="25"/>
      <c r="AT698" s="25"/>
      <c r="AU698" s="25"/>
      <c r="AV698" s="43"/>
      <c r="AW698" s="43"/>
      <c r="AX698" s="114" t="s">
        <v>76</v>
      </c>
      <c r="AY698" s="43"/>
      <c r="AZ698" s="43"/>
      <c r="BA698" s="43"/>
      <c r="BB698" s="43"/>
    </row>
    <row r="699" spans="1:54" ht="12.75" customHeight="1">
      <c r="A699" s="80"/>
      <c r="B699" s="320"/>
      <c r="C699" s="272"/>
      <c r="D699" s="273"/>
      <c r="E699" s="503"/>
      <c r="F699" s="305"/>
      <c r="G699" s="265"/>
      <c r="H699" s="266"/>
      <c r="I699" s="295"/>
      <c r="J699" s="296"/>
      <c r="K699" s="296"/>
      <c r="L699" s="296"/>
      <c r="M699" s="21"/>
      <c r="N699" s="21"/>
      <c r="O699" s="21"/>
      <c r="P699" s="21"/>
      <c r="Q699" s="325"/>
      <c r="R699" s="21"/>
      <c r="S699" s="274"/>
      <c r="T699" s="21"/>
      <c r="U699" s="275"/>
      <c r="V699" s="82"/>
      <c r="Z699" s="181"/>
      <c r="AA699" s="183"/>
      <c r="AC699" s="26"/>
      <c r="AD699" s="279"/>
      <c r="AE699" s="26"/>
      <c r="AF699" s="26"/>
      <c r="AG699" s="278" t="str">
        <f t="shared" si="116"/>
        <v/>
      </c>
      <c r="AH699" s="278" t="str">
        <f t="shared" si="117"/>
        <v/>
      </c>
      <c r="AJ699" s="25"/>
      <c r="AK699" s="25"/>
      <c r="AL699" s="25"/>
      <c r="AM699" s="25"/>
      <c r="AN699" s="25"/>
      <c r="AO699" s="25"/>
      <c r="AP699" s="25"/>
      <c r="AQ699" s="25"/>
      <c r="AR699" s="25"/>
      <c r="AS699" s="25"/>
      <c r="AT699" s="25"/>
      <c r="AU699" s="25"/>
      <c r="AV699" s="43"/>
      <c r="AW699" s="43"/>
      <c r="AX699" s="114" t="s">
        <v>76</v>
      </c>
      <c r="AY699" s="43"/>
      <c r="AZ699" s="43"/>
      <c r="BA699" s="43"/>
      <c r="BB699" s="43"/>
    </row>
    <row r="700" spans="1:54" ht="12.75" customHeight="1">
      <c r="A700" s="80"/>
      <c r="B700" s="320"/>
      <c r="C700" s="272"/>
      <c r="D700" s="273"/>
      <c r="E700" s="503"/>
      <c r="F700" s="305"/>
      <c r="G700" s="265"/>
      <c r="H700" s="266"/>
      <c r="I700" s="295"/>
      <c r="J700" s="296"/>
      <c r="K700" s="296"/>
      <c r="L700" s="296"/>
      <c r="M700" s="21"/>
      <c r="N700" s="21"/>
      <c r="O700" s="21"/>
      <c r="P700" s="21"/>
      <c r="Q700" s="325"/>
      <c r="R700" s="21"/>
      <c r="S700" s="274"/>
      <c r="T700" s="21"/>
      <c r="U700" s="275"/>
      <c r="V700" s="82"/>
      <c r="Z700" s="181"/>
      <c r="AA700" s="183"/>
      <c r="AC700" s="26"/>
      <c r="AD700" s="279"/>
      <c r="AE700" s="26"/>
      <c r="AF700" s="26"/>
      <c r="AG700" s="278" t="str">
        <f t="shared" si="116"/>
        <v/>
      </c>
      <c r="AH700" s="278" t="str">
        <f t="shared" si="117"/>
        <v/>
      </c>
      <c r="AJ700" s="25"/>
      <c r="AK700" s="25"/>
      <c r="AL700" s="25"/>
      <c r="AM700" s="25"/>
      <c r="AN700" s="25"/>
      <c r="AO700" s="25"/>
      <c r="AP700" s="25"/>
      <c r="AQ700" s="25"/>
      <c r="AR700" s="25"/>
      <c r="AS700" s="25"/>
      <c r="AT700" s="25"/>
      <c r="AU700" s="25"/>
      <c r="AV700" s="43"/>
      <c r="AW700" s="43"/>
      <c r="AX700" s="114" t="s">
        <v>76</v>
      </c>
      <c r="AY700" s="43"/>
      <c r="AZ700" s="43"/>
      <c r="BA700" s="43"/>
      <c r="BB700" s="43"/>
    </row>
    <row r="701" spans="1:54" ht="12.75" customHeight="1">
      <c r="A701" s="80"/>
      <c r="B701" s="320"/>
      <c r="C701" s="272"/>
      <c r="D701" s="273"/>
      <c r="E701" s="503"/>
      <c r="F701" s="305"/>
      <c r="G701" s="265"/>
      <c r="H701" s="266"/>
      <c r="I701" s="295"/>
      <c r="J701" s="296"/>
      <c r="K701" s="296"/>
      <c r="L701" s="296"/>
      <c r="M701" s="21"/>
      <c r="N701" s="21"/>
      <c r="O701" s="21"/>
      <c r="P701" s="21"/>
      <c r="Q701" s="325"/>
      <c r="R701" s="21"/>
      <c r="S701" s="274"/>
      <c r="T701" s="21"/>
      <c r="U701" s="275"/>
      <c r="V701" s="82"/>
      <c r="Z701" s="181"/>
      <c r="AA701" s="183"/>
      <c r="AC701" s="26"/>
      <c r="AD701" s="279"/>
      <c r="AE701" s="26"/>
      <c r="AF701" s="26"/>
      <c r="AG701" s="278" t="str">
        <f t="shared" si="116"/>
        <v/>
      </c>
      <c r="AH701" s="278" t="str">
        <f t="shared" si="117"/>
        <v/>
      </c>
      <c r="AJ701" s="25"/>
      <c r="AK701" s="25"/>
      <c r="AL701" s="25"/>
      <c r="AM701" s="25"/>
      <c r="AN701" s="25"/>
      <c r="AO701" s="25"/>
      <c r="AP701" s="25"/>
      <c r="AQ701" s="25"/>
      <c r="AR701" s="25"/>
      <c r="AS701" s="25"/>
      <c r="AT701" s="25"/>
      <c r="AU701" s="25"/>
      <c r="AV701" s="43"/>
      <c r="AW701" s="43"/>
      <c r="AX701" s="114" t="s">
        <v>76</v>
      </c>
      <c r="AY701" s="43"/>
      <c r="AZ701" s="43"/>
      <c r="BA701" s="43"/>
      <c r="BB701" s="43"/>
    </row>
    <row r="702" spans="1:54" ht="12.75" customHeight="1">
      <c r="A702" s="80"/>
      <c r="B702" s="320"/>
      <c r="C702" s="272"/>
      <c r="D702" s="273"/>
      <c r="E702" s="503"/>
      <c r="F702" s="305"/>
      <c r="G702" s="265"/>
      <c r="H702" s="266"/>
      <c r="I702" s="295"/>
      <c r="J702" s="296"/>
      <c r="K702" s="296"/>
      <c r="L702" s="296"/>
      <c r="M702" s="21"/>
      <c r="N702" s="21"/>
      <c r="O702" s="21"/>
      <c r="P702" s="21"/>
      <c r="Q702" s="325"/>
      <c r="R702" s="21"/>
      <c r="S702" s="274"/>
      <c r="T702" s="21"/>
      <c r="U702" s="275"/>
      <c r="V702" s="82"/>
      <c r="Z702" s="181"/>
      <c r="AA702" s="183"/>
      <c r="AC702" s="26"/>
      <c r="AD702" s="279"/>
      <c r="AE702" s="26"/>
      <c r="AF702" s="26"/>
      <c r="AG702" s="278" t="str">
        <f t="shared" si="116"/>
        <v/>
      </c>
      <c r="AH702" s="278" t="str">
        <f t="shared" si="117"/>
        <v/>
      </c>
      <c r="AJ702" s="25"/>
      <c r="AK702" s="25"/>
      <c r="AL702" s="25"/>
      <c r="AM702" s="25"/>
      <c r="AN702" s="25"/>
      <c r="AO702" s="25"/>
      <c r="AP702" s="25"/>
      <c r="AQ702" s="25"/>
      <c r="AR702" s="25"/>
      <c r="AS702" s="25"/>
      <c r="AT702" s="25"/>
      <c r="AU702" s="25"/>
      <c r="AV702" s="43"/>
      <c r="AW702" s="43"/>
      <c r="AX702" s="114" t="s">
        <v>76</v>
      </c>
      <c r="AY702" s="43"/>
      <c r="AZ702" s="43"/>
      <c r="BA702" s="43"/>
      <c r="BB702" s="43"/>
    </row>
    <row r="703" spans="1:54" ht="12.75" customHeight="1">
      <c r="A703" s="80"/>
      <c r="B703" s="320"/>
      <c r="C703" s="272"/>
      <c r="D703" s="273"/>
      <c r="E703" s="503"/>
      <c r="F703" s="305"/>
      <c r="G703" s="265"/>
      <c r="H703" s="266"/>
      <c r="I703" s="295"/>
      <c r="J703" s="296"/>
      <c r="K703" s="296"/>
      <c r="L703" s="296"/>
      <c r="M703" s="21"/>
      <c r="N703" s="21"/>
      <c r="O703" s="21"/>
      <c r="P703" s="21"/>
      <c r="Q703" s="325"/>
      <c r="R703" s="21"/>
      <c r="S703" s="274"/>
      <c r="T703" s="21"/>
      <c r="U703" s="275"/>
      <c r="V703" s="82"/>
      <c r="Z703" s="181"/>
      <c r="AA703" s="183"/>
      <c r="AB703" s="35"/>
      <c r="AC703" s="35"/>
      <c r="AD703" s="279"/>
      <c r="AE703" s="26"/>
      <c r="AF703" s="26"/>
      <c r="AG703" s="278" t="str">
        <f t="shared" si="116"/>
        <v/>
      </c>
      <c r="AH703" s="278" t="str">
        <f t="shared" si="117"/>
        <v/>
      </c>
      <c r="AJ703" s="25"/>
      <c r="AK703" s="25"/>
      <c r="AL703" s="25"/>
      <c r="AM703" s="25"/>
      <c r="AN703" s="25"/>
      <c r="AO703" s="25"/>
      <c r="AP703" s="25"/>
      <c r="AQ703" s="25"/>
      <c r="AR703" s="25"/>
      <c r="AS703" s="25"/>
      <c r="AT703" s="25"/>
      <c r="AU703" s="25"/>
      <c r="AV703" s="43"/>
      <c r="AW703" s="43"/>
      <c r="AX703" s="114" t="s">
        <v>76</v>
      </c>
      <c r="AY703" s="43"/>
      <c r="AZ703" s="43"/>
      <c r="BA703" s="43"/>
      <c r="BB703" s="43"/>
    </row>
    <row r="704" spans="1:54" ht="12.75" customHeight="1">
      <c r="A704" s="80"/>
      <c r="B704" s="320"/>
      <c r="C704" s="272"/>
      <c r="D704" s="273"/>
      <c r="E704" s="503"/>
      <c r="F704" s="305"/>
      <c r="G704" s="265"/>
      <c r="H704" s="266"/>
      <c r="I704" s="295"/>
      <c r="J704" s="296"/>
      <c r="K704" s="296"/>
      <c r="L704" s="296"/>
      <c r="M704" s="21"/>
      <c r="N704" s="21"/>
      <c r="O704" s="21"/>
      <c r="P704" s="21"/>
      <c r="Q704" s="325"/>
      <c r="R704" s="21"/>
      <c r="S704" s="274"/>
      <c r="T704" s="21"/>
      <c r="U704" s="275"/>
      <c r="V704" s="82"/>
      <c r="Z704" s="181"/>
      <c r="AA704" s="183"/>
      <c r="AB704" s="30"/>
      <c r="AC704" s="29"/>
      <c r="AD704" s="279"/>
      <c r="AE704" s="26"/>
      <c r="AF704" s="26"/>
      <c r="AG704" s="278" t="str">
        <f t="shared" si="116"/>
        <v/>
      </c>
      <c r="AH704" s="278" t="str">
        <f t="shared" si="117"/>
        <v/>
      </c>
      <c r="AJ704" s="25"/>
      <c r="AK704" s="25"/>
      <c r="AL704" s="25"/>
      <c r="AM704" s="25"/>
      <c r="AN704" s="25"/>
      <c r="AO704" s="25"/>
      <c r="AP704" s="25"/>
      <c r="AQ704" s="25"/>
      <c r="AR704" s="25"/>
      <c r="AS704" s="25"/>
      <c r="AT704" s="25"/>
      <c r="AU704" s="25"/>
      <c r="AV704" s="43"/>
      <c r="AW704" s="43"/>
      <c r="AX704" s="114" t="s">
        <v>76</v>
      </c>
      <c r="AY704" s="43"/>
      <c r="AZ704" s="43"/>
      <c r="BA704" s="43"/>
      <c r="BB704" s="43"/>
    </row>
    <row r="705" spans="1:54" ht="12.75" customHeight="1">
      <c r="A705" s="80"/>
      <c r="B705" s="320"/>
      <c r="C705" s="272"/>
      <c r="D705" s="273"/>
      <c r="E705" s="503"/>
      <c r="F705" s="305"/>
      <c r="G705" s="265"/>
      <c r="H705" s="266"/>
      <c r="I705" s="295"/>
      <c r="J705" s="296"/>
      <c r="K705" s="296"/>
      <c r="L705" s="296"/>
      <c r="M705" s="21"/>
      <c r="N705" s="21"/>
      <c r="O705" s="21"/>
      <c r="P705" s="21"/>
      <c r="Q705" s="325"/>
      <c r="R705" s="21"/>
      <c r="S705" s="274"/>
      <c r="T705" s="21"/>
      <c r="U705" s="275"/>
      <c r="V705" s="82"/>
      <c r="Z705" s="181"/>
      <c r="AA705" s="183"/>
      <c r="AB705" s="35"/>
      <c r="AC705" s="35"/>
      <c r="AD705" s="279"/>
      <c r="AE705" s="26"/>
      <c r="AF705" s="26"/>
      <c r="AG705" s="278" t="str">
        <f t="shared" si="116"/>
        <v/>
      </c>
      <c r="AH705" s="278" t="str">
        <f t="shared" si="117"/>
        <v/>
      </c>
      <c r="AJ705" s="25"/>
      <c r="AK705" s="25"/>
      <c r="AL705" s="25"/>
      <c r="AM705" s="25"/>
      <c r="AN705" s="25"/>
      <c r="AO705" s="25"/>
      <c r="AP705" s="25"/>
      <c r="AQ705" s="25"/>
      <c r="AR705" s="25"/>
      <c r="AS705" s="25"/>
      <c r="AT705" s="25"/>
      <c r="AU705" s="25"/>
      <c r="AV705" s="43"/>
      <c r="AW705" s="43"/>
      <c r="AX705" s="114" t="s">
        <v>76</v>
      </c>
      <c r="AY705" s="43"/>
      <c r="AZ705" s="43"/>
      <c r="BA705" s="43"/>
      <c r="BB705" s="43"/>
    </row>
    <row r="706" spans="1:54" ht="12.75" customHeight="1">
      <c r="A706" s="80"/>
      <c r="B706" s="320"/>
      <c r="C706" s="272"/>
      <c r="D706" s="273"/>
      <c r="E706" s="503"/>
      <c r="F706" s="305"/>
      <c r="G706" s="265"/>
      <c r="H706" s="266"/>
      <c r="I706" s="295"/>
      <c r="J706" s="296"/>
      <c r="K706" s="296"/>
      <c r="L706" s="296"/>
      <c r="M706" s="21"/>
      <c r="N706" s="21"/>
      <c r="O706" s="21"/>
      <c r="P706" s="21"/>
      <c r="Q706" s="325"/>
      <c r="R706" s="21"/>
      <c r="S706" s="274"/>
      <c r="T706" s="21"/>
      <c r="U706" s="275"/>
      <c r="V706" s="82"/>
      <c r="Z706" s="181"/>
      <c r="AA706" s="183"/>
      <c r="AB706" s="35"/>
      <c r="AC706" s="25"/>
      <c r="AD706" s="279"/>
      <c r="AE706" s="26"/>
      <c r="AF706" s="26"/>
      <c r="AG706" s="278" t="str">
        <f t="shared" si="116"/>
        <v/>
      </c>
      <c r="AH706" s="278" t="str">
        <f t="shared" si="117"/>
        <v/>
      </c>
      <c r="AJ706" s="25"/>
      <c r="AK706" s="25"/>
      <c r="AL706" s="25"/>
      <c r="AM706" s="25"/>
      <c r="AN706" s="25"/>
      <c r="AO706" s="25"/>
      <c r="AP706" s="25"/>
      <c r="AQ706" s="25"/>
      <c r="AR706" s="25"/>
      <c r="AS706" s="25"/>
      <c r="AT706" s="25"/>
      <c r="AU706" s="25"/>
      <c r="AV706" s="43"/>
      <c r="AW706" s="43"/>
      <c r="AX706" s="114" t="s">
        <v>76</v>
      </c>
      <c r="AY706" s="43"/>
      <c r="AZ706" s="43"/>
      <c r="BA706" s="43"/>
      <c r="BB706" s="43"/>
    </row>
    <row r="707" spans="1:54" ht="12.75" customHeight="1">
      <c r="A707" s="80"/>
      <c r="B707" s="320"/>
      <c r="C707" s="272"/>
      <c r="D707" s="273"/>
      <c r="E707" s="503"/>
      <c r="F707" s="305"/>
      <c r="G707" s="265"/>
      <c r="H707" s="266"/>
      <c r="I707" s="295"/>
      <c r="J707" s="296"/>
      <c r="K707" s="296"/>
      <c r="L707" s="296"/>
      <c r="M707" s="21"/>
      <c r="N707" s="21"/>
      <c r="O707" s="21"/>
      <c r="P707" s="21"/>
      <c r="Q707" s="325"/>
      <c r="R707" s="21"/>
      <c r="S707" s="274"/>
      <c r="T707" s="21"/>
      <c r="U707" s="275"/>
      <c r="V707" s="82"/>
      <c r="Z707" s="181"/>
      <c r="AA707" s="183"/>
      <c r="AC707" s="26"/>
      <c r="AD707" s="279"/>
      <c r="AE707" s="26"/>
      <c r="AF707" s="26"/>
      <c r="AG707" s="278" t="str">
        <f t="shared" si="116"/>
        <v/>
      </c>
      <c r="AH707" s="278" t="str">
        <f t="shared" si="117"/>
        <v/>
      </c>
      <c r="AJ707" s="25"/>
      <c r="AK707" s="25"/>
      <c r="AL707" s="25"/>
      <c r="AM707" s="25"/>
      <c r="AN707" s="25"/>
      <c r="AO707" s="25"/>
      <c r="AP707" s="25"/>
      <c r="AQ707" s="25"/>
      <c r="AR707" s="25"/>
      <c r="AS707" s="25"/>
      <c r="AT707" s="25"/>
      <c r="AU707" s="25"/>
      <c r="AV707" s="43"/>
      <c r="AW707" s="43"/>
      <c r="AX707" s="114" t="s">
        <v>76</v>
      </c>
      <c r="AY707" s="43"/>
      <c r="AZ707" s="43"/>
      <c r="BA707" s="43"/>
      <c r="BB707" s="43"/>
    </row>
    <row r="708" spans="1:54" ht="12.75" customHeight="1">
      <c r="A708" s="80"/>
      <c r="B708" s="320"/>
      <c r="C708" s="272"/>
      <c r="D708" s="273"/>
      <c r="E708" s="503"/>
      <c r="F708" s="305"/>
      <c r="G708" s="265"/>
      <c r="H708" s="266"/>
      <c r="I708" s="295"/>
      <c r="J708" s="296"/>
      <c r="K708" s="296"/>
      <c r="L708" s="296"/>
      <c r="M708" s="21"/>
      <c r="N708" s="21"/>
      <c r="O708" s="21"/>
      <c r="P708" s="21"/>
      <c r="Q708" s="325"/>
      <c r="R708" s="21"/>
      <c r="S708" s="274"/>
      <c r="T708" s="21"/>
      <c r="U708" s="275"/>
      <c r="V708" s="82"/>
      <c r="Z708" s="181"/>
      <c r="AA708" s="183"/>
      <c r="AB708" s="35"/>
      <c r="AC708" s="25"/>
      <c r="AD708" s="279"/>
      <c r="AE708" s="26"/>
      <c r="AF708" s="26"/>
      <c r="AG708" s="278" t="str">
        <f t="shared" si="116"/>
        <v/>
      </c>
      <c r="AH708" s="278" t="str">
        <f t="shared" si="117"/>
        <v/>
      </c>
      <c r="AJ708" s="25"/>
      <c r="AK708" s="25"/>
      <c r="AL708" s="25"/>
      <c r="AM708" s="25"/>
      <c r="AN708" s="25"/>
      <c r="AO708" s="25"/>
      <c r="AP708" s="25"/>
      <c r="AQ708" s="25"/>
      <c r="AR708" s="25"/>
      <c r="AS708" s="25"/>
      <c r="AT708" s="25"/>
      <c r="AU708" s="25"/>
      <c r="AV708" s="43"/>
      <c r="AW708" s="43"/>
      <c r="AX708" s="114" t="s">
        <v>76</v>
      </c>
      <c r="AY708" s="43"/>
      <c r="AZ708" s="43"/>
      <c r="BA708" s="43"/>
      <c r="BB708" s="43"/>
    </row>
    <row r="709" spans="1:54" ht="12.75" customHeight="1">
      <c r="A709" s="80"/>
      <c r="B709" s="320"/>
      <c r="C709" s="272"/>
      <c r="D709" s="273"/>
      <c r="E709" s="503"/>
      <c r="F709" s="305"/>
      <c r="G709" s="265"/>
      <c r="H709" s="266"/>
      <c r="I709" s="295"/>
      <c r="J709" s="296"/>
      <c r="K709" s="296"/>
      <c r="L709" s="296"/>
      <c r="M709" s="21"/>
      <c r="N709" s="21"/>
      <c r="O709" s="21"/>
      <c r="P709" s="21"/>
      <c r="Q709" s="325"/>
      <c r="R709" s="21"/>
      <c r="S709" s="274"/>
      <c r="T709" s="21"/>
      <c r="U709" s="275"/>
      <c r="V709" s="82"/>
      <c r="Z709" s="181"/>
      <c r="AA709" s="183"/>
      <c r="AC709" s="26"/>
      <c r="AD709" s="279"/>
      <c r="AE709" s="26"/>
      <c r="AF709" s="26"/>
      <c r="AG709" s="278" t="str">
        <f t="shared" si="116"/>
        <v/>
      </c>
      <c r="AH709" s="278" t="str">
        <f t="shared" si="117"/>
        <v/>
      </c>
      <c r="AJ709" s="25"/>
      <c r="AK709" s="25"/>
      <c r="AL709" s="25"/>
      <c r="AM709" s="25"/>
      <c r="AN709" s="25"/>
      <c r="AO709" s="25"/>
      <c r="AP709" s="25"/>
      <c r="AQ709" s="25"/>
      <c r="AR709" s="25"/>
      <c r="AS709" s="25"/>
      <c r="AT709" s="25"/>
      <c r="AU709" s="25"/>
      <c r="AV709" s="43"/>
      <c r="AW709" s="43"/>
      <c r="AX709" s="114" t="s">
        <v>76</v>
      </c>
      <c r="AY709" s="43"/>
      <c r="AZ709" s="43"/>
      <c r="BA709" s="43"/>
      <c r="BB709" s="43"/>
    </row>
    <row r="710" spans="1:54" ht="12.75" customHeight="1">
      <c r="A710" s="80"/>
      <c r="B710" s="320"/>
      <c r="C710" s="272"/>
      <c r="D710" s="273"/>
      <c r="E710" s="503"/>
      <c r="F710" s="305"/>
      <c r="G710" s="265"/>
      <c r="H710" s="266"/>
      <c r="I710" s="295"/>
      <c r="J710" s="296"/>
      <c r="K710" s="296"/>
      <c r="L710" s="296"/>
      <c r="M710" s="21"/>
      <c r="N710" s="21"/>
      <c r="O710" s="21"/>
      <c r="P710" s="21"/>
      <c r="Q710" s="325"/>
      <c r="R710" s="21"/>
      <c r="S710" s="274"/>
      <c r="T710" s="21"/>
      <c r="U710" s="275"/>
      <c r="V710" s="82"/>
      <c r="Z710" s="181"/>
      <c r="AA710" s="183"/>
      <c r="AC710" s="26"/>
      <c r="AD710" s="279"/>
      <c r="AE710" s="26"/>
      <c r="AF710" s="26"/>
      <c r="AG710" s="278" t="str">
        <f t="shared" ref="AG710:AG773" si="118">IF(AE710="","",AE710*AltBounce)</f>
        <v/>
      </c>
      <c r="AH710" s="278" t="str">
        <f t="shared" ref="AH710:AH773" si="119">IF(AA710="","",AE710*(1/AltBounce))</f>
        <v/>
      </c>
      <c r="AJ710" s="25"/>
      <c r="AK710" s="25"/>
      <c r="AL710" s="25"/>
      <c r="AM710" s="25"/>
      <c r="AN710" s="25"/>
      <c r="AO710" s="25"/>
      <c r="AP710" s="25"/>
      <c r="AQ710" s="25"/>
      <c r="AR710" s="25"/>
      <c r="AS710" s="25"/>
      <c r="AT710" s="25"/>
      <c r="AU710" s="25"/>
      <c r="AV710" s="43"/>
      <c r="AW710" s="43"/>
      <c r="AX710" s="114" t="s">
        <v>76</v>
      </c>
      <c r="AY710" s="43"/>
      <c r="AZ710" s="43"/>
      <c r="BA710" s="43"/>
      <c r="BB710" s="43"/>
    </row>
    <row r="711" spans="1:54" ht="12.75" customHeight="1">
      <c r="A711" s="80"/>
      <c r="B711" s="320"/>
      <c r="C711" s="272"/>
      <c r="D711" s="273"/>
      <c r="E711" s="503"/>
      <c r="F711" s="305"/>
      <c r="G711" s="265"/>
      <c r="H711" s="266"/>
      <c r="I711" s="295"/>
      <c r="J711" s="296"/>
      <c r="K711" s="296"/>
      <c r="L711" s="296"/>
      <c r="M711" s="21"/>
      <c r="N711" s="21"/>
      <c r="O711" s="21"/>
      <c r="P711" s="21"/>
      <c r="Q711" s="325"/>
      <c r="R711" s="21"/>
      <c r="S711" s="274"/>
      <c r="T711" s="21"/>
      <c r="U711" s="275"/>
      <c r="V711" s="82"/>
      <c r="Z711" s="181"/>
      <c r="AA711" s="183"/>
      <c r="AC711" s="26"/>
      <c r="AD711" s="279"/>
      <c r="AE711" s="26"/>
      <c r="AF711" s="26"/>
      <c r="AG711" s="278" t="str">
        <f t="shared" si="118"/>
        <v/>
      </c>
      <c r="AH711" s="278" t="str">
        <f t="shared" si="119"/>
        <v/>
      </c>
      <c r="AJ711" s="25"/>
      <c r="AK711" s="25"/>
      <c r="AL711" s="25"/>
      <c r="AM711" s="25"/>
      <c r="AN711" s="25"/>
      <c r="AO711" s="25"/>
      <c r="AP711" s="25"/>
      <c r="AQ711" s="25"/>
      <c r="AR711" s="25"/>
      <c r="AS711" s="25"/>
      <c r="AT711" s="25"/>
      <c r="AU711" s="25"/>
      <c r="AV711" s="43"/>
      <c r="AW711" s="43"/>
      <c r="AX711" s="114" t="s">
        <v>76</v>
      </c>
      <c r="AY711" s="43"/>
      <c r="AZ711" s="43"/>
      <c r="BA711" s="43"/>
      <c r="BB711" s="43"/>
    </row>
    <row r="712" spans="1:54" ht="12.75" customHeight="1">
      <c r="A712" s="80"/>
      <c r="B712" s="320"/>
      <c r="C712" s="272"/>
      <c r="D712" s="273"/>
      <c r="E712" s="503"/>
      <c r="F712" s="305"/>
      <c r="G712" s="265"/>
      <c r="H712" s="266"/>
      <c r="I712" s="295"/>
      <c r="J712" s="296"/>
      <c r="K712" s="296"/>
      <c r="L712" s="296"/>
      <c r="M712" s="21"/>
      <c r="N712" s="21"/>
      <c r="O712" s="21"/>
      <c r="P712" s="21"/>
      <c r="Q712" s="325"/>
      <c r="R712" s="21"/>
      <c r="S712" s="274"/>
      <c r="T712" s="21"/>
      <c r="U712" s="275"/>
      <c r="V712" s="82"/>
      <c r="Z712" s="181"/>
      <c r="AA712" s="183"/>
      <c r="AC712" s="26"/>
      <c r="AD712" s="279"/>
      <c r="AE712" s="26"/>
      <c r="AF712" s="26"/>
      <c r="AG712" s="278" t="str">
        <f t="shared" si="118"/>
        <v/>
      </c>
      <c r="AH712" s="278" t="str">
        <f t="shared" si="119"/>
        <v/>
      </c>
      <c r="AJ712" s="25"/>
      <c r="AK712" s="25"/>
      <c r="AL712" s="25"/>
      <c r="AM712" s="25"/>
      <c r="AN712" s="25"/>
      <c r="AO712" s="25"/>
      <c r="AP712" s="25"/>
      <c r="AQ712" s="25"/>
      <c r="AR712" s="25"/>
      <c r="AS712" s="25"/>
      <c r="AT712" s="25"/>
      <c r="AU712" s="25"/>
      <c r="AV712" s="43"/>
      <c r="AW712" s="43"/>
      <c r="AX712" s="114" t="s">
        <v>76</v>
      </c>
      <c r="AY712" s="43"/>
      <c r="AZ712" s="43"/>
      <c r="BA712" s="43"/>
      <c r="BB712" s="43"/>
    </row>
    <row r="713" spans="1:54" ht="12.75" customHeight="1">
      <c r="A713" s="80"/>
      <c r="B713" s="320"/>
      <c r="C713" s="272"/>
      <c r="D713" s="273"/>
      <c r="E713" s="503"/>
      <c r="F713" s="305"/>
      <c r="G713" s="265"/>
      <c r="H713" s="266"/>
      <c r="I713" s="295"/>
      <c r="J713" s="296"/>
      <c r="K713" s="296"/>
      <c r="L713" s="296"/>
      <c r="M713" s="21"/>
      <c r="N713" s="21"/>
      <c r="O713" s="21"/>
      <c r="P713" s="21"/>
      <c r="Q713" s="325"/>
      <c r="R713" s="21"/>
      <c r="S713" s="274"/>
      <c r="T713" s="21"/>
      <c r="U713" s="275"/>
      <c r="V713" s="82"/>
      <c r="Z713" s="181"/>
      <c r="AA713" s="183"/>
      <c r="AC713" s="26"/>
      <c r="AD713" s="279"/>
      <c r="AE713" s="26"/>
      <c r="AF713" s="26"/>
      <c r="AG713" s="278" t="str">
        <f t="shared" si="118"/>
        <v/>
      </c>
      <c r="AH713" s="278" t="str">
        <f t="shared" si="119"/>
        <v/>
      </c>
      <c r="AJ713" s="25"/>
      <c r="AK713" s="25"/>
      <c r="AL713" s="25"/>
      <c r="AM713" s="25"/>
      <c r="AN713" s="25"/>
      <c r="AO713" s="25"/>
      <c r="AP713" s="25"/>
      <c r="AQ713" s="25"/>
      <c r="AR713" s="25"/>
      <c r="AS713" s="25"/>
      <c r="AT713" s="25"/>
      <c r="AU713" s="25"/>
      <c r="AV713" s="43"/>
      <c r="AW713" s="43"/>
      <c r="AX713" s="114" t="s">
        <v>76</v>
      </c>
      <c r="AY713" s="43"/>
      <c r="AZ713" s="43"/>
      <c r="BA713" s="43"/>
      <c r="BB713" s="43"/>
    </row>
    <row r="714" spans="1:54" ht="12.75" customHeight="1">
      <c r="A714" s="80"/>
      <c r="B714" s="320"/>
      <c r="C714" s="272"/>
      <c r="D714" s="273"/>
      <c r="E714" s="503"/>
      <c r="F714" s="305"/>
      <c r="G714" s="265"/>
      <c r="H714" s="266"/>
      <c r="I714" s="295"/>
      <c r="J714" s="296"/>
      <c r="K714" s="296"/>
      <c r="L714" s="296"/>
      <c r="M714" s="21"/>
      <c r="N714" s="21"/>
      <c r="O714" s="21"/>
      <c r="P714" s="21"/>
      <c r="Q714" s="325"/>
      <c r="R714" s="21"/>
      <c r="S714" s="274"/>
      <c r="T714" s="21"/>
      <c r="U714" s="275"/>
      <c r="V714" s="82"/>
      <c r="Z714" s="181"/>
      <c r="AA714" s="183"/>
      <c r="AB714" s="35"/>
      <c r="AC714" s="25"/>
      <c r="AD714" s="279"/>
      <c r="AE714" s="26"/>
      <c r="AF714" s="26"/>
      <c r="AG714" s="278" t="str">
        <f t="shared" si="118"/>
        <v/>
      </c>
      <c r="AH714" s="278" t="str">
        <f t="shared" si="119"/>
        <v/>
      </c>
      <c r="AJ714" s="25"/>
      <c r="AK714" s="25"/>
      <c r="AL714" s="25"/>
      <c r="AM714" s="25"/>
      <c r="AN714" s="25"/>
      <c r="AO714" s="25"/>
      <c r="AP714" s="25"/>
      <c r="AQ714" s="25"/>
      <c r="AR714" s="25"/>
      <c r="AS714" s="25"/>
      <c r="AT714" s="25"/>
      <c r="AU714" s="25"/>
      <c r="AV714" s="43"/>
      <c r="AW714" s="43"/>
      <c r="AX714" s="114" t="s">
        <v>76</v>
      </c>
      <c r="AY714" s="43"/>
      <c r="AZ714" s="43"/>
      <c r="BA714" s="43"/>
      <c r="BB714" s="43"/>
    </row>
    <row r="715" spans="1:54" ht="12.75" customHeight="1">
      <c r="A715" s="80"/>
      <c r="B715" s="320"/>
      <c r="C715" s="272"/>
      <c r="D715" s="273"/>
      <c r="E715" s="503"/>
      <c r="F715" s="305"/>
      <c r="G715" s="265"/>
      <c r="H715" s="266"/>
      <c r="I715" s="295"/>
      <c r="J715" s="296"/>
      <c r="K715" s="296"/>
      <c r="L715" s="296"/>
      <c r="M715" s="21"/>
      <c r="N715" s="21"/>
      <c r="O715" s="21"/>
      <c r="P715" s="21"/>
      <c r="Q715" s="325"/>
      <c r="R715" s="21"/>
      <c r="S715" s="274"/>
      <c r="T715" s="21"/>
      <c r="U715" s="275"/>
      <c r="V715" s="82"/>
      <c r="Z715" s="181"/>
      <c r="AA715" s="183"/>
      <c r="AC715" s="26"/>
      <c r="AD715" s="279"/>
      <c r="AE715" s="26"/>
      <c r="AF715" s="26"/>
      <c r="AG715" s="278" t="str">
        <f t="shared" si="118"/>
        <v/>
      </c>
      <c r="AH715" s="278" t="str">
        <f t="shared" si="119"/>
        <v/>
      </c>
      <c r="AJ715" s="25"/>
      <c r="AK715" s="25"/>
      <c r="AL715" s="25"/>
      <c r="AM715" s="25"/>
      <c r="AN715" s="25"/>
      <c r="AO715" s="25"/>
      <c r="AP715" s="25"/>
      <c r="AQ715" s="25"/>
      <c r="AR715" s="25"/>
      <c r="AS715" s="25"/>
      <c r="AT715" s="25"/>
      <c r="AU715" s="25"/>
      <c r="AV715" s="43"/>
      <c r="AW715" s="43"/>
      <c r="AX715" s="114" t="s">
        <v>76</v>
      </c>
      <c r="AY715" s="43"/>
      <c r="AZ715" s="43"/>
      <c r="BA715" s="43"/>
      <c r="BB715" s="43"/>
    </row>
    <row r="716" spans="1:54" ht="12.75" customHeight="1">
      <c r="A716" s="80"/>
      <c r="B716" s="320"/>
      <c r="C716" s="272"/>
      <c r="D716" s="273"/>
      <c r="E716" s="503"/>
      <c r="F716" s="305"/>
      <c r="G716" s="265"/>
      <c r="H716" s="266"/>
      <c r="I716" s="295"/>
      <c r="J716" s="296"/>
      <c r="K716" s="296"/>
      <c r="L716" s="296"/>
      <c r="M716" s="21"/>
      <c r="N716" s="21"/>
      <c r="O716" s="21"/>
      <c r="P716" s="21"/>
      <c r="Q716" s="325"/>
      <c r="R716" s="21"/>
      <c r="S716" s="274"/>
      <c r="T716" s="21"/>
      <c r="U716" s="275"/>
      <c r="V716" s="82"/>
      <c r="Z716" s="181"/>
      <c r="AA716" s="183"/>
      <c r="AC716" s="26"/>
      <c r="AD716" s="279"/>
      <c r="AE716" s="26"/>
      <c r="AF716" s="26"/>
      <c r="AG716" s="278" t="str">
        <f t="shared" si="118"/>
        <v/>
      </c>
      <c r="AH716" s="278" t="str">
        <f t="shared" si="119"/>
        <v/>
      </c>
      <c r="AJ716" s="25"/>
      <c r="AK716" s="25"/>
      <c r="AL716" s="25"/>
      <c r="AM716" s="25"/>
      <c r="AN716" s="25"/>
      <c r="AO716" s="25"/>
      <c r="AP716" s="25"/>
      <c r="AQ716" s="25"/>
      <c r="AR716" s="25"/>
      <c r="AS716" s="25"/>
      <c r="AT716" s="25"/>
      <c r="AU716" s="25"/>
      <c r="AV716" s="43"/>
      <c r="AW716" s="43"/>
      <c r="AX716" s="114" t="s">
        <v>76</v>
      </c>
      <c r="AY716" s="43"/>
      <c r="AZ716" s="43"/>
      <c r="BA716" s="43"/>
      <c r="BB716" s="43"/>
    </row>
    <row r="717" spans="1:54" ht="12.75" customHeight="1">
      <c r="A717" s="80"/>
      <c r="B717" s="320"/>
      <c r="C717" s="272"/>
      <c r="D717" s="273"/>
      <c r="E717" s="503"/>
      <c r="F717" s="305"/>
      <c r="G717" s="265"/>
      <c r="H717" s="266"/>
      <c r="I717" s="295"/>
      <c r="J717" s="296"/>
      <c r="K717" s="296"/>
      <c r="L717" s="296"/>
      <c r="M717" s="21"/>
      <c r="N717" s="21"/>
      <c r="O717" s="21"/>
      <c r="P717" s="21"/>
      <c r="Q717" s="325"/>
      <c r="R717" s="21"/>
      <c r="S717" s="274"/>
      <c r="T717" s="21"/>
      <c r="U717" s="275"/>
      <c r="V717" s="82"/>
      <c r="Z717" s="181"/>
      <c r="AA717" s="183"/>
      <c r="AC717" s="26"/>
      <c r="AD717" s="279"/>
      <c r="AE717" s="26"/>
      <c r="AF717" s="26"/>
      <c r="AG717" s="278" t="str">
        <f t="shared" si="118"/>
        <v/>
      </c>
      <c r="AH717" s="278" t="str">
        <f t="shared" si="119"/>
        <v/>
      </c>
      <c r="AJ717" s="25"/>
      <c r="AK717" s="25"/>
      <c r="AL717" s="25"/>
      <c r="AM717" s="25"/>
      <c r="AN717" s="25"/>
      <c r="AO717" s="25"/>
      <c r="AP717" s="25"/>
      <c r="AQ717" s="25"/>
      <c r="AR717" s="25"/>
      <c r="AS717" s="25"/>
      <c r="AT717" s="25"/>
      <c r="AU717" s="25"/>
      <c r="AV717" s="43"/>
      <c r="AW717" s="43"/>
      <c r="AX717" s="114" t="s">
        <v>76</v>
      </c>
      <c r="AY717" s="43"/>
      <c r="AZ717" s="43"/>
      <c r="BA717" s="43"/>
      <c r="BB717" s="43"/>
    </row>
    <row r="718" spans="1:54" ht="12.75" customHeight="1">
      <c r="A718" s="80"/>
      <c r="B718" s="320"/>
      <c r="C718" s="272"/>
      <c r="D718" s="273"/>
      <c r="E718" s="503"/>
      <c r="F718" s="305"/>
      <c r="G718" s="265"/>
      <c r="H718" s="266"/>
      <c r="I718" s="295"/>
      <c r="J718" s="296"/>
      <c r="K718" s="296"/>
      <c r="L718" s="296"/>
      <c r="M718" s="21"/>
      <c r="N718" s="21"/>
      <c r="O718" s="21"/>
      <c r="P718" s="21"/>
      <c r="Q718" s="325"/>
      <c r="R718" s="21"/>
      <c r="S718" s="274"/>
      <c r="T718" s="21"/>
      <c r="U718" s="275"/>
      <c r="V718" s="82"/>
      <c r="Z718" s="181"/>
      <c r="AA718" s="183"/>
      <c r="AC718" s="26"/>
      <c r="AD718" s="279"/>
      <c r="AE718" s="26"/>
      <c r="AF718" s="26"/>
      <c r="AG718" s="278" t="str">
        <f t="shared" si="118"/>
        <v/>
      </c>
      <c r="AH718" s="278" t="str">
        <f t="shared" si="119"/>
        <v/>
      </c>
      <c r="AJ718" s="25"/>
      <c r="AK718" s="25"/>
      <c r="AL718" s="25"/>
      <c r="AM718" s="25"/>
      <c r="AN718" s="25"/>
      <c r="AO718" s="25"/>
      <c r="AP718" s="25"/>
      <c r="AQ718" s="25"/>
      <c r="AR718" s="25"/>
      <c r="AS718" s="25"/>
      <c r="AT718" s="25"/>
      <c r="AU718" s="25"/>
      <c r="AV718" s="43"/>
      <c r="AW718" s="43"/>
      <c r="AX718" s="114" t="s">
        <v>76</v>
      </c>
      <c r="AY718" s="43"/>
      <c r="AZ718" s="43"/>
      <c r="BA718" s="43"/>
      <c r="BB718" s="43"/>
    </row>
    <row r="719" spans="1:54" ht="12.75" customHeight="1">
      <c r="A719" s="80"/>
      <c r="B719" s="320"/>
      <c r="C719" s="272"/>
      <c r="D719" s="273"/>
      <c r="E719" s="503"/>
      <c r="F719" s="305"/>
      <c r="G719" s="265"/>
      <c r="H719" s="266"/>
      <c r="I719" s="295"/>
      <c r="J719" s="296"/>
      <c r="K719" s="296"/>
      <c r="L719" s="296"/>
      <c r="M719" s="21"/>
      <c r="N719" s="21"/>
      <c r="O719" s="21"/>
      <c r="P719" s="21"/>
      <c r="Q719" s="325"/>
      <c r="R719" s="21"/>
      <c r="S719" s="274"/>
      <c r="T719" s="21"/>
      <c r="U719" s="275"/>
      <c r="V719" s="82"/>
      <c r="Z719" s="181"/>
      <c r="AA719" s="183"/>
      <c r="AC719" s="26"/>
      <c r="AD719" s="279"/>
      <c r="AE719" s="26"/>
      <c r="AF719" s="26"/>
      <c r="AG719" s="278" t="str">
        <f t="shared" si="118"/>
        <v/>
      </c>
      <c r="AH719" s="278" t="str">
        <f t="shared" si="119"/>
        <v/>
      </c>
      <c r="AJ719" s="25"/>
      <c r="AK719" s="25"/>
      <c r="AL719" s="25"/>
      <c r="AM719" s="25"/>
      <c r="AN719" s="25"/>
      <c r="AO719" s="25"/>
      <c r="AP719" s="25"/>
      <c r="AQ719" s="25"/>
      <c r="AR719" s="25"/>
      <c r="AS719" s="25"/>
      <c r="AT719" s="25"/>
      <c r="AU719" s="25"/>
      <c r="AV719" s="43"/>
      <c r="AW719" s="43"/>
      <c r="AX719" s="114" t="s">
        <v>76</v>
      </c>
      <c r="AY719" s="43"/>
      <c r="AZ719" s="43"/>
      <c r="BA719" s="43"/>
      <c r="BB719" s="43"/>
    </row>
    <row r="720" spans="1:54" ht="12.75" customHeight="1">
      <c r="A720" s="80"/>
      <c r="B720" s="320"/>
      <c r="C720" s="272"/>
      <c r="D720" s="273"/>
      <c r="E720" s="503"/>
      <c r="F720" s="305"/>
      <c r="G720" s="265"/>
      <c r="H720" s="266"/>
      <c r="I720" s="295"/>
      <c r="J720" s="296"/>
      <c r="K720" s="296"/>
      <c r="L720" s="296"/>
      <c r="M720" s="21"/>
      <c r="N720" s="21"/>
      <c r="O720" s="21"/>
      <c r="P720" s="21"/>
      <c r="Q720" s="325"/>
      <c r="R720" s="21"/>
      <c r="S720" s="274"/>
      <c r="T720" s="21"/>
      <c r="U720" s="275"/>
      <c r="V720" s="82"/>
      <c r="Z720" s="181"/>
      <c r="AA720" s="183"/>
      <c r="AC720" s="26"/>
      <c r="AD720" s="279"/>
      <c r="AE720" s="26"/>
      <c r="AF720" s="26"/>
      <c r="AG720" s="278" t="str">
        <f t="shared" si="118"/>
        <v/>
      </c>
      <c r="AH720" s="278" t="str">
        <f t="shared" si="119"/>
        <v/>
      </c>
      <c r="AJ720" s="25"/>
      <c r="AK720" s="25"/>
      <c r="AL720" s="25"/>
      <c r="AM720" s="25"/>
      <c r="AN720" s="25"/>
      <c r="AO720" s="25"/>
      <c r="AP720" s="25"/>
      <c r="AQ720" s="25"/>
      <c r="AR720" s="25"/>
      <c r="AS720" s="25"/>
      <c r="AT720" s="25"/>
      <c r="AU720" s="25"/>
      <c r="AV720" s="43"/>
      <c r="AW720" s="43"/>
      <c r="AX720" s="114" t="s">
        <v>76</v>
      </c>
      <c r="AY720" s="43"/>
      <c r="AZ720" s="43"/>
      <c r="BA720" s="43"/>
      <c r="BB720" s="43"/>
    </row>
    <row r="721" spans="1:54" ht="12.75" customHeight="1">
      <c r="A721" s="80"/>
      <c r="B721" s="320"/>
      <c r="C721" s="272"/>
      <c r="D721" s="273"/>
      <c r="E721" s="503"/>
      <c r="F721" s="305"/>
      <c r="G721" s="265"/>
      <c r="H721" s="266"/>
      <c r="I721" s="295"/>
      <c r="J721" s="296"/>
      <c r="K721" s="296"/>
      <c r="L721" s="296"/>
      <c r="M721" s="21"/>
      <c r="N721" s="21"/>
      <c r="O721" s="21"/>
      <c r="P721" s="21"/>
      <c r="Q721" s="325"/>
      <c r="R721" s="21"/>
      <c r="S721" s="274"/>
      <c r="T721" s="21"/>
      <c r="U721" s="275"/>
      <c r="V721" s="82"/>
      <c r="Z721" s="181"/>
      <c r="AA721" s="183"/>
      <c r="AC721" s="26"/>
      <c r="AD721" s="279"/>
      <c r="AE721" s="26"/>
      <c r="AF721" s="26"/>
      <c r="AG721" s="278" t="str">
        <f t="shared" si="118"/>
        <v/>
      </c>
      <c r="AH721" s="278" t="str">
        <f t="shared" si="119"/>
        <v/>
      </c>
      <c r="AJ721" s="25"/>
      <c r="AK721" s="25"/>
      <c r="AL721" s="25"/>
      <c r="AM721" s="25"/>
      <c r="AN721" s="25"/>
      <c r="AO721" s="25"/>
      <c r="AP721" s="25"/>
      <c r="AQ721" s="25"/>
      <c r="AR721" s="25"/>
      <c r="AS721" s="25"/>
      <c r="AT721" s="25"/>
      <c r="AU721" s="25"/>
      <c r="AV721" s="43"/>
      <c r="AW721" s="43"/>
      <c r="AX721" s="114" t="s">
        <v>76</v>
      </c>
      <c r="AY721" s="43"/>
      <c r="AZ721" s="43"/>
      <c r="BA721" s="43"/>
      <c r="BB721" s="43"/>
    </row>
    <row r="722" spans="1:54" ht="12.75" customHeight="1">
      <c r="A722" s="80"/>
      <c r="B722" s="320"/>
      <c r="C722" s="272"/>
      <c r="D722" s="273"/>
      <c r="E722" s="503"/>
      <c r="F722" s="305"/>
      <c r="G722" s="265"/>
      <c r="H722" s="266"/>
      <c r="I722" s="295"/>
      <c r="J722" s="296"/>
      <c r="K722" s="296"/>
      <c r="L722" s="296"/>
      <c r="M722" s="21"/>
      <c r="N722" s="21"/>
      <c r="O722" s="21"/>
      <c r="P722" s="21"/>
      <c r="Q722" s="325"/>
      <c r="R722" s="21"/>
      <c r="S722" s="274"/>
      <c r="T722" s="21"/>
      <c r="U722" s="275"/>
      <c r="V722" s="82"/>
      <c r="Z722" s="181"/>
      <c r="AA722" s="183"/>
      <c r="AC722" s="26"/>
      <c r="AD722" s="279"/>
      <c r="AE722" s="26"/>
      <c r="AF722" s="26"/>
      <c r="AG722" s="278" t="str">
        <f t="shared" si="118"/>
        <v/>
      </c>
      <c r="AH722" s="278" t="str">
        <f t="shared" si="119"/>
        <v/>
      </c>
      <c r="AJ722" s="25"/>
      <c r="AK722" s="25"/>
      <c r="AL722" s="25"/>
      <c r="AM722" s="25"/>
      <c r="AN722" s="25"/>
      <c r="AO722" s="25"/>
      <c r="AP722" s="25"/>
      <c r="AQ722" s="25"/>
      <c r="AR722" s="25"/>
      <c r="AS722" s="25"/>
      <c r="AT722" s="25"/>
      <c r="AU722" s="25"/>
      <c r="AV722" s="43"/>
      <c r="AW722" s="43"/>
      <c r="AX722" s="114" t="s">
        <v>76</v>
      </c>
      <c r="AY722" s="43"/>
      <c r="AZ722" s="43"/>
      <c r="BA722" s="43"/>
      <c r="BB722" s="43"/>
    </row>
    <row r="723" spans="1:54" ht="12.75" customHeight="1">
      <c r="A723" s="80"/>
      <c r="B723" s="320"/>
      <c r="C723" s="272"/>
      <c r="D723" s="273"/>
      <c r="E723" s="503"/>
      <c r="F723" s="305"/>
      <c r="G723" s="265"/>
      <c r="H723" s="266"/>
      <c r="I723" s="295"/>
      <c r="J723" s="296"/>
      <c r="K723" s="296"/>
      <c r="L723" s="296"/>
      <c r="M723" s="21"/>
      <c r="N723" s="21"/>
      <c r="O723" s="21"/>
      <c r="P723" s="21"/>
      <c r="Q723" s="325"/>
      <c r="R723" s="21"/>
      <c r="S723" s="274"/>
      <c r="T723" s="21"/>
      <c r="U723" s="275"/>
      <c r="V723" s="82"/>
      <c r="Z723" s="181"/>
      <c r="AA723" s="183"/>
      <c r="AC723" s="26"/>
      <c r="AD723" s="279"/>
      <c r="AE723" s="26"/>
      <c r="AF723" s="26"/>
      <c r="AG723" s="278" t="str">
        <f t="shared" si="118"/>
        <v/>
      </c>
      <c r="AH723" s="278" t="str">
        <f t="shared" si="119"/>
        <v/>
      </c>
      <c r="AJ723" s="25"/>
      <c r="AK723" s="25"/>
      <c r="AL723" s="25"/>
      <c r="AM723" s="25"/>
      <c r="AN723" s="25"/>
      <c r="AO723" s="25"/>
      <c r="AP723" s="25"/>
      <c r="AQ723" s="25"/>
      <c r="AR723" s="25"/>
      <c r="AS723" s="25"/>
      <c r="AT723" s="25"/>
      <c r="AU723" s="25"/>
      <c r="AV723" s="43"/>
      <c r="AW723" s="43"/>
      <c r="AX723" s="114" t="s">
        <v>76</v>
      </c>
      <c r="AY723" s="43"/>
      <c r="AZ723" s="43"/>
      <c r="BA723" s="43"/>
      <c r="BB723" s="43"/>
    </row>
    <row r="724" spans="1:54" ht="12.75" customHeight="1">
      <c r="A724" s="80"/>
      <c r="B724" s="320"/>
      <c r="C724" s="272"/>
      <c r="D724" s="273"/>
      <c r="E724" s="503"/>
      <c r="F724" s="305"/>
      <c r="G724" s="265"/>
      <c r="H724" s="266"/>
      <c r="I724" s="295"/>
      <c r="J724" s="296"/>
      <c r="K724" s="296"/>
      <c r="L724" s="296"/>
      <c r="M724" s="21"/>
      <c r="N724" s="21"/>
      <c r="O724" s="21"/>
      <c r="P724" s="21"/>
      <c r="Q724" s="325"/>
      <c r="R724" s="21"/>
      <c r="S724" s="274"/>
      <c r="T724" s="21"/>
      <c r="U724" s="275"/>
      <c r="V724" s="82"/>
      <c r="Z724" s="181"/>
      <c r="AA724" s="183"/>
      <c r="AB724" s="35"/>
      <c r="AC724" s="25"/>
      <c r="AD724" s="279"/>
      <c r="AE724" s="26"/>
      <c r="AF724" s="26"/>
      <c r="AG724" s="278" t="str">
        <f t="shared" si="118"/>
        <v/>
      </c>
      <c r="AH724" s="278" t="str">
        <f t="shared" si="119"/>
        <v/>
      </c>
      <c r="AJ724" s="25"/>
      <c r="AK724" s="25"/>
      <c r="AL724" s="25"/>
      <c r="AM724" s="25"/>
      <c r="AN724" s="25"/>
      <c r="AO724" s="25"/>
      <c r="AP724" s="25"/>
      <c r="AQ724" s="25"/>
      <c r="AR724" s="25"/>
      <c r="AS724" s="25"/>
      <c r="AT724" s="25"/>
      <c r="AU724" s="25"/>
      <c r="AV724" s="43"/>
      <c r="AW724" s="43"/>
      <c r="AX724" s="114" t="s">
        <v>76</v>
      </c>
      <c r="AY724" s="43"/>
      <c r="AZ724" s="43"/>
      <c r="BA724" s="43"/>
      <c r="BB724" s="43"/>
    </row>
    <row r="725" spans="1:54" ht="12.75" customHeight="1">
      <c r="A725" s="80"/>
      <c r="B725" s="320"/>
      <c r="C725" s="272"/>
      <c r="D725" s="273"/>
      <c r="E725" s="503"/>
      <c r="F725" s="305"/>
      <c r="G725" s="265"/>
      <c r="H725" s="266"/>
      <c r="I725" s="295"/>
      <c r="J725" s="296"/>
      <c r="K725" s="296"/>
      <c r="L725" s="296"/>
      <c r="M725" s="21"/>
      <c r="N725" s="21"/>
      <c r="O725" s="21"/>
      <c r="P725" s="21"/>
      <c r="Q725" s="325"/>
      <c r="R725" s="21"/>
      <c r="S725" s="274"/>
      <c r="T725" s="21"/>
      <c r="U725" s="275"/>
      <c r="V725" s="82"/>
      <c r="Z725" s="181"/>
      <c r="AA725" s="183"/>
      <c r="AC725" s="26"/>
      <c r="AD725" s="279"/>
      <c r="AE725" s="26"/>
      <c r="AF725" s="26"/>
      <c r="AG725" s="278" t="str">
        <f t="shared" si="118"/>
        <v/>
      </c>
      <c r="AH725" s="278" t="str">
        <f t="shared" si="119"/>
        <v/>
      </c>
      <c r="AJ725" s="25"/>
      <c r="AK725" s="25"/>
      <c r="AL725" s="25"/>
      <c r="AM725" s="25"/>
      <c r="AN725" s="25"/>
      <c r="AO725" s="25"/>
      <c r="AP725" s="25"/>
      <c r="AQ725" s="25"/>
      <c r="AR725" s="25"/>
      <c r="AS725" s="25"/>
      <c r="AT725" s="25"/>
      <c r="AU725" s="25"/>
      <c r="AV725" s="43"/>
      <c r="AW725" s="43"/>
      <c r="AX725" s="114" t="s">
        <v>76</v>
      </c>
      <c r="AY725" s="43"/>
      <c r="AZ725" s="43"/>
      <c r="BA725" s="43"/>
      <c r="BB725" s="43"/>
    </row>
    <row r="726" spans="1:54" ht="12.75" customHeight="1">
      <c r="A726" s="80"/>
      <c r="B726" s="320"/>
      <c r="C726" s="272"/>
      <c r="D726" s="273"/>
      <c r="E726" s="503"/>
      <c r="F726" s="305"/>
      <c r="G726" s="265"/>
      <c r="H726" s="266"/>
      <c r="I726" s="295"/>
      <c r="J726" s="296"/>
      <c r="K726" s="296"/>
      <c r="L726" s="296"/>
      <c r="M726" s="21"/>
      <c r="N726" s="21"/>
      <c r="O726" s="21"/>
      <c r="P726" s="21"/>
      <c r="Q726" s="325"/>
      <c r="R726" s="21"/>
      <c r="S726" s="274"/>
      <c r="T726" s="21"/>
      <c r="U726" s="275"/>
      <c r="V726" s="82"/>
      <c r="Z726" s="181"/>
      <c r="AA726" s="183"/>
      <c r="AB726" s="30"/>
      <c r="AC726" s="29"/>
      <c r="AD726" s="279"/>
      <c r="AE726" s="26"/>
      <c r="AF726" s="26"/>
      <c r="AG726" s="278" t="str">
        <f t="shared" si="118"/>
        <v/>
      </c>
      <c r="AH726" s="278" t="str">
        <f t="shared" si="119"/>
        <v/>
      </c>
      <c r="AJ726" s="25"/>
      <c r="AK726" s="25"/>
      <c r="AL726" s="25"/>
      <c r="AM726" s="25"/>
      <c r="AN726" s="25"/>
      <c r="AO726" s="25"/>
      <c r="AP726" s="25"/>
      <c r="AQ726" s="25"/>
      <c r="AR726" s="25"/>
      <c r="AS726" s="25"/>
      <c r="AT726" s="25"/>
      <c r="AU726" s="25"/>
      <c r="AV726" s="43"/>
      <c r="AW726" s="43"/>
      <c r="AX726" s="114" t="s">
        <v>76</v>
      </c>
      <c r="AY726" s="43"/>
      <c r="AZ726" s="43"/>
      <c r="BA726" s="43"/>
      <c r="BB726" s="43"/>
    </row>
    <row r="727" spans="1:54" ht="12.75" customHeight="1">
      <c r="A727" s="80"/>
      <c r="B727" s="320"/>
      <c r="C727" s="272"/>
      <c r="D727" s="273"/>
      <c r="E727" s="503"/>
      <c r="F727" s="305"/>
      <c r="G727" s="265"/>
      <c r="H727" s="266"/>
      <c r="I727" s="295"/>
      <c r="J727" s="296"/>
      <c r="K727" s="296"/>
      <c r="L727" s="296"/>
      <c r="M727" s="21"/>
      <c r="N727" s="21"/>
      <c r="O727" s="21"/>
      <c r="P727" s="21"/>
      <c r="Q727" s="325"/>
      <c r="R727" s="21"/>
      <c r="S727" s="274"/>
      <c r="T727" s="21"/>
      <c r="U727" s="275"/>
      <c r="V727" s="82"/>
      <c r="Z727" s="181"/>
      <c r="AA727" s="183"/>
      <c r="AC727" s="26"/>
      <c r="AD727" s="279"/>
      <c r="AE727" s="26"/>
      <c r="AF727" s="26"/>
      <c r="AG727" s="278" t="str">
        <f t="shared" si="118"/>
        <v/>
      </c>
      <c r="AH727" s="278" t="str">
        <f t="shared" si="119"/>
        <v/>
      </c>
      <c r="AJ727" s="25"/>
      <c r="AK727" s="25"/>
      <c r="AL727" s="25"/>
      <c r="AM727" s="25"/>
      <c r="AN727" s="25"/>
      <c r="AO727" s="25"/>
      <c r="AP727" s="25"/>
      <c r="AQ727" s="25"/>
      <c r="AR727" s="25"/>
      <c r="AS727" s="25"/>
      <c r="AT727" s="25"/>
      <c r="AU727" s="25"/>
      <c r="AV727" s="43"/>
      <c r="AW727" s="43"/>
      <c r="AX727" s="114" t="s">
        <v>76</v>
      </c>
      <c r="AY727" s="43"/>
      <c r="AZ727" s="43"/>
      <c r="BA727" s="43"/>
      <c r="BB727" s="43"/>
    </row>
    <row r="728" spans="1:54" ht="12.75" customHeight="1">
      <c r="A728" s="80"/>
      <c r="B728" s="320"/>
      <c r="C728" s="272"/>
      <c r="D728" s="273"/>
      <c r="E728" s="503"/>
      <c r="F728" s="305"/>
      <c r="G728" s="265"/>
      <c r="H728" s="266"/>
      <c r="I728" s="295"/>
      <c r="J728" s="296"/>
      <c r="K728" s="296"/>
      <c r="L728" s="296"/>
      <c r="M728" s="21"/>
      <c r="N728" s="21"/>
      <c r="O728" s="21"/>
      <c r="P728" s="21"/>
      <c r="Q728" s="325"/>
      <c r="R728" s="21"/>
      <c r="S728" s="274"/>
      <c r="T728" s="21"/>
      <c r="U728" s="275"/>
      <c r="V728" s="82"/>
      <c r="Z728" s="181"/>
      <c r="AA728" s="183"/>
      <c r="AC728" s="26"/>
      <c r="AD728" s="279"/>
      <c r="AE728" s="26"/>
      <c r="AF728" s="26"/>
      <c r="AG728" s="278" t="str">
        <f t="shared" si="118"/>
        <v/>
      </c>
      <c r="AH728" s="278" t="str">
        <f t="shared" si="119"/>
        <v/>
      </c>
      <c r="AJ728" s="25"/>
      <c r="AK728" s="25"/>
      <c r="AL728" s="25"/>
      <c r="AM728" s="25"/>
      <c r="AN728" s="25"/>
      <c r="AO728" s="25"/>
      <c r="AP728" s="25"/>
      <c r="AQ728" s="25"/>
      <c r="AR728" s="25"/>
      <c r="AS728" s="25"/>
      <c r="AT728" s="25"/>
      <c r="AU728" s="25"/>
      <c r="AV728" s="43"/>
      <c r="AW728" s="43"/>
      <c r="AX728" s="114" t="s">
        <v>76</v>
      </c>
      <c r="AY728" s="43"/>
      <c r="AZ728" s="43"/>
      <c r="BA728" s="43"/>
      <c r="BB728" s="43"/>
    </row>
    <row r="729" spans="1:54" ht="12.75" customHeight="1">
      <c r="A729" s="80"/>
      <c r="B729" s="320"/>
      <c r="C729" s="272"/>
      <c r="D729" s="273"/>
      <c r="E729" s="503"/>
      <c r="F729" s="305"/>
      <c r="G729" s="265"/>
      <c r="H729" s="266"/>
      <c r="I729" s="295"/>
      <c r="J729" s="296"/>
      <c r="K729" s="296"/>
      <c r="L729" s="296"/>
      <c r="M729" s="21"/>
      <c r="N729" s="21"/>
      <c r="O729" s="21"/>
      <c r="P729" s="21"/>
      <c r="Q729" s="325"/>
      <c r="R729" s="21"/>
      <c r="S729" s="274"/>
      <c r="T729" s="21"/>
      <c r="U729" s="275"/>
      <c r="V729" s="82"/>
      <c r="Z729" s="181"/>
      <c r="AA729" s="183"/>
      <c r="AC729" s="26"/>
      <c r="AD729" s="279"/>
      <c r="AE729" s="26"/>
      <c r="AF729" s="26"/>
      <c r="AG729" s="278" t="str">
        <f t="shared" si="118"/>
        <v/>
      </c>
      <c r="AH729" s="278" t="str">
        <f t="shared" si="119"/>
        <v/>
      </c>
      <c r="AJ729" s="25"/>
      <c r="AK729" s="25"/>
      <c r="AL729" s="25"/>
      <c r="AM729" s="25"/>
      <c r="AN729" s="25"/>
      <c r="AO729" s="25"/>
      <c r="AP729" s="25"/>
      <c r="AQ729" s="25"/>
      <c r="AR729" s="25"/>
      <c r="AS729" s="25"/>
      <c r="AT729" s="25"/>
      <c r="AU729" s="25"/>
      <c r="AV729" s="43"/>
      <c r="AW729" s="43"/>
      <c r="AX729" s="114" t="s">
        <v>76</v>
      </c>
      <c r="AY729" s="43"/>
      <c r="AZ729" s="43"/>
      <c r="BA729" s="43"/>
      <c r="BB729" s="43"/>
    </row>
    <row r="730" spans="1:54" ht="12.75" customHeight="1">
      <c r="A730" s="80"/>
      <c r="B730" s="320"/>
      <c r="C730" s="272"/>
      <c r="D730" s="273"/>
      <c r="E730" s="503"/>
      <c r="F730" s="305"/>
      <c r="G730" s="265"/>
      <c r="H730" s="266"/>
      <c r="I730" s="295"/>
      <c r="J730" s="296"/>
      <c r="K730" s="296"/>
      <c r="L730" s="296"/>
      <c r="M730" s="21"/>
      <c r="N730" s="21"/>
      <c r="O730" s="21"/>
      <c r="P730" s="21"/>
      <c r="Q730" s="325"/>
      <c r="R730" s="21"/>
      <c r="S730" s="274"/>
      <c r="T730" s="21"/>
      <c r="U730" s="275"/>
      <c r="V730" s="82"/>
      <c r="Z730" s="181"/>
      <c r="AA730" s="183"/>
      <c r="AB730" s="35"/>
      <c r="AC730" s="25"/>
      <c r="AD730" s="279"/>
      <c r="AE730" s="26"/>
      <c r="AF730" s="26"/>
      <c r="AG730" s="278" t="str">
        <f t="shared" si="118"/>
        <v/>
      </c>
      <c r="AH730" s="278" t="str">
        <f t="shared" si="119"/>
        <v/>
      </c>
      <c r="AJ730" s="25"/>
      <c r="AK730" s="25"/>
      <c r="AL730" s="25"/>
      <c r="AM730" s="25"/>
      <c r="AN730" s="25"/>
      <c r="AO730" s="25"/>
      <c r="AP730" s="25"/>
      <c r="AQ730" s="25"/>
      <c r="AR730" s="25"/>
      <c r="AS730" s="25"/>
      <c r="AT730" s="25"/>
      <c r="AU730" s="25"/>
      <c r="AV730" s="43"/>
      <c r="AW730" s="43"/>
      <c r="AX730" s="114" t="s">
        <v>76</v>
      </c>
      <c r="AY730" s="43"/>
      <c r="AZ730" s="43"/>
      <c r="BA730" s="43"/>
      <c r="BB730" s="43"/>
    </row>
    <row r="731" spans="1:54" ht="12.75" customHeight="1">
      <c r="A731" s="80"/>
      <c r="B731" s="320"/>
      <c r="C731" s="272"/>
      <c r="D731" s="273"/>
      <c r="E731" s="503"/>
      <c r="F731" s="305"/>
      <c r="G731" s="265"/>
      <c r="H731" s="266"/>
      <c r="I731" s="295"/>
      <c r="J731" s="296"/>
      <c r="K731" s="296"/>
      <c r="L731" s="296"/>
      <c r="M731" s="21"/>
      <c r="N731" s="21"/>
      <c r="O731" s="21"/>
      <c r="P731" s="21"/>
      <c r="Q731" s="325"/>
      <c r="R731" s="21"/>
      <c r="S731" s="274"/>
      <c r="T731" s="21"/>
      <c r="U731" s="275"/>
      <c r="V731" s="82"/>
      <c r="Z731" s="181"/>
      <c r="AA731" s="183"/>
      <c r="AC731" s="26"/>
      <c r="AD731" s="279"/>
      <c r="AE731" s="26"/>
      <c r="AF731" s="26"/>
      <c r="AG731" s="278" t="str">
        <f t="shared" si="118"/>
        <v/>
      </c>
      <c r="AH731" s="278" t="str">
        <f t="shared" si="119"/>
        <v/>
      </c>
      <c r="AJ731" s="25"/>
      <c r="AK731" s="25"/>
      <c r="AL731" s="25"/>
      <c r="AM731" s="25"/>
      <c r="AN731" s="25"/>
      <c r="AO731" s="25"/>
      <c r="AP731" s="25"/>
      <c r="AQ731" s="25"/>
      <c r="AR731" s="25"/>
      <c r="AS731" s="25"/>
      <c r="AT731" s="25"/>
      <c r="AU731" s="25"/>
      <c r="AV731" s="43"/>
      <c r="AW731" s="43"/>
      <c r="AX731" s="114" t="s">
        <v>76</v>
      </c>
      <c r="AY731" s="43"/>
      <c r="AZ731" s="43"/>
      <c r="BA731" s="43"/>
      <c r="BB731" s="43"/>
    </row>
    <row r="732" spans="1:54" ht="12.75" customHeight="1">
      <c r="A732" s="80"/>
      <c r="B732" s="320"/>
      <c r="C732" s="272"/>
      <c r="D732" s="273"/>
      <c r="E732" s="503"/>
      <c r="F732" s="305"/>
      <c r="G732" s="265"/>
      <c r="H732" s="266"/>
      <c r="I732" s="295"/>
      <c r="J732" s="296"/>
      <c r="K732" s="296"/>
      <c r="L732" s="296"/>
      <c r="M732" s="21"/>
      <c r="N732" s="21"/>
      <c r="O732" s="21"/>
      <c r="P732" s="21"/>
      <c r="Q732" s="325"/>
      <c r="R732" s="21"/>
      <c r="S732" s="274"/>
      <c r="T732" s="21"/>
      <c r="U732" s="275"/>
      <c r="V732" s="82"/>
      <c r="Z732" s="181"/>
      <c r="AA732" s="183"/>
      <c r="AC732" s="26"/>
      <c r="AD732" s="279"/>
      <c r="AE732" s="26"/>
      <c r="AF732" s="26"/>
      <c r="AG732" s="278" t="str">
        <f t="shared" si="118"/>
        <v/>
      </c>
      <c r="AH732" s="278" t="str">
        <f t="shared" si="119"/>
        <v/>
      </c>
      <c r="AJ732" s="25"/>
      <c r="AK732" s="25"/>
      <c r="AL732" s="25"/>
      <c r="AM732" s="25"/>
      <c r="AN732" s="25"/>
      <c r="AO732" s="25"/>
      <c r="AP732" s="25"/>
      <c r="AQ732" s="25"/>
      <c r="AR732" s="25"/>
      <c r="AS732" s="25"/>
      <c r="AT732" s="25"/>
      <c r="AU732" s="25"/>
      <c r="AV732" s="43"/>
      <c r="AW732" s="43"/>
      <c r="AX732" s="114" t="s">
        <v>76</v>
      </c>
      <c r="AY732" s="43"/>
      <c r="AZ732" s="43"/>
      <c r="BA732" s="43"/>
      <c r="BB732" s="43"/>
    </row>
    <row r="733" spans="1:54" ht="12.75" customHeight="1">
      <c r="A733" s="80"/>
      <c r="B733" s="320"/>
      <c r="C733" s="272"/>
      <c r="D733" s="273"/>
      <c r="E733" s="503"/>
      <c r="F733" s="305"/>
      <c r="G733" s="265"/>
      <c r="H733" s="266"/>
      <c r="I733" s="295"/>
      <c r="J733" s="296"/>
      <c r="K733" s="296"/>
      <c r="L733" s="296"/>
      <c r="M733" s="21"/>
      <c r="N733" s="21"/>
      <c r="O733" s="21"/>
      <c r="P733" s="21"/>
      <c r="Q733" s="325"/>
      <c r="R733" s="21"/>
      <c r="S733" s="274"/>
      <c r="T733" s="21"/>
      <c r="U733" s="275"/>
      <c r="V733" s="82"/>
      <c r="Z733" s="181"/>
      <c r="AA733" s="183"/>
      <c r="AC733" s="26"/>
      <c r="AD733" s="279"/>
      <c r="AE733" s="26"/>
      <c r="AF733" s="26"/>
      <c r="AG733" s="278" t="str">
        <f t="shared" si="118"/>
        <v/>
      </c>
      <c r="AH733" s="278" t="str">
        <f t="shared" si="119"/>
        <v/>
      </c>
      <c r="AJ733" s="25"/>
      <c r="AK733" s="25"/>
      <c r="AL733" s="25"/>
      <c r="AM733" s="25"/>
      <c r="AN733" s="25"/>
      <c r="AO733" s="25"/>
      <c r="AP733" s="25"/>
      <c r="AQ733" s="25"/>
      <c r="AR733" s="25"/>
      <c r="AS733" s="25"/>
      <c r="AT733" s="25"/>
      <c r="AU733" s="25"/>
      <c r="AV733" s="43"/>
      <c r="AW733" s="43"/>
      <c r="AX733" s="114" t="s">
        <v>76</v>
      </c>
      <c r="AY733" s="43"/>
      <c r="AZ733" s="43"/>
      <c r="BA733" s="43"/>
      <c r="BB733" s="43"/>
    </row>
    <row r="734" spans="1:54" ht="12.75" customHeight="1">
      <c r="A734" s="80"/>
      <c r="B734" s="320"/>
      <c r="C734" s="272"/>
      <c r="D734" s="273"/>
      <c r="E734" s="503"/>
      <c r="F734" s="305"/>
      <c r="G734" s="265"/>
      <c r="H734" s="266"/>
      <c r="I734" s="295"/>
      <c r="J734" s="296"/>
      <c r="K734" s="296"/>
      <c r="L734" s="296"/>
      <c r="M734" s="21"/>
      <c r="N734" s="21"/>
      <c r="O734" s="21"/>
      <c r="P734" s="21"/>
      <c r="Q734" s="325"/>
      <c r="R734" s="21"/>
      <c r="S734" s="274"/>
      <c r="T734" s="21"/>
      <c r="U734" s="275"/>
      <c r="V734" s="82"/>
      <c r="Z734" s="181"/>
      <c r="AA734" s="183"/>
      <c r="AC734" s="26"/>
      <c r="AD734" s="279"/>
      <c r="AE734" s="26"/>
      <c r="AF734" s="26"/>
      <c r="AG734" s="278" t="str">
        <f t="shared" si="118"/>
        <v/>
      </c>
      <c r="AH734" s="278" t="str">
        <f t="shared" si="119"/>
        <v/>
      </c>
      <c r="AJ734" s="25"/>
      <c r="AK734" s="25"/>
      <c r="AL734" s="25"/>
      <c r="AM734" s="25"/>
      <c r="AN734" s="25"/>
      <c r="AO734" s="25"/>
      <c r="AP734" s="25"/>
      <c r="AQ734" s="25"/>
      <c r="AR734" s="25"/>
      <c r="AS734" s="25"/>
      <c r="AT734" s="25"/>
      <c r="AU734" s="25"/>
      <c r="AV734" s="43"/>
      <c r="AW734" s="43"/>
      <c r="AX734" s="114" t="s">
        <v>76</v>
      </c>
      <c r="AY734" s="43"/>
      <c r="AZ734" s="43"/>
      <c r="BA734" s="43"/>
      <c r="BB734" s="43"/>
    </row>
    <row r="735" spans="1:54" ht="12.75" customHeight="1">
      <c r="A735" s="80"/>
      <c r="B735" s="320"/>
      <c r="C735" s="272"/>
      <c r="D735" s="273"/>
      <c r="E735" s="503"/>
      <c r="F735" s="305"/>
      <c r="G735" s="265"/>
      <c r="H735" s="266"/>
      <c r="I735" s="295"/>
      <c r="J735" s="296"/>
      <c r="K735" s="296"/>
      <c r="L735" s="296"/>
      <c r="M735" s="21"/>
      <c r="N735" s="21"/>
      <c r="O735" s="21"/>
      <c r="P735" s="21"/>
      <c r="Q735" s="325"/>
      <c r="R735" s="21"/>
      <c r="S735" s="274"/>
      <c r="T735" s="21"/>
      <c r="U735" s="275"/>
      <c r="V735" s="82"/>
      <c r="Z735" s="181"/>
      <c r="AA735" s="183"/>
      <c r="AC735" s="26"/>
      <c r="AD735" s="279"/>
      <c r="AE735" s="26"/>
      <c r="AF735" s="26"/>
      <c r="AG735" s="278" t="str">
        <f t="shared" si="118"/>
        <v/>
      </c>
      <c r="AH735" s="278" t="str">
        <f t="shared" si="119"/>
        <v/>
      </c>
      <c r="AJ735" s="25"/>
      <c r="AK735" s="25"/>
      <c r="AL735" s="25"/>
      <c r="AM735" s="25"/>
      <c r="AN735" s="25"/>
      <c r="AO735" s="25"/>
      <c r="AP735" s="25"/>
      <c r="AQ735" s="25"/>
      <c r="AR735" s="25"/>
      <c r="AS735" s="25"/>
      <c r="AT735" s="25"/>
      <c r="AU735" s="25"/>
      <c r="AV735" s="43"/>
      <c r="AW735" s="43"/>
      <c r="AX735" s="114" t="s">
        <v>76</v>
      </c>
      <c r="AY735" s="43"/>
      <c r="AZ735" s="43"/>
      <c r="BA735" s="43"/>
      <c r="BB735" s="43"/>
    </row>
    <row r="736" spans="1:54" ht="12.75" customHeight="1">
      <c r="A736" s="80"/>
      <c r="B736" s="320"/>
      <c r="C736" s="272"/>
      <c r="D736" s="273"/>
      <c r="E736" s="503"/>
      <c r="F736" s="305"/>
      <c r="G736" s="265"/>
      <c r="H736" s="266"/>
      <c r="I736" s="295"/>
      <c r="J736" s="296"/>
      <c r="K736" s="296"/>
      <c r="L736" s="296"/>
      <c r="M736" s="21"/>
      <c r="N736" s="21"/>
      <c r="O736" s="21"/>
      <c r="P736" s="21"/>
      <c r="Q736" s="325"/>
      <c r="R736" s="21"/>
      <c r="S736" s="274"/>
      <c r="T736" s="21"/>
      <c r="U736" s="275"/>
      <c r="V736" s="82"/>
      <c r="Z736" s="181"/>
      <c r="AA736" s="183"/>
      <c r="AC736" s="26"/>
      <c r="AD736" s="279"/>
      <c r="AE736" s="26"/>
      <c r="AF736" s="26"/>
      <c r="AG736" s="278" t="str">
        <f t="shared" si="118"/>
        <v/>
      </c>
      <c r="AH736" s="278" t="str">
        <f t="shared" si="119"/>
        <v/>
      </c>
      <c r="AJ736" s="25"/>
      <c r="AK736" s="25"/>
      <c r="AL736" s="25"/>
      <c r="AM736" s="25"/>
      <c r="AN736" s="25"/>
      <c r="AO736" s="25"/>
      <c r="AP736" s="25"/>
      <c r="AQ736" s="25"/>
      <c r="AR736" s="25"/>
      <c r="AS736" s="25"/>
      <c r="AT736" s="25"/>
      <c r="AU736" s="25"/>
      <c r="AV736" s="43"/>
      <c r="AW736" s="43"/>
      <c r="AX736" s="114" t="s">
        <v>76</v>
      </c>
      <c r="AY736" s="43"/>
      <c r="AZ736" s="43"/>
      <c r="BA736" s="43"/>
      <c r="BB736" s="43"/>
    </row>
    <row r="737" spans="1:54" ht="12.75" customHeight="1">
      <c r="A737" s="80"/>
      <c r="B737" s="320"/>
      <c r="C737" s="272"/>
      <c r="D737" s="273"/>
      <c r="E737" s="503"/>
      <c r="F737" s="305"/>
      <c r="G737" s="265"/>
      <c r="H737" s="266"/>
      <c r="I737" s="295"/>
      <c r="J737" s="296"/>
      <c r="K737" s="296"/>
      <c r="L737" s="296"/>
      <c r="M737" s="21"/>
      <c r="N737" s="21"/>
      <c r="O737" s="21"/>
      <c r="P737" s="21"/>
      <c r="Q737" s="325"/>
      <c r="R737" s="21"/>
      <c r="S737" s="274"/>
      <c r="T737" s="21"/>
      <c r="U737" s="275"/>
      <c r="V737" s="82"/>
      <c r="Z737" s="181"/>
      <c r="AA737" s="183"/>
      <c r="AB737" s="35"/>
      <c r="AC737" s="25"/>
      <c r="AD737" s="279"/>
      <c r="AE737" s="26"/>
      <c r="AF737" s="26"/>
      <c r="AG737" s="278" t="str">
        <f t="shared" si="118"/>
        <v/>
      </c>
      <c r="AH737" s="278" t="str">
        <f t="shared" si="119"/>
        <v/>
      </c>
      <c r="AJ737" s="25"/>
      <c r="AK737" s="25"/>
      <c r="AL737" s="25"/>
      <c r="AM737" s="25"/>
      <c r="AN737" s="25"/>
      <c r="AO737" s="25"/>
      <c r="AP737" s="25"/>
      <c r="AQ737" s="25"/>
      <c r="AR737" s="25"/>
      <c r="AS737" s="25"/>
      <c r="AT737" s="25"/>
      <c r="AU737" s="25"/>
      <c r="AV737" s="43"/>
      <c r="AW737" s="43"/>
      <c r="AX737" s="114" t="s">
        <v>76</v>
      </c>
      <c r="AY737" s="43"/>
      <c r="AZ737" s="43"/>
      <c r="BA737" s="43"/>
      <c r="BB737" s="43"/>
    </row>
    <row r="738" spans="1:54" ht="12.75" customHeight="1">
      <c r="A738" s="80"/>
      <c r="B738" s="320"/>
      <c r="C738" s="272"/>
      <c r="D738" s="273"/>
      <c r="E738" s="503"/>
      <c r="F738" s="305"/>
      <c r="G738" s="265"/>
      <c r="H738" s="266"/>
      <c r="I738" s="295"/>
      <c r="J738" s="296"/>
      <c r="K738" s="296"/>
      <c r="L738" s="296"/>
      <c r="M738" s="21"/>
      <c r="N738" s="21"/>
      <c r="O738" s="21"/>
      <c r="P738" s="21"/>
      <c r="Q738" s="325"/>
      <c r="R738" s="21"/>
      <c r="S738" s="274"/>
      <c r="T738" s="21"/>
      <c r="U738" s="275"/>
      <c r="V738" s="82"/>
      <c r="Z738" s="181"/>
      <c r="AA738" s="183"/>
      <c r="AC738" s="26"/>
      <c r="AD738" s="279"/>
      <c r="AE738" s="26"/>
      <c r="AF738" s="26"/>
      <c r="AG738" s="278" t="str">
        <f t="shared" si="118"/>
        <v/>
      </c>
      <c r="AH738" s="278" t="str">
        <f t="shared" si="119"/>
        <v/>
      </c>
      <c r="AJ738" s="25"/>
      <c r="AK738" s="25"/>
      <c r="AL738" s="25"/>
      <c r="AM738" s="25"/>
      <c r="AN738" s="25"/>
      <c r="AO738" s="25"/>
      <c r="AP738" s="25"/>
      <c r="AQ738" s="25"/>
      <c r="AR738" s="25"/>
      <c r="AS738" s="25"/>
      <c r="AT738" s="25"/>
      <c r="AU738" s="25"/>
      <c r="AV738" s="43"/>
      <c r="AW738" s="43"/>
      <c r="AX738" s="114" t="s">
        <v>76</v>
      </c>
      <c r="AY738" s="43"/>
      <c r="AZ738" s="43"/>
      <c r="BA738" s="43"/>
      <c r="BB738" s="43"/>
    </row>
    <row r="739" spans="1:54" ht="12.75" customHeight="1">
      <c r="A739" s="80"/>
      <c r="B739" s="320"/>
      <c r="C739" s="272"/>
      <c r="D739" s="273"/>
      <c r="E739" s="503"/>
      <c r="F739" s="305"/>
      <c r="G739" s="265"/>
      <c r="H739" s="266"/>
      <c r="I739" s="295"/>
      <c r="J739" s="296"/>
      <c r="K739" s="296"/>
      <c r="L739" s="296"/>
      <c r="M739" s="21"/>
      <c r="N739" s="21"/>
      <c r="O739" s="21"/>
      <c r="P739" s="21"/>
      <c r="Q739" s="325"/>
      <c r="R739" s="21"/>
      <c r="S739" s="274"/>
      <c r="T739" s="21"/>
      <c r="U739" s="275"/>
      <c r="V739" s="82"/>
      <c r="Z739" s="181"/>
      <c r="AA739" s="183"/>
      <c r="AC739" s="26"/>
      <c r="AD739" s="279"/>
      <c r="AE739" s="26"/>
      <c r="AF739" s="26"/>
      <c r="AG739" s="278" t="str">
        <f t="shared" si="118"/>
        <v/>
      </c>
      <c r="AH739" s="278" t="str">
        <f t="shared" si="119"/>
        <v/>
      </c>
      <c r="AJ739" s="25"/>
      <c r="AK739" s="25"/>
      <c r="AL739" s="25"/>
      <c r="AM739" s="25"/>
      <c r="AN739" s="25"/>
      <c r="AO739" s="25"/>
      <c r="AP739" s="25"/>
      <c r="AQ739" s="25"/>
      <c r="AR739" s="25"/>
      <c r="AS739" s="25"/>
      <c r="AT739" s="25"/>
      <c r="AU739" s="25"/>
      <c r="AV739" s="43"/>
      <c r="AW739" s="43"/>
      <c r="AX739" s="114" t="s">
        <v>76</v>
      </c>
      <c r="AY739" s="43"/>
      <c r="AZ739" s="43"/>
      <c r="BA739" s="43"/>
      <c r="BB739" s="43"/>
    </row>
    <row r="740" spans="1:54" ht="12.75" customHeight="1">
      <c r="A740" s="80"/>
      <c r="B740" s="320"/>
      <c r="C740" s="272"/>
      <c r="D740" s="273"/>
      <c r="E740" s="503"/>
      <c r="F740" s="305"/>
      <c r="G740" s="265"/>
      <c r="H740" s="266"/>
      <c r="I740" s="295"/>
      <c r="J740" s="296"/>
      <c r="K740" s="296"/>
      <c r="L740" s="296"/>
      <c r="M740" s="21"/>
      <c r="N740" s="21"/>
      <c r="O740" s="21"/>
      <c r="P740" s="21"/>
      <c r="Q740" s="325"/>
      <c r="R740" s="21"/>
      <c r="S740" s="274"/>
      <c r="T740" s="21"/>
      <c r="U740" s="275"/>
      <c r="V740" s="82"/>
      <c r="Z740" s="181"/>
      <c r="AA740" s="183"/>
      <c r="AC740" s="26"/>
      <c r="AD740" s="279"/>
      <c r="AE740" s="26"/>
      <c r="AF740" s="26"/>
      <c r="AG740" s="278" t="str">
        <f t="shared" si="118"/>
        <v/>
      </c>
      <c r="AH740" s="278" t="str">
        <f t="shared" si="119"/>
        <v/>
      </c>
      <c r="AJ740" s="25"/>
      <c r="AK740" s="25"/>
      <c r="AL740" s="25"/>
      <c r="AM740" s="25"/>
      <c r="AN740" s="25"/>
      <c r="AO740" s="25"/>
      <c r="AP740" s="25"/>
      <c r="AQ740" s="25"/>
      <c r="AR740" s="25"/>
      <c r="AS740" s="25"/>
      <c r="AT740" s="25"/>
      <c r="AU740" s="25"/>
      <c r="AV740" s="43"/>
      <c r="AW740" s="43"/>
      <c r="AX740" s="114" t="s">
        <v>76</v>
      </c>
      <c r="AY740" s="43"/>
      <c r="AZ740" s="43"/>
      <c r="BA740" s="43"/>
      <c r="BB740" s="43"/>
    </row>
    <row r="741" spans="1:54" ht="12.75" customHeight="1">
      <c r="A741" s="80"/>
      <c r="B741" s="320"/>
      <c r="C741" s="272"/>
      <c r="D741" s="273"/>
      <c r="E741" s="503"/>
      <c r="F741" s="305"/>
      <c r="G741" s="265"/>
      <c r="H741" s="266"/>
      <c r="I741" s="295"/>
      <c r="J741" s="296"/>
      <c r="K741" s="296"/>
      <c r="L741" s="296"/>
      <c r="M741" s="21"/>
      <c r="N741" s="21"/>
      <c r="O741" s="21"/>
      <c r="P741" s="21"/>
      <c r="Q741" s="325"/>
      <c r="R741" s="21"/>
      <c r="S741" s="274"/>
      <c r="T741" s="21"/>
      <c r="U741" s="275"/>
      <c r="V741" s="82"/>
      <c r="Z741" s="181"/>
      <c r="AA741" s="183"/>
      <c r="AC741" s="26"/>
      <c r="AD741" s="279"/>
      <c r="AE741" s="26"/>
      <c r="AF741" s="26"/>
      <c r="AG741" s="278" t="str">
        <f t="shared" si="118"/>
        <v/>
      </c>
      <c r="AH741" s="278" t="str">
        <f t="shared" si="119"/>
        <v/>
      </c>
      <c r="AJ741" s="25"/>
      <c r="AK741" s="25"/>
      <c r="AL741" s="25"/>
      <c r="AM741" s="25"/>
      <c r="AN741" s="25"/>
      <c r="AO741" s="25"/>
      <c r="AP741" s="25"/>
      <c r="AQ741" s="25"/>
      <c r="AR741" s="25"/>
      <c r="AS741" s="25"/>
      <c r="AT741" s="25"/>
      <c r="AU741" s="25"/>
      <c r="AV741" s="43"/>
      <c r="AW741" s="43"/>
      <c r="AX741" s="114" t="s">
        <v>76</v>
      </c>
      <c r="AY741" s="43"/>
      <c r="AZ741" s="43"/>
      <c r="BA741" s="43"/>
      <c r="BB741" s="43"/>
    </row>
    <row r="742" spans="1:54" ht="12.75" customHeight="1">
      <c r="A742" s="80"/>
      <c r="B742" s="320"/>
      <c r="C742" s="272"/>
      <c r="D742" s="273"/>
      <c r="E742" s="503"/>
      <c r="F742" s="305"/>
      <c r="G742" s="265"/>
      <c r="H742" s="266"/>
      <c r="I742" s="295"/>
      <c r="J742" s="296"/>
      <c r="K742" s="296"/>
      <c r="L742" s="296"/>
      <c r="M742" s="21"/>
      <c r="N742" s="21"/>
      <c r="O742" s="21"/>
      <c r="P742" s="21"/>
      <c r="Q742" s="325"/>
      <c r="R742" s="21"/>
      <c r="S742" s="274"/>
      <c r="T742" s="21"/>
      <c r="U742" s="275"/>
      <c r="V742" s="82"/>
      <c r="Z742" s="181"/>
      <c r="AA742" s="183"/>
      <c r="AC742" s="26"/>
      <c r="AD742" s="279"/>
      <c r="AE742" s="26"/>
      <c r="AF742" s="26"/>
      <c r="AG742" s="278" t="str">
        <f t="shared" si="118"/>
        <v/>
      </c>
      <c r="AH742" s="278" t="str">
        <f t="shared" si="119"/>
        <v/>
      </c>
      <c r="AJ742" s="25"/>
      <c r="AK742" s="25"/>
      <c r="AL742" s="25"/>
      <c r="AM742" s="25"/>
      <c r="AN742" s="25"/>
      <c r="AO742" s="25"/>
      <c r="AP742" s="25"/>
      <c r="AQ742" s="25"/>
      <c r="AR742" s="25"/>
      <c r="AS742" s="25"/>
      <c r="AT742" s="25"/>
      <c r="AU742" s="25"/>
      <c r="AV742" s="43"/>
      <c r="AW742" s="43"/>
      <c r="AX742" s="114" t="s">
        <v>76</v>
      </c>
      <c r="AY742" s="43"/>
      <c r="AZ742" s="43"/>
      <c r="BA742" s="43"/>
      <c r="BB742" s="43"/>
    </row>
    <row r="743" spans="1:54" ht="12.75" customHeight="1">
      <c r="A743" s="80"/>
      <c r="B743" s="320"/>
      <c r="C743" s="272"/>
      <c r="D743" s="273"/>
      <c r="E743" s="503"/>
      <c r="F743" s="305"/>
      <c r="G743" s="265"/>
      <c r="H743" s="266"/>
      <c r="I743" s="295"/>
      <c r="J743" s="296"/>
      <c r="K743" s="296"/>
      <c r="L743" s="296"/>
      <c r="M743" s="21"/>
      <c r="N743" s="21"/>
      <c r="O743" s="21"/>
      <c r="P743" s="21"/>
      <c r="Q743" s="325"/>
      <c r="R743" s="21"/>
      <c r="S743" s="274"/>
      <c r="T743" s="21"/>
      <c r="U743" s="275"/>
      <c r="V743" s="82"/>
      <c r="Z743" s="181"/>
      <c r="AA743" s="183"/>
      <c r="AB743" s="35"/>
      <c r="AC743" s="25"/>
      <c r="AD743" s="279"/>
      <c r="AE743" s="26"/>
      <c r="AF743" s="26"/>
      <c r="AG743" s="278" t="str">
        <f t="shared" si="118"/>
        <v/>
      </c>
      <c r="AH743" s="278" t="str">
        <f t="shared" si="119"/>
        <v/>
      </c>
      <c r="AJ743" s="25"/>
      <c r="AK743" s="25"/>
      <c r="AL743" s="25"/>
      <c r="AM743" s="25"/>
      <c r="AN743" s="25"/>
      <c r="AO743" s="25"/>
      <c r="AP743" s="25"/>
      <c r="AQ743" s="25"/>
      <c r="AR743" s="25"/>
      <c r="AS743" s="25"/>
      <c r="AT743" s="25"/>
      <c r="AU743" s="25"/>
      <c r="AV743" s="43"/>
      <c r="AW743" s="43"/>
      <c r="AX743" s="114" t="s">
        <v>76</v>
      </c>
      <c r="AY743" s="43"/>
      <c r="AZ743" s="43"/>
      <c r="BA743" s="43"/>
      <c r="BB743" s="43"/>
    </row>
    <row r="744" spans="1:54" ht="12.75" customHeight="1">
      <c r="A744" s="80"/>
      <c r="B744" s="320"/>
      <c r="C744" s="272"/>
      <c r="D744" s="273"/>
      <c r="E744" s="503"/>
      <c r="F744" s="305"/>
      <c r="G744" s="265"/>
      <c r="H744" s="266"/>
      <c r="I744" s="295"/>
      <c r="J744" s="296"/>
      <c r="K744" s="296"/>
      <c r="L744" s="296"/>
      <c r="M744" s="21"/>
      <c r="N744" s="21"/>
      <c r="O744" s="21"/>
      <c r="P744" s="21"/>
      <c r="Q744" s="325"/>
      <c r="R744" s="21"/>
      <c r="S744" s="274"/>
      <c r="T744" s="21"/>
      <c r="U744" s="275"/>
      <c r="V744" s="82"/>
      <c r="Z744" s="181"/>
      <c r="AA744" s="183"/>
      <c r="AC744" s="26"/>
      <c r="AD744" s="279"/>
      <c r="AE744" s="26"/>
      <c r="AF744" s="26"/>
      <c r="AG744" s="278" t="str">
        <f t="shared" si="118"/>
        <v/>
      </c>
      <c r="AH744" s="278" t="str">
        <f t="shared" si="119"/>
        <v/>
      </c>
      <c r="AJ744" s="25"/>
      <c r="AK744" s="25"/>
      <c r="AL744" s="25"/>
      <c r="AM744" s="25"/>
      <c r="AN744" s="25"/>
      <c r="AO744" s="25"/>
      <c r="AP744" s="25"/>
      <c r="AQ744" s="25"/>
      <c r="AR744" s="25"/>
      <c r="AS744" s="25"/>
      <c r="AT744" s="25"/>
      <c r="AU744" s="25"/>
      <c r="AV744" s="43"/>
      <c r="AW744" s="43"/>
      <c r="AX744" s="114" t="s">
        <v>76</v>
      </c>
      <c r="AY744" s="43"/>
      <c r="AZ744" s="43"/>
      <c r="BA744" s="43"/>
      <c r="BB744" s="43"/>
    </row>
    <row r="745" spans="1:54" ht="12.75" customHeight="1">
      <c r="A745" s="80"/>
      <c r="B745" s="320"/>
      <c r="C745" s="272"/>
      <c r="D745" s="273"/>
      <c r="E745" s="503"/>
      <c r="F745" s="305"/>
      <c r="G745" s="265"/>
      <c r="H745" s="266"/>
      <c r="I745" s="295"/>
      <c r="J745" s="296"/>
      <c r="K745" s="296"/>
      <c r="L745" s="296"/>
      <c r="M745" s="21"/>
      <c r="N745" s="21"/>
      <c r="O745" s="21"/>
      <c r="P745" s="21"/>
      <c r="Q745" s="325"/>
      <c r="R745" s="21"/>
      <c r="S745" s="274"/>
      <c r="T745" s="21"/>
      <c r="U745" s="275"/>
      <c r="V745" s="82"/>
      <c r="Z745" s="181"/>
      <c r="AA745" s="183"/>
      <c r="AC745" s="26"/>
      <c r="AD745" s="279"/>
      <c r="AE745" s="26"/>
      <c r="AF745" s="26"/>
      <c r="AG745" s="278" t="str">
        <f t="shared" si="118"/>
        <v/>
      </c>
      <c r="AH745" s="278" t="str">
        <f t="shared" si="119"/>
        <v/>
      </c>
      <c r="AJ745" s="25"/>
      <c r="AK745" s="25"/>
      <c r="AL745" s="25"/>
      <c r="AM745" s="25"/>
      <c r="AN745" s="25"/>
      <c r="AO745" s="25"/>
      <c r="AP745" s="25"/>
      <c r="AQ745" s="25"/>
      <c r="AR745" s="25"/>
      <c r="AS745" s="25"/>
      <c r="AT745" s="25"/>
      <c r="AU745" s="25"/>
      <c r="AV745" s="43"/>
      <c r="AW745" s="43"/>
      <c r="AX745" s="114" t="s">
        <v>76</v>
      </c>
      <c r="AY745" s="43"/>
      <c r="AZ745" s="43"/>
      <c r="BA745" s="43"/>
      <c r="BB745" s="43"/>
    </row>
    <row r="746" spans="1:54" ht="12.75" customHeight="1">
      <c r="A746" s="80"/>
      <c r="B746" s="320"/>
      <c r="C746" s="272"/>
      <c r="D746" s="273"/>
      <c r="E746" s="503"/>
      <c r="F746" s="305"/>
      <c r="G746" s="265"/>
      <c r="H746" s="266"/>
      <c r="I746" s="295"/>
      <c r="J746" s="296"/>
      <c r="K746" s="296"/>
      <c r="L746" s="296"/>
      <c r="M746" s="21"/>
      <c r="N746" s="21"/>
      <c r="O746" s="21"/>
      <c r="P746" s="21"/>
      <c r="Q746" s="325"/>
      <c r="R746" s="21"/>
      <c r="S746" s="274"/>
      <c r="T746" s="21"/>
      <c r="U746" s="275"/>
      <c r="V746" s="82"/>
      <c r="Z746" s="181"/>
      <c r="AA746" s="183"/>
      <c r="AC746" s="26"/>
      <c r="AD746" s="279"/>
      <c r="AE746" s="26"/>
      <c r="AF746" s="26"/>
      <c r="AG746" s="278" t="str">
        <f t="shared" si="118"/>
        <v/>
      </c>
      <c r="AH746" s="278" t="str">
        <f t="shared" si="119"/>
        <v/>
      </c>
      <c r="AJ746" s="25"/>
      <c r="AK746" s="25"/>
      <c r="AL746" s="25"/>
      <c r="AM746" s="25"/>
      <c r="AN746" s="25"/>
      <c r="AO746" s="25"/>
      <c r="AP746" s="25"/>
      <c r="AQ746" s="25"/>
      <c r="AR746" s="25"/>
      <c r="AS746" s="25"/>
      <c r="AT746" s="25"/>
      <c r="AU746" s="25"/>
      <c r="AV746" s="43"/>
      <c r="AW746" s="43"/>
      <c r="AX746" s="114" t="s">
        <v>76</v>
      </c>
      <c r="AY746" s="43"/>
      <c r="AZ746" s="43"/>
      <c r="BA746" s="43"/>
      <c r="BB746" s="43"/>
    </row>
    <row r="747" spans="1:54" ht="12.75" customHeight="1">
      <c r="A747" s="80"/>
      <c r="B747" s="320"/>
      <c r="C747" s="272"/>
      <c r="D747" s="273"/>
      <c r="E747" s="503"/>
      <c r="F747" s="305"/>
      <c r="G747" s="265"/>
      <c r="H747" s="266"/>
      <c r="I747" s="295"/>
      <c r="J747" s="296"/>
      <c r="K747" s="296"/>
      <c r="L747" s="296"/>
      <c r="M747" s="21"/>
      <c r="N747" s="21"/>
      <c r="O747" s="21"/>
      <c r="P747" s="21"/>
      <c r="Q747" s="325"/>
      <c r="R747" s="21"/>
      <c r="S747" s="274"/>
      <c r="T747" s="21"/>
      <c r="U747" s="275"/>
      <c r="V747" s="82"/>
      <c r="Z747" s="181"/>
      <c r="AA747" s="183"/>
      <c r="AC747" s="26"/>
      <c r="AD747" s="279"/>
      <c r="AE747" s="26"/>
      <c r="AF747" s="26"/>
      <c r="AG747" s="278" t="str">
        <f t="shared" si="118"/>
        <v/>
      </c>
      <c r="AH747" s="278" t="str">
        <f t="shared" si="119"/>
        <v/>
      </c>
      <c r="AJ747" s="25"/>
      <c r="AK747" s="25"/>
      <c r="AL747" s="25"/>
      <c r="AM747" s="25"/>
      <c r="AN747" s="25"/>
      <c r="AO747" s="25"/>
      <c r="AP747" s="25"/>
      <c r="AQ747" s="25"/>
      <c r="AR747" s="25"/>
      <c r="AS747" s="25"/>
      <c r="AT747" s="25"/>
      <c r="AU747" s="25"/>
      <c r="AV747" s="43"/>
      <c r="AW747" s="43"/>
      <c r="AX747" s="114" t="s">
        <v>76</v>
      </c>
      <c r="AY747" s="43"/>
      <c r="AZ747" s="43"/>
      <c r="BA747" s="43"/>
      <c r="BB747" s="43"/>
    </row>
    <row r="748" spans="1:54" ht="12.75" customHeight="1">
      <c r="A748" s="80"/>
      <c r="B748" s="320"/>
      <c r="C748" s="272"/>
      <c r="D748" s="273"/>
      <c r="E748" s="503"/>
      <c r="F748" s="305"/>
      <c r="G748" s="265"/>
      <c r="H748" s="266"/>
      <c r="I748" s="295"/>
      <c r="J748" s="296"/>
      <c r="K748" s="296"/>
      <c r="L748" s="296"/>
      <c r="M748" s="21"/>
      <c r="N748" s="21"/>
      <c r="O748" s="21"/>
      <c r="P748" s="21"/>
      <c r="Q748" s="325"/>
      <c r="R748" s="21"/>
      <c r="S748" s="274"/>
      <c r="T748" s="21"/>
      <c r="U748" s="275"/>
      <c r="V748" s="82"/>
      <c r="Z748" s="181"/>
      <c r="AA748" s="183"/>
      <c r="AC748" s="26"/>
      <c r="AD748" s="279"/>
      <c r="AE748" s="26"/>
      <c r="AF748" s="26"/>
      <c r="AG748" s="278" t="str">
        <f t="shared" si="118"/>
        <v/>
      </c>
      <c r="AH748" s="278" t="str">
        <f t="shared" si="119"/>
        <v/>
      </c>
      <c r="AJ748" s="25"/>
      <c r="AK748" s="25"/>
      <c r="AL748" s="25"/>
      <c r="AM748" s="25"/>
      <c r="AN748" s="25"/>
      <c r="AO748" s="25"/>
      <c r="AP748" s="25"/>
      <c r="AQ748" s="25"/>
      <c r="AR748" s="25"/>
      <c r="AS748" s="25"/>
      <c r="AT748" s="25"/>
      <c r="AU748" s="25"/>
      <c r="AV748" s="43"/>
      <c r="AW748" s="43"/>
      <c r="AX748" s="114" t="s">
        <v>76</v>
      </c>
      <c r="AY748" s="43"/>
      <c r="AZ748" s="43"/>
      <c r="BA748" s="43"/>
      <c r="BB748" s="43"/>
    </row>
    <row r="749" spans="1:54" ht="12.75" customHeight="1">
      <c r="A749" s="80"/>
      <c r="B749" s="320"/>
      <c r="C749" s="272"/>
      <c r="D749" s="273"/>
      <c r="E749" s="503"/>
      <c r="F749" s="305"/>
      <c r="G749" s="265"/>
      <c r="H749" s="266"/>
      <c r="I749" s="295"/>
      <c r="J749" s="296"/>
      <c r="K749" s="296"/>
      <c r="L749" s="296"/>
      <c r="M749" s="21"/>
      <c r="N749" s="21"/>
      <c r="O749" s="21"/>
      <c r="P749" s="21"/>
      <c r="Q749" s="325"/>
      <c r="R749" s="21"/>
      <c r="S749" s="274"/>
      <c r="T749" s="21"/>
      <c r="U749" s="275"/>
      <c r="V749" s="82"/>
      <c r="Z749" s="181"/>
      <c r="AA749" s="183"/>
      <c r="AC749" s="26"/>
      <c r="AD749" s="279"/>
      <c r="AE749" s="26"/>
      <c r="AF749" s="26"/>
      <c r="AG749" s="278" t="str">
        <f t="shared" si="118"/>
        <v/>
      </c>
      <c r="AH749" s="278" t="str">
        <f t="shared" si="119"/>
        <v/>
      </c>
      <c r="AJ749" s="25"/>
      <c r="AK749" s="25"/>
      <c r="AL749" s="25"/>
      <c r="AM749" s="25"/>
      <c r="AN749" s="25"/>
      <c r="AO749" s="25"/>
      <c r="AP749" s="25"/>
      <c r="AQ749" s="25"/>
      <c r="AR749" s="25"/>
      <c r="AS749" s="25"/>
      <c r="AT749" s="25"/>
      <c r="AU749" s="25"/>
      <c r="AV749" s="43"/>
      <c r="AW749" s="43"/>
      <c r="AX749" s="114" t="s">
        <v>76</v>
      </c>
      <c r="AY749" s="43"/>
      <c r="AZ749" s="43"/>
      <c r="BA749" s="43"/>
      <c r="BB749" s="43"/>
    </row>
    <row r="750" spans="1:54" ht="12.75" customHeight="1">
      <c r="A750" s="80"/>
      <c r="B750" s="320"/>
      <c r="C750" s="272"/>
      <c r="D750" s="273"/>
      <c r="E750" s="503"/>
      <c r="F750" s="305"/>
      <c r="G750" s="265"/>
      <c r="H750" s="266"/>
      <c r="I750" s="295"/>
      <c r="J750" s="296"/>
      <c r="K750" s="296"/>
      <c r="L750" s="296"/>
      <c r="M750" s="21"/>
      <c r="N750" s="21"/>
      <c r="O750" s="21"/>
      <c r="P750" s="21"/>
      <c r="Q750" s="325"/>
      <c r="R750" s="21"/>
      <c r="S750" s="274"/>
      <c r="T750" s="21"/>
      <c r="U750" s="275"/>
      <c r="V750" s="82"/>
      <c r="Z750" s="181"/>
      <c r="AA750" s="183"/>
      <c r="AC750" s="26"/>
      <c r="AD750" s="279"/>
      <c r="AE750" s="26"/>
      <c r="AF750" s="26"/>
      <c r="AG750" s="278" t="str">
        <f t="shared" si="118"/>
        <v/>
      </c>
      <c r="AH750" s="278" t="str">
        <f t="shared" si="119"/>
        <v/>
      </c>
      <c r="AJ750" s="25"/>
      <c r="AK750" s="25"/>
      <c r="AL750" s="25"/>
      <c r="AM750" s="25"/>
      <c r="AN750" s="25"/>
      <c r="AO750" s="25"/>
      <c r="AP750" s="25"/>
      <c r="AQ750" s="25"/>
      <c r="AR750" s="25"/>
      <c r="AS750" s="25"/>
      <c r="AT750" s="25"/>
      <c r="AU750" s="25"/>
      <c r="AV750" s="43"/>
      <c r="AW750" s="43"/>
      <c r="AX750" s="114" t="s">
        <v>76</v>
      </c>
      <c r="AY750" s="43"/>
      <c r="AZ750" s="43"/>
      <c r="BA750" s="43"/>
      <c r="BB750" s="43"/>
    </row>
    <row r="751" spans="1:54" ht="12.75" customHeight="1">
      <c r="A751" s="80"/>
      <c r="B751" s="320"/>
      <c r="C751" s="272"/>
      <c r="D751" s="273"/>
      <c r="E751" s="503"/>
      <c r="F751" s="305"/>
      <c r="G751" s="265"/>
      <c r="H751" s="266"/>
      <c r="I751" s="295"/>
      <c r="J751" s="296"/>
      <c r="K751" s="296"/>
      <c r="L751" s="296"/>
      <c r="M751" s="21"/>
      <c r="N751" s="21"/>
      <c r="O751" s="21"/>
      <c r="P751" s="21"/>
      <c r="Q751" s="325"/>
      <c r="R751" s="21"/>
      <c r="S751" s="274"/>
      <c r="T751" s="21"/>
      <c r="U751" s="275"/>
      <c r="V751" s="82"/>
      <c r="Z751" s="181"/>
      <c r="AA751" s="183"/>
      <c r="AB751" s="35"/>
      <c r="AC751" s="25"/>
      <c r="AD751" s="279"/>
      <c r="AE751" s="26"/>
      <c r="AF751" s="26"/>
      <c r="AG751" s="278" t="str">
        <f t="shared" si="118"/>
        <v/>
      </c>
      <c r="AH751" s="278" t="str">
        <f t="shared" si="119"/>
        <v/>
      </c>
      <c r="AJ751" s="25"/>
      <c r="AK751" s="25"/>
      <c r="AL751" s="25"/>
      <c r="AM751" s="25"/>
      <c r="AN751" s="25"/>
      <c r="AO751" s="25"/>
      <c r="AP751" s="25"/>
      <c r="AQ751" s="25"/>
      <c r="AR751" s="25"/>
      <c r="AS751" s="25"/>
      <c r="AT751" s="25"/>
      <c r="AU751" s="25"/>
      <c r="AV751" s="43"/>
      <c r="AW751" s="43"/>
      <c r="AX751" s="114" t="s">
        <v>76</v>
      </c>
      <c r="AY751" s="43"/>
      <c r="AZ751" s="43"/>
      <c r="BA751" s="43"/>
      <c r="BB751" s="43"/>
    </row>
    <row r="752" spans="1:54" ht="12.75" customHeight="1">
      <c r="B752" s="320"/>
      <c r="C752" s="134"/>
      <c r="D752" s="98"/>
      <c r="E752" s="504"/>
      <c r="F752" s="306"/>
      <c r="G752" s="265"/>
      <c r="H752" s="266"/>
      <c r="I752" s="297"/>
      <c r="J752" s="298"/>
      <c r="K752" s="298"/>
      <c r="L752" s="298"/>
      <c r="M752" s="41"/>
      <c r="N752" s="21"/>
      <c r="O752" s="21"/>
      <c r="P752" s="21"/>
      <c r="Q752" s="326"/>
      <c r="R752" s="40"/>
      <c r="S752" s="84"/>
      <c r="T752" s="40"/>
      <c r="U752" s="42"/>
      <c r="V752" s="78"/>
      <c r="Z752" s="181"/>
      <c r="AA752" s="183"/>
      <c r="AC752" s="26"/>
      <c r="AD752" s="279"/>
      <c r="AE752" s="26"/>
      <c r="AF752" s="26"/>
      <c r="AG752" s="278" t="str">
        <f t="shared" si="118"/>
        <v/>
      </c>
      <c r="AH752" s="278" t="str">
        <f t="shared" si="119"/>
        <v/>
      </c>
      <c r="AJ752" s="25"/>
      <c r="AK752" s="25"/>
      <c r="AL752" s="25"/>
      <c r="AM752" s="25"/>
      <c r="AN752" s="25"/>
      <c r="AO752" s="25"/>
      <c r="AP752" s="25"/>
      <c r="AQ752" s="25"/>
      <c r="AR752" s="25"/>
      <c r="AS752" s="25"/>
      <c r="AT752" s="25"/>
      <c r="AU752" s="25"/>
      <c r="AV752" s="43"/>
      <c r="AW752" s="43"/>
      <c r="AX752" s="114" t="s">
        <v>76</v>
      </c>
      <c r="AY752" s="43"/>
      <c r="AZ752" s="43"/>
      <c r="BA752" s="43"/>
      <c r="BB752" s="43"/>
    </row>
    <row r="753" spans="2:54" ht="12.75" customHeight="1">
      <c r="B753" s="320"/>
      <c r="C753" s="134"/>
      <c r="D753" s="98"/>
      <c r="E753" s="504"/>
      <c r="F753" s="306"/>
      <c r="G753" s="265"/>
      <c r="H753" s="266"/>
      <c r="I753" s="297"/>
      <c r="J753" s="298"/>
      <c r="K753" s="298"/>
      <c r="L753" s="298"/>
      <c r="M753" s="41"/>
      <c r="N753" s="21"/>
      <c r="O753" s="21"/>
      <c r="P753" s="21"/>
      <c r="Q753" s="326"/>
      <c r="R753" s="40"/>
      <c r="S753" s="84"/>
      <c r="T753" s="40"/>
      <c r="U753" s="42"/>
      <c r="V753" s="78"/>
      <c r="Z753" s="181"/>
      <c r="AA753" s="183"/>
      <c r="AB753" s="30"/>
      <c r="AC753" s="29"/>
      <c r="AD753" s="279"/>
      <c r="AE753" s="26"/>
      <c r="AF753" s="26"/>
      <c r="AG753" s="278" t="str">
        <f t="shared" si="118"/>
        <v/>
      </c>
      <c r="AH753" s="278" t="str">
        <f t="shared" si="119"/>
        <v/>
      </c>
      <c r="AJ753" s="25"/>
      <c r="AK753" s="25"/>
      <c r="AL753" s="25"/>
      <c r="AM753" s="25"/>
      <c r="AN753" s="25"/>
      <c r="AO753" s="25"/>
      <c r="AP753" s="25"/>
      <c r="AQ753" s="25"/>
      <c r="AR753" s="25"/>
      <c r="AS753" s="25"/>
      <c r="AT753" s="25"/>
      <c r="AU753" s="25"/>
      <c r="AV753" s="43"/>
      <c r="AW753" s="43"/>
      <c r="AX753" s="114" t="s">
        <v>76</v>
      </c>
      <c r="AY753" s="43"/>
      <c r="AZ753" s="43"/>
      <c r="BA753" s="43"/>
      <c r="BB753" s="43"/>
    </row>
    <row r="754" spans="2:54" ht="12.75" customHeight="1">
      <c r="B754" s="320"/>
      <c r="C754" s="134"/>
      <c r="D754" s="98"/>
      <c r="E754" s="504"/>
      <c r="F754" s="306"/>
      <c r="G754" s="265"/>
      <c r="H754" s="266"/>
      <c r="I754" s="297"/>
      <c r="J754" s="298"/>
      <c r="K754" s="298"/>
      <c r="L754" s="298"/>
      <c r="M754" s="41"/>
      <c r="N754" s="21"/>
      <c r="O754" s="21"/>
      <c r="P754" s="21"/>
      <c r="Q754" s="326"/>
      <c r="R754" s="40"/>
      <c r="S754" s="84"/>
      <c r="T754" s="40"/>
      <c r="U754" s="42"/>
      <c r="V754" s="78"/>
      <c r="Z754" s="181"/>
      <c r="AA754" s="183"/>
      <c r="AC754" s="26"/>
      <c r="AD754" s="279"/>
      <c r="AE754" s="26"/>
      <c r="AF754" s="26"/>
      <c r="AG754" s="278" t="str">
        <f t="shared" si="118"/>
        <v/>
      </c>
      <c r="AH754" s="278" t="str">
        <f t="shared" si="119"/>
        <v/>
      </c>
      <c r="AJ754" s="25"/>
      <c r="AK754" s="25"/>
      <c r="AL754" s="25"/>
      <c r="AM754" s="25"/>
      <c r="AN754" s="25"/>
      <c r="AO754" s="25"/>
      <c r="AP754" s="25"/>
      <c r="AQ754" s="25"/>
      <c r="AR754" s="25"/>
      <c r="AS754" s="25"/>
      <c r="AT754" s="25"/>
      <c r="AU754" s="25"/>
      <c r="AV754" s="43"/>
      <c r="AW754" s="43"/>
      <c r="AX754" s="114" t="s">
        <v>76</v>
      </c>
      <c r="AY754" s="43"/>
      <c r="AZ754" s="43"/>
      <c r="BA754" s="43"/>
      <c r="BB754" s="43"/>
    </row>
    <row r="755" spans="2:54" ht="12.75" customHeight="1">
      <c r="B755" s="320"/>
      <c r="C755" s="134"/>
      <c r="D755" s="98"/>
      <c r="E755" s="504"/>
      <c r="F755" s="306"/>
      <c r="G755" s="265"/>
      <c r="H755" s="266"/>
      <c r="I755" s="297"/>
      <c r="J755" s="298"/>
      <c r="K755" s="298"/>
      <c r="L755" s="298"/>
      <c r="M755" s="41"/>
      <c r="N755" s="21"/>
      <c r="O755" s="21"/>
      <c r="P755" s="21"/>
      <c r="Q755" s="326"/>
      <c r="R755" s="40"/>
      <c r="S755" s="84"/>
      <c r="T755" s="40"/>
      <c r="U755" s="42"/>
      <c r="V755" s="78"/>
      <c r="Z755" s="181"/>
      <c r="AA755" s="183"/>
      <c r="AC755" s="26"/>
      <c r="AD755" s="279"/>
      <c r="AE755" s="26"/>
      <c r="AF755" s="26"/>
      <c r="AG755" s="278" t="str">
        <f t="shared" si="118"/>
        <v/>
      </c>
      <c r="AH755" s="278" t="str">
        <f t="shared" si="119"/>
        <v/>
      </c>
      <c r="AJ755" s="25"/>
      <c r="AK755" s="25"/>
      <c r="AL755" s="25"/>
      <c r="AM755" s="25"/>
      <c r="AN755" s="25"/>
      <c r="AO755" s="25"/>
      <c r="AP755" s="25"/>
      <c r="AQ755" s="25"/>
      <c r="AR755" s="25"/>
      <c r="AS755" s="25"/>
      <c r="AT755" s="25"/>
      <c r="AU755" s="25"/>
      <c r="AV755" s="43"/>
      <c r="AW755" s="43"/>
      <c r="AX755" s="114" t="s">
        <v>76</v>
      </c>
      <c r="AY755" s="43"/>
      <c r="AZ755" s="43"/>
      <c r="BA755" s="43"/>
      <c r="BB755" s="43"/>
    </row>
    <row r="756" spans="2:54" ht="12.75" customHeight="1">
      <c r="B756" s="320"/>
      <c r="C756" s="134"/>
      <c r="D756" s="98"/>
      <c r="E756" s="504"/>
      <c r="F756" s="306"/>
      <c r="G756" s="265"/>
      <c r="H756" s="266"/>
      <c r="I756" s="297"/>
      <c r="J756" s="298"/>
      <c r="K756" s="298"/>
      <c r="L756" s="298"/>
      <c r="M756" s="41"/>
      <c r="N756" s="21"/>
      <c r="O756" s="21"/>
      <c r="P756" s="21"/>
      <c r="Q756" s="326"/>
      <c r="R756" s="40"/>
      <c r="S756" s="84"/>
      <c r="T756" s="40"/>
      <c r="U756" s="42"/>
      <c r="V756" s="78"/>
      <c r="Z756" s="181"/>
      <c r="AA756" s="183"/>
      <c r="AB756" s="35"/>
      <c r="AC756" s="25"/>
      <c r="AD756" s="279"/>
      <c r="AE756" s="26"/>
      <c r="AF756" s="26"/>
      <c r="AG756" s="278" t="str">
        <f t="shared" si="118"/>
        <v/>
      </c>
      <c r="AH756" s="278" t="str">
        <f t="shared" si="119"/>
        <v/>
      </c>
      <c r="AJ756" s="25"/>
      <c r="AK756" s="25"/>
      <c r="AL756" s="25"/>
      <c r="AM756" s="25"/>
      <c r="AN756" s="25"/>
      <c r="AO756" s="25"/>
      <c r="AP756" s="25"/>
      <c r="AQ756" s="25"/>
      <c r="AR756" s="25"/>
      <c r="AS756" s="25"/>
      <c r="AT756" s="25"/>
      <c r="AU756" s="25"/>
      <c r="AV756" s="43"/>
      <c r="AW756" s="43"/>
      <c r="AX756" s="114" t="s">
        <v>76</v>
      </c>
      <c r="AY756" s="43"/>
      <c r="AZ756" s="43"/>
      <c r="BA756" s="43"/>
      <c r="BB756" s="43"/>
    </row>
    <row r="757" spans="2:54" ht="12.75" customHeight="1">
      <c r="B757" s="320"/>
      <c r="C757" s="134"/>
      <c r="D757" s="98"/>
      <c r="E757" s="504"/>
      <c r="F757" s="306"/>
      <c r="G757" s="265"/>
      <c r="H757" s="266"/>
      <c r="I757" s="297"/>
      <c r="J757" s="298"/>
      <c r="K757" s="298"/>
      <c r="L757" s="298"/>
      <c r="M757" s="41"/>
      <c r="N757" s="21"/>
      <c r="O757" s="21"/>
      <c r="P757" s="21"/>
      <c r="Q757" s="326"/>
      <c r="R757" s="40"/>
      <c r="S757" s="84"/>
      <c r="T757" s="40"/>
      <c r="U757" s="42"/>
      <c r="V757" s="78"/>
      <c r="Z757" s="181"/>
      <c r="AA757" s="183"/>
      <c r="AB757" s="35"/>
      <c r="AC757" s="28"/>
      <c r="AD757" s="279"/>
      <c r="AE757" s="26"/>
      <c r="AF757" s="26"/>
      <c r="AG757" s="278" t="str">
        <f t="shared" si="118"/>
        <v/>
      </c>
      <c r="AH757" s="278" t="str">
        <f t="shared" si="119"/>
        <v/>
      </c>
      <c r="AJ757" s="25"/>
      <c r="AK757" s="25"/>
      <c r="AL757" s="25"/>
      <c r="AM757" s="25"/>
      <c r="AN757" s="25"/>
      <c r="AO757" s="25"/>
      <c r="AP757" s="25"/>
      <c r="AQ757" s="25"/>
      <c r="AR757" s="25"/>
      <c r="AS757" s="25"/>
      <c r="AT757" s="25"/>
      <c r="AU757" s="25"/>
      <c r="AV757" s="43"/>
      <c r="AW757" s="43"/>
      <c r="AX757" s="114" t="s">
        <v>76</v>
      </c>
      <c r="AY757" s="43"/>
      <c r="AZ757" s="43"/>
      <c r="BA757" s="43"/>
      <c r="BB757" s="43"/>
    </row>
    <row r="758" spans="2:54" ht="12.75" customHeight="1">
      <c r="B758" s="320"/>
      <c r="C758" s="134"/>
      <c r="D758" s="98"/>
      <c r="E758" s="504"/>
      <c r="F758" s="306"/>
      <c r="G758" s="265"/>
      <c r="H758" s="266"/>
      <c r="I758" s="297"/>
      <c r="J758" s="298"/>
      <c r="K758" s="298"/>
      <c r="L758" s="298"/>
      <c r="M758" s="41"/>
      <c r="N758" s="21"/>
      <c r="O758" s="21"/>
      <c r="P758" s="21"/>
      <c r="Q758" s="326"/>
      <c r="R758" s="40"/>
      <c r="S758" s="84"/>
      <c r="T758" s="40"/>
      <c r="U758" s="42"/>
      <c r="V758" s="78"/>
      <c r="Z758" s="181"/>
      <c r="AA758" s="183"/>
      <c r="AC758" s="27"/>
      <c r="AD758" s="279"/>
      <c r="AE758" s="26"/>
      <c r="AF758" s="26"/>
      <c r="AG758" s="278" t="str">
        <f t="shared" si="118"/>
        <v/>
      </c>
      <c r="AH758" s="278" t="str">
        <f t="shared" si="119"/>
        <v/>
      </c>
      <c r="AJ758" s="25"/>
      <c r="AK758" s="25"/>
      <c r="AL758" s="25"/>
      <c r="AM758" s="25"/>
      <c r="AN758" s="25"/>
      <c r="AO758" s="25"/>
      <c r="AP758" s="25"/>
      <c r="AQ758" s="25"/>
      <c r="AR758" s="25"/>
      <c r="AS758" s="25"/>
      <c r="AT758" s="25"/>
      <c r="AU758" s="25"/>
      <c r="AV758" s="43"/>
      <c r="AW758" s="43"/>
      <c r="AX758" s="114" t="s">
        <v>76</v>
      </c>
      <c r="AY758" s="43"/>
      <c r="AZ758" s="43"/>
      <c r="BA758" s="43"/>
      <c r="BB758" s="43"/>
    </row>
    <row r="759" spans="2:54" ht="12.75" customHeight="1">
      <c r="B759" s="320"/>
      <c r="C759" s="134"/>
      <c r="D759" s="98"/>
      <c r="E759" s="504"/>
      <c r="F759" s="306"/>
      <c r="G759" s="265"/>
      <c r="H759" s="266"/>
      <c r="I759" s="297"/>
      <c r="J759" s="298"/>
      <c r="K759" s="298"/>
      <c r="L759" s="298"/>
      <c r="M759" s="41"/>
      <c r="N759" s="21"/>
      <c r="O759" s="21"/>
      <c r="P759" s="21"/>
      <c r="Q759" s="326"/>
      <c r="R759" s="40"/>
      <c r="S759" s="84"/>
      <c r="T759" s="40"/>
      <c r="U759" s="42"/>
      <c r="V759" s="78"/>
      <c r="Z759" s="181"/>
      <c r="AA759" s="183"/>
      <c r="AB759" s="35"/>
      <c r="AC759" s="25"/>
      <c r="AD759" s="279"/>
      <c r="AE759" s="26"/>
      <c r="AF759" s="26"/>
      <c r="AG759" s="278" t="str">
        <f t="shared" si="118"/>
        <v/>
      </c>
      <c r="AH759" s="278" t="str">
        <f t="shared" si="119"/>
        <v/>
      </c>
      <c r="AJ759" s="25"/>
      <c r="AK759" s="25"/>
      <c r="AL759" s="25"/>
      <c r="AM759" s="25"/>
      <c r="AN759" s="25"/>
      <c r="AO759" s="25"/>
      <c r="AP759" s="25"/>
      <c r="AQ759" s="25"/>
      <c r="AR759" s="25"/>
      <c r="AS759" s="25"/>
      <c r="AT759" s="25"/>
      <c r="AU759" s="25"/>
      <c r="AV759" s="43"/>
      <c r="AW759" s="43"/>
      <c r="AX759" s="114" t="s">
        <v>76</v>
      </c>
      <c r="AY759" s="43"/>
      <c r="AZ759" s="43"/>
      <c r="BA759" s="43"/>
      <c r="BB759" s="43"/>
    </row>
    <row r="760" spans="2:54" ht="12.75" customHeight="1">
      <c r="B760" s="320"/>
      <c r="C760" s="134"/>
      <c r="D760" s="98"/>
      <c r="E760" s="504"/>
      <c r="F760" s="306"/>
      <c r="G760" s="265"/>
      <c r="H760" s="266"/>
      <c r="I760" s="297"/>
      <c r="J760" s="298"/>
      <c r="K760" s="298"/>
      <c r="L760" s="298"/>
      <c r="M760" s="41"/>
      <c r="N760" s="21"/>
      <c r="O760" s="21"/>
      <c r="P760" s="21"/>
      <c r="Q760" s="326"/>
      <c r="R760" s="40"/>
      <c r="S760" s="84"/>
      <c r="T760" s="40"/>
      <c r="U760" s="42"/>
      <c r="V760" s="78"/>
      <c r="Z760" s="181"/>
      <c r="AA760" s="183"/>
      <c r="AC760" s="26"/>
      <c r="AD760" s="279"/>
      <c r="AE760" s="26"/>
      <c r="AF760" s="26"/>
      <c r="AG760" s="278" t="str">
        <f t="shared" si="118"/>
        <v/>
      </c>
      <c r="AH760" s="278" t="str">
        <f t="shared" si="119"/>
        <v/>
      </c>
      <c r="AJ760" s="25"/>
      <c r="AK760" s="25"/>
      <c r="AL760" s="25"/>
      <c r="AM760" s="25"/>
      <c r="AN760" s="25"/>
      <c r="AO760" s="25"/>
      <c r="AP760" s="25"/>
      <c r="AQ760" s="25"/>
      <c r="AR760" s="25"/>
      <c r="AS760" s="25"/>
      <c r="AT760" s="25"/>
      <c r="AU760" s="25"/>
      <c r="AV760" s="43"/>
      <c r="AW760" s="43"/>
      <c r="AX760" s="114" t="s">
        <v>76</v>
      </c>
      <c r="AY760" s="43"/>
      <c r="AZ760" s="43"/>
      <c r="BA760" s="43"/>
      <c r="BB760" s="43"/>
    </row>
    <row r="761" spans="2:54" ht="12.75" customHeight="1">
      <c r="B761" s="320"/>
      <c r="C761" s="134"/>
      <c r="D761" s="98"/>
      <c r="E761" s="504"/>
      <c r="F761" s="306"/>
      <c r="G761" s="265"/>
      <c r="H761" s="266"/>
      <c r="I761" s="297"/>
      <c r="J761" s="298"/>
      <c r="K761" s="298"/>
      <c r="L761" s="298"/>
      <c r="M761" s="41"/>
      <c r="N761" s="21"/>
      <c r="O761" s="21"/>
      <c r="P761" s="21"/>
      <c r="Q761" s="326"/>
      <c r="R761" s="40"/>
      <c r="S761" s="84"/>
      <c r="T761" s="40"/>
      <c r="U761" s="42"/>
      <c r="V761" s="78"/>
      <c r="Z761" s="181"/>
      <c r="AA761" s="183"/>
      <c r="AC761" s="26"/>
      <c r="AD761" s="279"/>
      <c r="AE761" s="26"/>
      <c r="AF761" s="26"/>
      <c r="AG761" s="278" t="str">
        <f t="shared" si="118"/>
        <v/>
      </c>
      <c r="AH761" s="278" t="str">
        <f t="shared" si="119"/>
        <v/>
      </c>
      <c r="AJ761" s="25"/>
      <c r="AK761" s="25"/>
      <c r="AL761" s="25"/>
      <c r="AM761" s="25"/>
      <c r="AN761" s="25"/>
      <c r="AO761" s="25"/>
      <c r="AP761" s="25"/>
      <c r="AQ761" s="25"/>
      <c r="AR761" s="25"/>
      <c r="AS761" s="25"/>
      <c r="AT761" s="25"/>
      <c r="AU761" s="25"/>
      <c r="AV761" s="43"/>
      <c r="AW761" s="43"/>
      <c r="AX761" s="114" t="s">
        <v>76</v>
      </c>
      <c r="AY761" s="43"/>
      <c r="AZ761" s="43"/>
      <c r="BA761" s="43"/>
      <c r="BB761" s="43"/>
    </row>
    <row r="762" spans="2:54" ht="12.75" customHeight="1">
      <c r="B762" s="320"/>
      <c r="C762" s="134"/>
      <c r="D762" s="98"/>
      <c r="E762" s="504"/>
      <c r="F762" s="306"/>
      <c r="G762" s="265"/>
      <c r="H762" s="266"/>
      <c r="I762" s="297"/>
      <c r="J762" s="298"/>
      <c r="K762" s="298"/>
      <c r="L762" s="298"/>
      <c r="M762" s="41"/>
      <c r="N762" s="21"/>
      <c r="O762" s="21"/>
      <c r="P762" s="21"/>
      <c r="Q762" s="326"/>
      <c r="R762" s="40"/>
      <c r="S762" s="84"/>
      <c r="T762" s="40"/>
      <c r="U762" s="42"/>
      <c r="V762" s="78"/>
      <c r="Z762" s="181"/>
      <c r="AA762" s="183"/>
      <c r="AC762" s="26"/>
      <c r="AD762" s="279"/>
      <c r="AE762" s="26"/>
      <c r="AF762" s="26"/>
      <c r="AG762" s="278" t="str">
        <f t="shared" si="118"/>
        <v/>
      </c>
      <c r="AH762" s="278" t="str">
        <f t="shared" si="119"/>
        <v/>
      </c>
      <c r="AJ762" s="25"/>
      <c r="AK762" s="25"/>
      <c r="AL762" s="25"/>
      <c r="AM762" s="25"/>
      <c r="AN762" s="25"/>
      <c r="AO762" s="25"/>
      <c r="AP762" s="25"/>
      <c r="AQ762" s="25"/>
      <c r="AR762" s="25"/>
      <c r="AS762" s="25"/>
      <c r="AT762" s="25"/>
      <c r="AU762" s="25"/>
      <c r="AV762" s="43"/>
      <c r="AW762" s="43"/>
      <c r="AX762" s="114" t="s">
        <v>76</v>
      </c>
      <c r="AY762" s="43"/>
      <c r="AZ762" s="43"/>
      <c r="BA762" s="43"/>
      <c r="BB762" s="43"/>
    </row>
    <row r="763" spans="2:54" ht="12.75" customHeight="1">
      <c r="B763" s="320"/>
      <c r="C763" s="134"/>
      <c r="D763" s="98"/>
      <c r="E763" s="504"/>
      <c r="F763" s="306"/>
      <c r="G763" s="265"/>
      <c r="H763" s="266"/>
      <c r="I763" s="297"/>
      <c r="J763" s="298"/>
      <c r="K763" s="298"/>
      <c r="L763" s="298"/>
      <c r="M763" s="41"/>
      <c r="N763" s="21"/>
      <c r="O763" s="21"/>
      <c r="P763" s="21"/>
      <c r="Q763" s="326"/>
      <c r="R763" s="40"/>
      <c r="S763" s="84"/>
      <c r="T763" s="40"/>
      <c r="U763" s="42"/>
      <c r="V763" s="78"/>
      <c r="Z763" s="181"/>
      <c r="AA763" s="183"/>
      <c r="AC763" s="26"/>
      <c r="AD763" s="279"/>
      <c r="AE763" s="26"/>
      <c r="AF763" s="26"/>
      <c r="AG763" s="278" t="str">
        <f t="shared" si="118"/>
        <v/>
      </c>
      <c r="AH763" s="278" t="str">
        <f t="shared" si="119"/>
        <v/>
      </c>
      <c r="AJ763" s="25"/>
      <c r="AK763" s="25"/>
      <c r="AL763" s="25"/>
      <c r="AM763" s="25"/>
      <c r="AN763" s="25"/>
      <c r="AO763" s="25"/>
      <c r="AP763" s="25"/>
      <c r="AQ763" s="25"/>
      <c r="AR763" s="25"/>
      <c r="AS763" s="25"/>
      <c r="AT763" s="25"/>
      <c r="AU763" s="25"/>
      <c r="AV763" s="43"/>
      <c r="AW763" s="43"/>
      <c r="AX763" s="114" t="s">
        <v>76</v>
      </c>
      <c r="AY763" s="43"/>
      <c r="AZ763" s="43"/>
      <c r="BA763" s="43"/>
      <c r="BB763" s="43"/>
    </row>
    <row r="764" spans="2:54" ht="12.75" customHeight="1">
      <c r="B764" s="320"/>
      <c r="C764" s="134"/>
      <c r="D764" s="98"/>
      <c r="E764" s="504"/>
      <c r="F764" s="306"/>
      <c r="G764" s="265"/>
      <c r="H764" s="266"/>
      <c r="I764" s="297"/>
      <c r="J764" s="298"/>
      <c r="K764" s="298"/>
      <c r="L764" s="298"/>
      <c r="M764" s="41"/>
      <c r="N764" s="21"/>
      <c r="O764" s="21"/>
      <c r="P764" s="21"/>
      <c r="Q764" s="326"/>
      <c r="R764" s="40"/>
      <c r="S764" s="84"/>
      <c r="T764" s="40"/>
      <c r="U764" s="42"/>
      <c r="V764" s="78"/>
      <c r="Z764" s="181"/>
      <c r="AA764" s="183"/>
      <c r="AC764" s="26"/>
      <c r="AD764" s="279"/>
      <c r="AE764" s="26"/>
      <c r="AF764" s="26"/>
      <c r="AG764" s="278" t="str">
        <f t="shared" si="118"/>
        <v/>
      </c>
      <c r="AH764" s="278" t="str">
        <f t="shared" si="119"/>
        <v/>
      </c>
      <c r="AJ764" s="25"/>
      <c r="AK764" s="25"/>
      <c r="AL764" s="25"/>
      <c r="AM764" s="25"/>
      <c r="AN764" s="25"/>
      <c r="AO764" s="25"/>
      <c r="AP764" s="25"/>
      <c r="AQ764" s="25"/>
      <c r="AR764" s="25"/>
      <c r="AS764" s="25"/>
      <c r="AT764" s="25"/>
      <c r="AU764" s="25"/>
      <c r="AV764" s="43"/>
      <c r="AW764" s="43"/>
      <c r="AX764" s="114" t="s">
        <v>76</v>
      </c>
      <c r="AY764" s="43"/>
      <c r="AZ764" s="43"/>
      <c r="BA764" s="43"/>
      <c r="BB764" s="43"/>
    </row>
    <row r="765" spans="2:54" ht="12.75" customHeight="1">
      <c r="B765" s="320"/>
      <c r="C765" s="134"/>
      <c r="D765" s="98"/>
      <c r="E765" s="504"/>
      <c r="F765" s="306"/>
      <c r="G765" s="265"/>
      <c r="H765" s="266"/>
      <c r="I765" s="297"/>
      <c r="J765" s="298"/>
      <c r="K765" s="298"/>
      <c r="L765" s="298"/>
      <c r="M765" s="41"/>
      <c r="N765" s="21"/>
      <c r="O765" s="21"/>
      <c r="P765" s="21"/>
      <c r="Q765" s="326"/>
      <c r="R765" s="40"/>
      <c r="S765" s="84"/>
      <c r="T765" s="40"/>
      <c r="U765" s="42"/>
      <c r="V765" s="78"/>
      <c r="Z765" s="181"/>
      <c r="AA765" s="183"/>
      <c r="AC765" s="26"/>
      <c r="AD765" s="279"/>
      <c r="AE765" s="26"/>
      <c r="AF765" s="26"/>
      <c r="AG765" s="278" t="str">
        <f t="shared" si="118"/>
        <v/>
      </c>
      <c r="AH765" s="278" t="str">
        <f t="shared" si="119"/>
        <v/>
      </c>
      <c r="AJ765" s="25"/>
      <c r="AK765" s="25"/>
      <c r="AL765" s="25"/>
      <c r="AM765" s="25"/>
      <c r="AN765" s="25"/>
      <c r="AO765" s="25"/>
      <c r="AP765" s="25"/>
      <c r="AQ765" s="25"/>
      <c r="AR765" s="25"/>
      <c r="AS765" s="25"/>
      <c r="AT765" s="25"/>
      <c r="AU765" s="25"/>
      <c r="AV765" s="43"/>
      <c r="AW765" s="43"/>
      <c r="AX765" s="114" t="s">
        <v>76</v>
      </c>
      <c r="AY765" s="43"/>
      <c r="AZ765" s="43"/>
      <c r="BA765" s="43"/>
      <c r="BB765" s="43"/>
    </row>
    <row r="766" spans="2:54" ht="12.75" customHeight="1">
      <c r="B766" s="320"/>
      <c r="C766" s="134"/>
      <c r="D766" s="98"/>
      <c r="E766" s="504"/>
      <c r="F766" s="306"/>
      <c r="G766" s="265"/>
      <c r="H766" s="266"/>
      <c r="I766" s="297"/>
      <c r="J766" s="298"/>
      <c r="K766" s="298"/>
      <c r="L766" s="298"/>
      <c r="M766" s="41"/>
      <c r="N766" s="21"/>
      <c r="O766" s="21"/>
      <c r="P766" s="21"/>
      <c r="Q766" s="326"/>
      <c r="R766" s="40"/>
      <c r="S766" s="84"/>
      <c r="T766" s="40"/>
      <c r="U766" s="42"/>
      <c r="V766" s="78"/>
      <c r="Z766" s="181"/>
      <c r="AA766" s="183"/>
      <c r="AB766" s="30"/>
      <c r="AC766" s="30"/>
      <c r="AD766" s="279"/>
      <c r="AE766" s="26"/>
      <c r="AF766" s="26"/>
      <c r="AG766" s="278" t="str">
        <f t="shared" si="118"/>
        <v/>
      </c>
      <c r="AH766" s="278" t="str">
        <f t="shared" si="119"/>
        <v/>
      </c>
      <c r="AJ766" s="25"/>
      <c r="AK766" s="25"/>
      <c r="AL766" s="25"/>
      <c r="AM766" s="25"/>
      <c r="AN766" s="25"/>
      <c r="AO766" s="25"/>
      <c r="AP766" s="25"/>
      <c r="AQ766" s="25"/>
      <c r="AR766" s="25"/>
      <c r="AS766" s="25"/>
      <c r="AT766" s="25"/>
      <c r="AU766" s="25"/>
      <c r="AV766" s="43"/>
      <c r="AW766" s="43"/>
      <c r="AX766" s="114" t="s">
        <v>76</v>
      </c>
      <c r="AY766" s="43"/>
      <c r="AZ766" s="43"/>
      <c r="BA766" s="43"/>
      <c r="BB766" s="43"/>
    </row>
    <row r="767" spans="2:54" ht="12.75" customHeight="1">
      <c r="B767" s="320"/>
      <c r="C767" s="134"/>
      <c r="D767" s="98"/>
      <c r="E767" s="504"/>
      <c r="F767" s="306"/>
      <c r="G767" s="265"/>
      <c r="H767" s="266"/>
      <c r="I767" s="297"/>
      <c r="J767" s="298"/>
      <c r="K767" s="298"/>
      <c r="L767" s="298"/>
      <c r="M767" s="41"/>
      <c r="N767" s="21"/>
      <c r="O767" s="21"/>
      <c r="P767" s="21"/>
      <c r="Q767" s="326"/>
      <c r="R767" s="40"/>
      <c r="S767" s="84"/>
      <c r="T767" s="40"/>
      <c r="U767" s="42"/>
      <c r="V767" s="78"/>
      <c r="Z767" s="181"/>
      <c r="AA767" s="183"/>
      <c r="AB767" s="35"/>
      <c r="AC767" s="25"/>
      <c r="AD767" s="279"/>
      <c r="AE767" s="26"/>
      <c r="AF767" s="26"/>
      <c r="AG767" s="278" t="str">
        <f t="shared" si="118"/>
        <v/>
      </c>
      <c r="AH767" s="278" t="str">
        <f t="shared" si="119"/>
        <v/>
      </c>
      <c r="AJ767" s="25"/>
      <c r="AK767" s="25"/>
      <c r="AL767" s="25"/>
      <c r="AM767" s="25"/>
      <c r="AN767" s="25"/>
      <c r="AO767" s="25"/>
      <c r="AP767" s="25"/>
      <c r="AQ767" s="25"/>
      <c r="AR767" s="25"/>
      <c r="AS767" s="25"/>
      <c r="AT767" s="25"/>
      <c r="AU767" s="25"/>
      <c r="AV767" s="43"/>
      <c r="AW767" s="43"/>
      <c r="AX767" s="114" t="s">
        <v>76</v>
      </c>
      <c r="AY767" s="43"/>
      <c r="AZ767" s="43"/>
      <c r="BA767" s="43"/>
      <c r="BB767" s="43"/>
    </row>
    <row r="768" spans="2:54" ht="12.75" customHeight="1">
      <c r="B768" s="320"/>
      <c r="C768" s="134"/>
      <c r="D768" s="98"/>
      <c r="E768" s="504"/>
      <c r="F768" s="306"/>
      <c r="G768" s="265"/>
      <c r="H768" s="266"/>
      <c r="I768" s="297"/>
      <c r="J768" s="298"/>
      <c r="K768" s="298"/>
      <c r="L768" s="298"/>
      <c r="M768" s="41"/>
      <c r="N768" s="21"/>
      <c r="O768" s="21"/>
      <c r="P768" s="21"/>
      <c r="Q768" s="326"/>
      <c r="R768" s="40"/>
      <c r="S768" s="84"/>
      <c r="T768" s="40"/>
      <c r="U768" s="42"/>
      <c r="V768" s="78"/>
      <c r="Z768" s="181"/>
      <c r="AA768" s="183"/>
      <c r="AB768" s="35"/>
      <c r="AC768" s="25"/>
      <c r="AD768" s="279"/>
      <c r="AE768" s="26"/>
      <c r="AF768" s="26"/>
      <c r="AG768" s="278" t="str">
        <f t="shared" si="118"/>
        <v/>
      </c>
      <c r="AH768" s="278" t="str">
        <f t="shared" si="119"/>
        <v/>
      </c>
      <c r="AJ768" s="25"/>
      <c r="AK768" s="25"/>
      <c r="AL768" s="25"/>
      <c r="AM768" s="25"/>
      <c r="AN768" s="25"/>
      <c r="AO768" s="25"/>
      <c r="AP768" s="25"/>
      <c r="AQ768" s="25"/>
      <c r="AR768" s="25"/>
      <c r="AS768" s="25"/>
      <c r="AT768" s="25"/>
      <c r="AU768" s="25"/>
      <c r="AV768" s="43"/>
      <c r="AW768" s="43"/>
      <c r="AX768" s="114" t="s">
        <v>76</v>
      </c>
      <c r="AY768" s="43"/>
      <c r="AZ768" s="43"/>
      <c r="BA768" s="43"/>
      <c r="BB768" s="43"/>
    </row>
    <row r="769" spans="2:54" ht="12.75" customHeight="1">
      <c r="B769" s="320"/>
      <c r="C769" s="134"/>
      <c r="D769" s="98"/>
      <c r="E769" s="504"/>
      <c r="F769" s="306"/>
      <c r="G769" s="265"/>
      <c r="H769" s="266"/>
      <c r="I769" s="297"/>
      <c r="J769" s="298"/>
      <c r="K769" s="298"/>
      <c r="L769" s="298"/>
      <c r="M769" s="41"/>
      <c r="N769" s="21"/>
      <c r="O769" s="21"/>
      <c r="P769" s="21"/>
      <c r="Q769" s="326"/>
      <c r="R769" s="40"/>
      <c r="S769" s="84"/>
      <c r="T769" s="40"/>
      <c r="U769" s="42"/>
      <c r="V769" s="78"/>
      <c r="Z769" s="181"/>
      <c r="AA769" s="183"/>
      <c r="AC769" s="26"/>
      <c r="AD769" s="279"/>
      <c r="AE769" s="26"/>
      <c r="AF769" s="26"/>
      <c r="AG769" s="278" t="str">
        <f t="shared" si="118"/>
        <v/>
      </c>
      <c r="AH769" s="278" t="str">
        <f t="shared" si="119"/>
        <v/>
      </c>
      <c r="AJ769" s="25"/>
      <c r="AK769" s="25"/>
      <c r="AL769" s="25"/>
      <c r="AM769" s="25"/>
      <c r="AN769" s="25"/>
      <c r="AO769" s="25"/>
      <c r="AP769" s="25"/>
      <c r="AQ769" s="25"/>
      <c r="AR769" s="25"/>
      <c r="AS769" s="25"/>
      <c r="AT769" s="25"/>
      <c r="AU769" s="25"/>
      <c r="AV769" s="43"/>
      <c r="AW769" s="43"/>
      <c r="AX769" s="114" t="s">
        <v>76</v>
      </c>
      <c r="AY769" s="43"/>
      <c r="AZ769" s="43"/>
      <c r="BA769" s="43"/>
      <c r="BB769" s="43"/>
    </row>
    <row r="770" spans="2:54" ht="12.75" customHeight="1">
      <c r="B770" s="320"/>
      <c r="C770" s="134"/>
      <c r="D770" s="98"/>
      <c r="E770" s="504"/>
      <c r="F770" s="306"/>
      <c r="G770" s="265"/>
      <c r="H770" s="266"/>
      <c r="I770" s="297"/>
      <c r="J770" s="298"/>
      <c r="K770" s="298"/>
      <c r="L770" s="298"/>
      <c r="M770" s="41"/>
      <c r="N770" s="21"/>
      <c r="O770" s="21"/>
      <c r="P770" s="21"/>
      <c r="Q770" s="326"/>
      <c r="R770" s="40"/>
      <c r="S770" s="84"/>
      <c r="T770" s="40"/>
      <c r="U770" s="42"/>
      <c r="V770" s="78"/>
      <c r="Z770" s="181"/>
      <c r="AA770" s="183"/>
      <c r="AC770" s="26"/>
      <c r="AD770" s="279"/>
      <c r="AE770" s="26"/>
      <c r="AF770" s="26"/>
      <c r="AG770" s="278" t="str">
        <f t="shared" si="118"/>
        <v/>
      </c>
      <c r="AH770" s="278" t="str">
        <f t="shared" si="119"/>
        <v/>
      </c>
      <c r="AJ770" s="25"/>
      <c r="AK770" s="25"/>
      <c r="AL770" s="25"/>
      <c r="AM770" s="25"/>
      <c r="AN770" s="25"/>
      <c r="AO770" s="25"/>
      <c r="AP770" s="25"/>
      <c r="AQ770" s="25"/>
      <c r="AR770" s="25"/>
      <c r="AS770" s="25"/>
      <c r="AT770" s="25"/>
      <c r="AU770" s="25"/>
      <c r="AV770" s="43"/>
      <c r="AW770" s="43"/>
      <c r="AX770" s="114" t="s">
        <v>76</v>
      </c>
      <c r="AY770" s="43"/>
      <c r="AZ770" s="43"/>
      <c r="BA770" s="43"/>
      <c r="BB770" s="43"/>
    </row>
    <row r="771" spans="2:54" ht="12.75" customHeight="1">
      <c r="B771" s="320"/>
      <c r="C771" s="134"/>
      <c r="D771" s="98"/>
      <c r="E771" s="504"/>
      <c r="F771" s="306"/>
      <c r="G771" s="265"/>
      <c r="H771" s="266"/>
      <c r="I771" s="297"/>
      <c r="J771" s="298"/>
      <c r="K771" s="298"/>
      <c r="L771" s="298"/>
      <c r="M771" s="41"/>
      <c r="N771" s="21"/>
      <c r="O771" s="21"/>
      <c r="P771" s="21"/>
      <c r="Q771" s="326"/>
      <c r="R771" s="40"/>
      <c r="S771" s="84"/>
      <c r="T771" s="40"/>
      <c r="U771" s="42"/>
      <c r="V771" s="78"/>
      <c r="Z771" s="181"/>
      <c r="AA771" s="183"/>
      <c r="AB771" s="35"/>
      <c r="AC771" s="25"/>
      <c r="AD771" s="279"/>
      <c r="AE771" s="26"/>
      <c r="AF771" s="26"/>
      <c r="AG771" s="278" t="str">
        <f t="shared" si="118"/>
        <v/>
      </c>
      <c r="AH771" s="278" t="str">
        <f t="shared" si="119"/>
        <v/>
      </c>
      <c r="AJ771" s="25"/>
      <c r="AK771" s="25"/>
      <c r="AL771" s="25"/>
      <c r="AM771" s="25"/>
      <c r="AN771" s="25"/>
      <c r="AO771" s="25"/>
      <c r="AP771" s="25"/>
      <c r="AQ771" s="25"/>
      <c r="AR771" s="25"/>
      <c r="AS771" s="25"/>
      <c r="AT771" s="25"/>
      <c r="AU771" s="25"/>
      <c r="AV771" s="43"/>
      <c r="AW771" s="43"/>
      <c r="AX771" s="114" t="s">
        <v>76</v>
      </c>
      <c r="AY771" s="43"/>
      <c r="AZ771" s="43"/>
      <c r="BA771" s="43"/>
      <c r="BB771" s="43"/>
    </row>
    <row r="772" spans="2:54" ht="12.75" customHeight="1">
      <c r="B772" s="320"/>
      <c r="C772" s="134"/>
      <c r="D772" s="98"/>
      <c r="E772" s="504"/>
      <c r="F772" s="306"/>
      <c r="G772" s="265"/>
      <c r="H772" s="266"/>
      <c r="I772" s="297"/>
      <c r="J772" s="298"/>
      <c r="K772" s="298"/>
      <c r="L772" s="298"/>
      <c r="M772" s="41"/>
      <c r="N772" s="21"/>
      <c r="O772" s="21"/>
      <c r="P772" s="21"/>
      <c r="Q772" s="326"/>
      <c r="R772" s="40"/>
      <c r="S772" s="84"/>
      <c r="T772" s="40"/>
      <c r="U772" s="42"/>
      <c r="V772" s="78"/>
      <c r="Z772" s="181"/>
      <c r="AA772" s="183"/>
      <c r="AC772" s="26"/>
      <c r="AD772" s="279"/>
      <c r="AE772" s="26"/>
      <c r="AF772" s="26"/>
      <c r="AG772" s="278" t="str">
        <f t="shared" si="118"/>
        <v/>
      </c>
      <c r="AH772" s="278" t="str">
        <f t="shared" si="119"/>
        <v/>
      </c>
      <c r="AJ772" s="25"/>
      <c r="AK772" s="25"/>
      <c r="AL772" s="25"/>
      <c r="AM772" s="25"/>
      <c r="AN772" s="25"/>
      <c r="AO772" s="25"/>
      <c r="AP772" s="25"/>
      <c r="AQ772" s="25"/>
      <c r="AR772" s="25"/>
      <c r="AS772" s="25"/>
      <c r="AT772" s="25"/>
      <c r="AU772" s="25"/>
      <c r="AV772" s="43"/>
      <c r="AW772" s="43"/>
      <c r="AX772" s="114" t="s">
        <v>76</v>
      </c>
      <c r="AY772" s="43"/>
      <c r="AZ772" s="43"/>
      <c r="BA772" s="43"/>
      <c r="BB772" s="43"/>
    </row>
    <row r="773" spans="2:54" ht="12.75" customHeight="1">
      <c r="B773" s="320"/>
      <c r="C773" s="134"/>
      <c r="D773" s="98"/>
      <c r="E773" s="504"/>
      <c r="F773" s="306"/>
      <c r="G773" s="265"/>
      <c r="H773" s="266"/>
      <c r="I773" s="297"/>
      <c r="J773" s="298"/>
      <c r="K773" s="298"/>
      <c r="L773" s="298"/>
      <c r="M773" s="41"/>
      <c r="N773" s="21"/>
      <c r="O773" s="21"/>
      <c r="P773" s="21"/>
      <c r="Q773" s="326"/>
      <c r="R773" s="40"/>
      <c r="S773" s="84"/>
      <c r="T773" s="40"/>
      <c r="U773" s="42"/>
      <c r="V773" s="78"/>
      <c r="Z773" s="181"/>
      <c r="AA773" s="183"/>
      <c r="AB773" s="448"/>
      <c r="AC773" s="33"/>
      <c r="AD773" s="279"/>
      <c r="AE773" s="26"/>
      <c r="AF773" s="26"/>
      <c r="AG773" s="278" t="str">
        <f t="shared" si="118"/>
        <v/>
      </c>
      <c r="AH773" s="278" t="str">
        <f t="shared" si="119"/>
        <v/>
      </c>
      <c r="AJ773" s="25"/>
      <c r="AK773" s="25"/>
      <c r="AL773" s="25"/>
      <c r="AM773" s="25"/>
      <c r="AN773" s="25"/>
      <c r="AO773" s="25"/>
      <c r="AP773" s="25"/>
      <c r="AQ773" s="25"/>
      <c r="AR773" s="25"/>
      <c r="AS773" s="25"/>
      <c r="AT773" s="25"/>
      <c r="AU773" s="25"/>
      <c r="AV773" s="43"/>
      <c r="AW773" s="43"/>
      <c r="AX773" s="114" t="s">
        <v>76</v>
      </c>
      <c r="AY773" s="43"/>
      <c r="AZ773" s="43"/>
      <c r="BA773" s="43"/>
      <c r="BB773" s="43"/>
    </row>
    <row r="774" spans="2:54" ht="12.75" customHeight="1">
      <c r="B774" s="320"/>
      <c r="C774" s="134"/>
      <c r="D774" s="98"/>
      <c r="E774" s="504"/>
      <c r="F774" s="306"/>
      <c r="G774" s="265"/>
      <c r="H774" s="266"/>
      <c r="I774" s="297"/>
      <c r="J774" s="298"/>
      <c r="K774" s="298"/>
      <c r="L774" s="298"/>
      <c r="M774" s="41"/>
      <c r="N774" s="21"/>
      <c r="O774" s="21"/>
      <c r="P774" s="21"/>
      <c r="Q774" s="326"/>
      <c r="R774" s="40"/>
      <c r="S774" s="84"/>
      <c r="T774" s="40"/>
      <c r="U774" s="42"/>
      <c r="V774" s="78"/>
      <c r="Z774" s="181"/>
      <c r="AA774" s="183"/>
      <c r="AC774" s="26"/>
      <c r="AD774" s="279"/>
      <c r="AE774" s="26"/>
      <c r="AF774" s="26"/>
      <c r="AG774" s="278" t="str">
        <f t="shared" ref="AG774:AG837" si="120">IF(AE774="","",AE774*AltBounce)</f>
        <v/>
      </c>
      <c r="AH774" s="278" t="str">
        <f t="shared" ref="AH774:AH837" si="121">IF(AA774="","",AE774*(1/AltBounce))</f>
        <v/>
      </c>
      <c r="AJ774" s="25"/>
      <c r="AK774" s="25"/>
      <c r="AL774" s="25"/>
      <c r="AM774" s="25"/>
      <c r="AN774" s="25"/>
      <c r="AO774" s="25"/>
      <c r="AP774" s="25"/>
      <c r="AQ774" s="25"/>
      <c r="AR774" s="25"/>
      <c r="AS774" s="25"/>
      <c r="AT774" s="25"/>
      <c r="AU774" s="25"/>
      <c r="AV774" s="43"/>
      <c r="AW774" s="43"/>
      <c r="AX774" s="114" t="s">
        <v>76</v>
      </c>
      <c r="AY774" s="43"/>
      <c r="AZ774" s="43"/>
      <c r="BA774" s="43"/>
      <c r="BB774" s="43"/>
    </row>
    <row r="775" spans="2:54" ht="12.75" customHeight="1">
      <c r="B775" s="320"/>
      <c r="C775" s="134"/>
      <c r="D775" s="98"/>
      <c r="E775" s="504"/>
      <c r="F775" s="306"/>
      <c r="G775" s="265"/>
      <c r="H775" s="266"/>
      <c r="I775" s="297"/>
      <c r="J775" s="298"/>
      <c r="K775" s="298"/>
      <c r="L775" s="298"/>
      <c r="M775" s="41"/>
      <c r="N775" s="21"/>
      <c r="O775" s="21"/>
      <c r="P775" s="21"/>
      <c r="Q775" s="326"/>
      <c r="R775" s="40"/>
      <c r="S775" s="84"/>
      <c r="T775" s="40"/>
      <c r="U775" s="42"/>
      <c r="V775" s="78"/>
      <c r="Z775" s="181"/>
      <c r="AA775" s="183"/>
      <c r="AC775" s="26"/>
      <c r="AD775" s="279"/>
      <c r="AE775" s="26"/>
      <c r="AF775" s="26"/>
      <c r="AG775" s="278" t="str">
        <f t="shared" si="120"/>
        <v/>
      </c>
      <c r="AH775" s="278" t="str">
        <f t="shared" si="121"/>
        <v/>
      </c>
      <c r="AJ775" s="25"/>
      <c r="AK775" s="25"/>
      <c r="AL775" s="25"/>
      <c r="AM775" s="25"/>
      <c r="AN775" s="25"/>
      <c r="AO775" s="25"/>
      <c r="AP775" s="25"/>
      <c r="AQ775" s="25"/>
      <c r="AR775" s="25"/>
      <c r="AS775" s="25"/>
      <c r="AT775" s="25"/>
      <c r="AU775" s="25"/>
      <c r="AV775" s="43"/>
      <c r="AW775" s="43"/>
      <c r="AX775" s="114" t="s">
        <v>76</v>
      </c>
      <c r="AY775" s="43"/>
      <c r="AZ775" s="43"/>
      <c r="BA775" s="43"/>
      <c r="BB775" s="43"/>
    </row>
    <row r="776" spans="2:54" ht="12.75" customHeight="1">
      <c r="B776" s="320"/>
      <c r="C776" s="134"/>
      <c r="D776" s="98"/>
      <c r="E776" s="504"/>
      <c r="F776" s="306"/>
      <c r="G776" s="265"/>
      <c r="H776" s="266"/>
      <c r="I776" s="297"/>
      <c r="J776" s="298"/>
      <c r="K776" s="298"/>
      <c r="L776" s="298"/>
      <c r="M776" s="41"/>
      <c r="N776" s="21"/>
      <c r="O776" s="21"/>
      <c r="P776" s="21"/>
      <c r="Q776" s="326"/>
      <c r="R776" s="40"/>
      <c r="S776" s="84"/>
      <c r="T776" s="40"/>
      <c r="U776" s="42"/>
      <c r="V776" s="78"/>
      <c r="Z776" s="181"/>
      <c r="AA776" s="183"/>
      <c r="AC776" s="26"/>
      <c r="AD776" s="279"/>
      <c r="AE776" s="26"/>
      <c r="AF776" s="26"/>
      <c r="AG776" s="278" t="str">
        <f t="shared" si="120"/>
        <v/>
      </c>
      <c r="AH776" s="278" t="str">
        <f t="shared" si="121"/>
        <v/>
      </c>
      <c r="AJ776" s="25"/>
      <c r="AK776" s="25"/>
      <c r="AL776" s="25"/>
      <c r="AM776" s="25"/>
      <c r="AN776" s="25"/>
      <c r="AO776" s="25"/>
      <c r="AP776" s="25"/>
      <c r="AQ776" s="25"/>
      <c r="AR776" s="25"/>
      <c r="AS776" s="25"/>
      <c r="AT776" s="25"/>
      <c r="AU776" s="25"/>
      <c r="AV776" s="43"/>
      <c r="AW776" s="43"/>
      <c r="AX776" s="114" t="s">
        <v>76</v>
      </c>
      <c r="AY776" s="43"/>
      <c r="AZ776" s="43"/>
      <c r="BA776" s="43"/>
      <c r="BB776" s="43"/>
    </row>
    <row r="777" spans="2:54" ht="12.75" customHeight="1">
      <c r="B777" s="320"/>
      <c r="C777" s="134"/>
      <c r="D777" s="98"/>
      <c r="E777" s="504"/>
      <c r="F777" s="306"/>
      <c r="G777" s="265"/>
      <c r="H777" s="266"/>
      <c r="I777" s="297"/>
      <c r="J777" s="298"/>
      <c r="K777" s="298"/>
      <c r="L777" s="298"/>
      <c r="M777" s="41"/>
      <c r="N777" s="21"/>
      <c r="O777" s="21"/>
      <c r="P777" s="21"/>
      <c r="Q777" s="326"/>
      <c r="R777" s="40"/>
      <c r="S777" s="84"/>
      <c r="T777" s="40"/>
      <c r="U777" s="42"/>
      <c r="V777" s="78"/>
      <c r="Z777" s="181"/>
      <c r="AA777" s="183"/>
      <c r="AC777" s="26"/>
      <c r="AD777" s="279"/>
      <c r="AE777" s="26"/>
      <c r="AF777" s="26"/>
      <c r="AG777" s="278" t="str">
        <f t="shared" si="120"/>
        <v/>
      </c>
      <c r="AH777" s="278" t="str">
        <f t="shared" si="121"/>
        <v/>
      </c>
      <c r="AJ777" s="25"/>
      <c r="AK777" s="25"/>
      <c r="AL777" s="25"/>
      <c r="AM777" s="25"/>
      <c r="AN777" s="25"/>
      <c r="AO777" s="25"/>
      <c r="AP777" s="25"/>
      <c r="AQ777" s="25"/>
      <c r="AR777" s="25"/>
      <c r="AS777" s="25"/>
      <c r="AT777" s="25"/>
      <c r="AU777" s="25"/>
      <c r="AV777" s="43"/>
      <c r="AW777" s="43"/>
      <c r="AX777" s="114" t="s">
        <v>76</v>
      </c>
      <c r="AY777" s="43"/>
      <c r="AZ777" s="43"/>
      <c r="BA777" s="43"/>
      <c r="BB777" s="43"/>
    </row>
    <row r="778" spans="2:54" ht="12.75" customHeight="1">
      <c r="B778" s="320"/>
      <c r="C778" s="134"/>
      <c r="D778" s="98"/>
      <c r="E778" s="504"/>
      <c r="F778" s="306"/>
      <c r="G778" s="265"/>
      <c r="H778" s="266"/>
      <c r="I778" s="297"/>
      <c r="J778" s="298"/>
      <c r="K778" s="298"/>
      <c r="L778" s="298"/>
      <c r="M778" s="41"/>
      <c r="N778" s="21"/>
      <c r="O778" s="21"/>
      <c r="P778" s="21"/>
      <c r="Q778" s="326"/>
      <c r="R778" s="40"/>
      <c r="S778" s="84"/>
      <c r="T778" s="40"/>
      <c r="U778" s="42"/>
      <c r="V778" s="78"/>
      <c r="Z778" s="181"/>
      <c r="AA778" s="183"/>
      <c r="AC778" s="26"/>
      <c r="AD778" s="279"/>
      <c r="AE778" s="26"/>
      <c r="AF778" s="26"/>
      <c r="AG778" s="278" t="str">
        <f t="shared" si="120"/>
        <v/>
      </c>
      <c r="AH778" s="278" t="str">
        <f t="shared" si="121"/>
        <v/>
      </c>
      <c r="AJ778" s="25"/>
      <c r="AK778" s="25"/>
      <c r="AL778" s="25"/>
      <c r="AM778" s="25"/>
      <c r="AN778" s="25"/>
      <c r="AO778" s="25"/>
      <c r="AP778" s="25"/>
      <c r="AQ778" s="25"/>
      <c r="AR778" s="25"/>
      <c r="AS778" s="25"/>
      <c r="AT778" s="25"/>
      <c r="AU778" s="25"/>
      <c r="AV778" s="43"/>
      <c r="AW778" s="43"/>
      <c r="AX778" s="114" t="s">
        <v>76</v>
      </c>
      <c r="AY778" s="43"/>
      <c r="AZ778" s="43"/>
      <c r="BA778" s="43"/>
      <c r="BB778" s="43"/>
    </row>
    <row r="779" spans="2:54" ht="12.75" customHeight="1">
      <c r="B779" s="320"/>
      <c r="C779" s="134"/>
      <c r="D779" s="98"/>
      <c r="E779" s="504"/>
      <c r="F779" s="306"/>
      <c r="G779" s="265"/>
      <c r="H779" s="266"/>
      <c r="I779" s="297"/>
      <c r="J779" s="298"/>
      <c r="K779" s="298"/>
      <c r="L779" s="298"/>
      <c r="M779" s="41"/>
      <c r="N779" s="21"/>
      <c r="O779" s="21"/>
      <c r="P779" s="21"/>
      <c r="Q779" s="326"/>
      <c r="R779" s="40"/>
      <c r="S779" s="84"/>
      <c r="T779" s="40"/>
      <c r="U779" s="42"/>
      <c r="V779" s="78"/>
      <c r="Z779" s="181"/>
      <c r="AA779" s="183"/>
      <c r="AC779" s="26"/>
      <c r="AD779" s="279"/>
      <c r="AE779" s="26"/>
      <c r="AF779" s="26"/>
      <c r="AG779" s="278" t="str">
        <f t="shared" si="120"/>
        <v/>
      </c>
      <c r="AH779" s="278" t="str">
        <f t="shared" si="121"/>
        <v/>
      </c>
      <c r="AJ779" s="25"/>
      <c r="AK779" s="25"/>
      <c r="AL779" s="25"/>
      <c r="AM779" s="25"/>
      <c r="AN779" s="25"/>
      <c r="AO779" s="25"/>
      <c r="AP779" s="25"/>
      <c r="AQ779" s="25"/>
      <c r="AR779" s="25"/>
      <c r="AS779" s="25"/>
      <c r="AT779" s="25"/>
      <c r="AU779" s="25"/>
      <c r="AV779" s="43"/>
      <c r="AW779" s="43"/>
      <c r="AX779" s="114" t="s">
        <v>76</v>
      </c>
      <c r="AY779" s="43"/>
      <c r="AZ779" s="43"/>
      <c r="BA779" s="43"/>
      <c r="BB779" s="43"/>
    </row>
    <row r="780" spans="2:54" ht="12.75" customHeight="1">
      <c r="B780" s="320"/>
      <c r="C780" s="134"/>
      <c r="D780" s="98"/>
      <c r="E780" s="504"/>
      <c r="F780" s="306"/>
      <c r="G780" s="265"/>
      <c r="H780" s="266"/>
      <c r="I780" s="297"/>
      <c r="J780" s="298"/>
      <c r="K780" s="298"/>
      <c r="L780" s="298"/>
      <c r="M780" s="41"/>
      <c r="N780" s="21"/>
      <c r="O780" s="21"/>
      <c r="P780" s="21"/>
      <c r="Q780" s="326"/>
      <c r="R780" s="40"/>
      <c r="S780" s="84"/>
      <c r="T780" s="40"/>
      <c r="U780" s="42"/>
      <c r="V780" s="78"/>
      <c r="Z780" s="181"/>
      <c r="AA780" s="183"/>
      <c r="AC780" s="26"/>
      <c r="AD780" s="279"/>
      <c r="AE780" s="26"/>
      <c r="AF780" s="26"/>
      <c r="AG780" s="278" t="str">
        <f t="shared" si="120"/>
        <v/>
      </c>
      <c r="AH780" s="278" t="str">
        <f t="shared" si="121"/>
        <v/>
      </c>
      <c r="AJ780" s="25"/>
      <c r="AK780" s="25"/>
      <c r="AL780" s="25"/>
      <c r="AM780" s="25"/>
      <c r="AN780" s="25"/>
      <c r="AO780" s="25"/>
      <c r="AP780" s="25"/>
      <c r="AQ780" s="25"/>
      <c r="AR780" s="25"/>
      <c r="AS780" s="25"/>
      <c r="AT780" s="25"/>
      <c r="AU780" s="25"/>
      <c r="AV780" s="43"/>
      <c r="AW780" s="43"/>
      <c r="AX780" s="114" t="s">
        <v>76</v>
      </c>
      <c r="AY780" s="43"/>
      <c r="AZ780" s="43"/>
      <c r="BA780" s="43"/>
      <c r="BB780" s="43"/>
    </row>
    <row r="781" spans="2:54" ht="12.75" customHeight="1">
      <c r="B781" s="320"/>
      <c r="C781" s="134"/>
      <c r="D781" s="98"/>
      <c r="E781" s="504"/>
      <c r="F781" s="306"/>
      <c r="G781" s="265"/>
      <c r="H781" s="266"/>
      <c r="I781" s="297"/>
      <c r="J781" s="298"/>
      <c r="K781" s="298"/>
      <c r="L781" s="298"/>
      <c r="M781" s="41"/>
      <c r="N781" s="21"/>
      <c r="O781" s="21"/>
      <c r="P781" s="21"/>
      <c r="Q781" s="326"/>
      <c r="R781" s="40"/>
      <c r="S781" s="84"/>
      <c r="T781" s="40"/>
      <c r="U781" s="42"/>
      <c r="V781" s="78"/>
      <c r="Z781" s="181"/>
      <c r="AA781" s="183"/>
      <c r="AC781" s="26"/>
      <c r="AD781" s="279"/>
      <c r="AE781" s="26"/>
      <c r="AF781" s="26"/>
      <c r="AG781" s="278" t="str">
        <f t="shared" si="120"/>
        <v/>
      </c>
      <c r="AH781" s="278" t="str">
        <f t="shared" si="121"/>
        <v/>
      </c>
      <c r="AJ781" s="25"/>
      <c r="AK781" s="25"/>
      <c r="AL781" s="25"/>
      <c r="AM781" s="25"/>
      <c r="AN781" s="25"/>
      <c r="AO781" s="25"/>
      <c r="AP781" s="25"/>
      <c r="AQ781" s="25"/>
      <c r="AR781" s="25"/>
      <c r="AS781" s="25"/>
      <c r="AT781" s="25"/>
      <c r="AU781" s="25"/>
      <c r="AV781" s="43"/>
      <c r="AW781" s="43"/>
      <c r="AX781" s="114" t="s">
        <v>76</v>
      </c>
      <c r="AY781" s="43"/>
      <c r="AZ781" s="43"/>
      <c r="BA781" s="43"/>
      <c r="BB781" s="43"/>
    </row>
    <row r="782" spans="2:54" ht="12.75" customHeight="1">
      <c r="B782" s="320"/>
      <c r="C782" s="134"/>
      <c r="D782" s="98"/>
      <c r="E782" s="504"/>
      <c r="F782" s="306"/>
      <c r="G782" s="265"/>
      <c r="H782" s="266"/>
      <c r="I782" s="297"/>
      <c r="J782" s="298"/>
      <c r="K782" s="298"/>
      <c r="L782" s="298"/>
      <c r="M782" s="41"/>
      <c r="N782" s="21"/>
      <c r="O782" s="21"/>
      <c r="P782" s="21"/>
      <c r="Q782" s="326"/>
      <c r="R782" s="40"/>
      <c r="S782" s="84"/>
      <c r="T782" s="40"/>
      <c r="U782" s="42"/>
      <c r="V782" s="78"/>
      <c r="Z782" s="181"/>
      <c r="AA782" s="183"/>
      <c r="AC782" s="26"/>
      <c r="AD782" s="279"/>
      <c r="AE782" s="26"/>
      <c r="AF782" s="26"/>
      <c r="AG782" s="278" t="str">
        <f t="shared" si="120"/>
        <v/>
      </c>
      <c r="AH782" s="278" t="str">
        <f t="shared" si="121"/>
        <v/>
      </c>
      <c r="AJ782" s="25"/>
      <c r="AK782" s="25"/>
      <c r="AL782" s="25"/>
      <c r="AM782" s="25"/>
      <c r="AN782" s="25"/>
      <c r="AO782" s="25"/>
      <c r="AP782" s="25"/>
      <c r="AQ782" s="25"/>
      <c r="AR782" s="25"/>
      <c r="AS782" s="25"/>
      <c r="AT782" s="25"/>
      <c r="AU782" s="25"/>
      <c r="AV782" s="43"/>
      <c r="AW782" s="43"/>
      <c r="AX782" s="114" t="s">
        <v>76</v>
      </c>
      <c r="AY782" s="43"/>
      <c r="AZ782" s="43"/>
      <c r="BA782" s="43"/>
      <c r="BB782" s="43"/>
    </row>
    <row r="783" spans="2:54" ht="12.75" customHeight="1">
      <c r="B783" s="320"/>
      <c r="C783" s="134"/>
      <c r="D783" s="98"/>
      <c r="E783" s="504"/>
      <c r="F783" s="306"/>
      <c r="G783" s="265"/>
      <c r="H783" s="266"/>
      <c r="I783" s="297"/>
      <c r="J783" s="298"/>
      <c r="K783" s="298"/>
      <c r="L783" s="298"/>
      <c r="M783" s="41"/>
      <c r="N783" s="21"/>
      <c r="O783" s="21"/>
      <c r="P783" s="21"/>
      <c r="Q783" s="326"/>
      <c r="R783" s="40"/>
      <c r="S783" s="84"/>
      <c r="T783" s="40"/>
      <c r="U783" s="42"/>
      <c r="V783" s="78"/>
      <c r="Z783" s="181"/>
      <c r="AA783" s="183"/>
      <c r="AC783" s="26"/>
      <c r="AD783" s="279"/>
      <c r="AE783" s="26"/>
      <c r="AF783" s="26"/>
      <c r="AG783" s="278" t="str">
        <f t="shared" si="120"/>
        <v/>
      </c>
      <c r="AH783" s="278" t="str">
        <f t="shared" si="121"/>
        <v/>
      </c>
      <c r="AJ783" s="25"/>
      <c r="AK783" s="25"/>
      <c r="AL783" s="25"/>
      <c r="AM783" s="25"/>
      <c r="AN783" s="25"/>
      <c r="AO783" s="25"/>
      <c r="AP783" s="25"/>
      <c r="AQ783" s="25"/>
      <c r="AR783" s="25"/>
      <c r="AS783" s="25"/>
      <c r="AT783" s="25"/>
      <c r="AU783" s="25"/>
      <c r="AV783" s="43"/>
      <c r="AW783" s="43"/>
      <c r="AX783" s="114" t="s">
        <v>76</v>
      </c>
      <c r="AY783" s="43"/>
      <c r="AZ783" s="43"/>
      <c r="BA783" s="43"/>
      <c r="BB783" s="43"/>
    </row>
    <row r="784" spans="2:54" ht="12.75" customHeight="1">
      <c r="B784" s="320"/>
      <c r="C784" s="134"/>
      <c r="D784" s="98"/>
      <c r="E784" s="504"/>
      <c r="F784" s="306"/>
      <c r="G784" s="265"/>
      <c r="H784" s="266"/>
      <c r="I784" s="297"/>
      <c r="J784" s="298"/>
      <c r="K784" s="298"/>
      <c r="L784" s="298"/>
      <c r="M784" s="41"/>
      <c r="N784" s="21"/>
      <c r="O784" s="21"/>
      <c r="P784" s="21"/>
      <c r="Q784" s="326"/>
      <c r="R784" s="40"/>
      <c r="S784" s="84"/>
      <c r="T784" s="40"/>
      <c r="U784" s="42"/>
      <c r="V784" s="78"/>
      <c r="Z784" s="181"/>
      <c r="AA784" s="183"/>
      <c r="AC784" s="26"/>
      <c r="AD784" s="279"/>
      <c r="AE784" s="26"/>
      <c r="AF784" s="26"/>
      <c r="AG784" s="278" t="str">
        <f t="shared" si="120"/>
        <v/>
      </c>
      <c r="AH784" s="278" t="str">
        <f t="shared" si="121"/>
        <v/>
      </c>
      <c r="AJ784" s="25"/>
      <c r="AK784" s="25"/>
      <c r="AL784" s="25"/>
      <c r="AM784" s="25"/>
      <c r="AN784" s="25"/>
      <c r="AO784" s="25"/>
      <c r="AP784" s="25"/>
      <c r="AQ784" s="25"/>
      <c r="AR784" s="25"/>
      <c r="AS784" s="25"/>
      <c r="AT784" s="25"/>
      <c r="AU784" s="25"/>
      <c r="AV784" s="43"/>
      <c r="AW784" s="43"/>
      <c r="AX784" s="114" t="s">
        <v>76</v>
      </c>
      <c r="AY784" s="43"/>
      <c r="AZ784" s="43"/>
      <c r="BA784" s="43"/>
      <c r="BB784" s="43"/>
    </row>
    <row r="785" spans="2:54" ht="12.75" customHeight="1">
      <c r="B785" s="320"/>
      <c r="C785" s="134"/>
      <c r="D785" s="98"/>
      <c r="E785" s="504"/>
      <c r="F785" s="306"/>
      <c r="G785" s="265"/>
      <c r="H785" s="266"/>
      <c r="I785" s="297"/>
      <c r="J785" s="298"/>
      <c r="K785" s="298"/>
      <c r="L785" s="298"/>
      <c r="M785" s="41"/>
      <c r="N785" s="21"/>
      <c r="O785" s="21"/>
      <c r="P785" s="21"/>
      <c r="Q785" s="326"/>
      <c r="R785" s="40"/>
      <c r="S785" s="84"/>
      <c r="T785" s="40"/>
      <c r="U785" s="42"/>
      <c r="V785" s="78"/>
      <c r="Z785" s="181"/>
      <c r="AA785" s="183"/>
      <c r="AC785" s="26"/>
      <c r="AD785" s="279"/>
      <c r="AE785" s="26"/>
      <c r="AF785" s="26"/>
      <c r="AG785" s="278" t="str">
        <f t="shared" si="120"/>
        <v/>
      </c>
      <c r="AH785" s="278" t="str">
        <f t="shared" si="121"/>
        <v/>
      </c>
      <c r="AJ785" s="25"/>
      <c r="AK785" s="25"/>
      <c r="AL785" s="25"/>
      <c r="AM785" s="25"/>
      <c r="AN785" s="25"/>
      <c r="AO785" s="25"/>
      <c r="AP785" s="25"/>
      <c r="AQ785" s="25"/>
      <c r="AR785" s="25"/>
      <c r="AS785" s="25"/>
      <c r="AT785" s="25"/>
      <c r="AU785" s="25"/>
      <c r="AV785" s="43"/>
      <c r="AW785" s="43"/>
      <c r="AX785" s="114" t="s">
        <v>76</v>
      </c>
      <c r="AY785" s="43"/>
      <c r="AZ785" s="43"/>
      <c r="BA785" s="43"/>
      <c r="BB785" s="43"/>
    </row>
    <row r="786" spans="2:54" ht="12.75" customHeight="1">
      <c r="B786" s="320"/>
      <c r="C786" s="134"/>
      <c r="D786" s="98"/>
      <c r="E786" s="504"/>
      <c r="F786" s="306"/>
      <c r="G786" s="265"/>
      <c r="H786" s="266"/>
      <c r="I786" s="297"/>
      <c r="J786" s="298"/>
      <c r="K786" s="298"/>
      <c r="L786" s="298"/>
      <c r="M786" s="41"/>
      <c r="N786" s="21"/>
      <c r="O786" s="21"/>
      <c r="P786" s="21"/>
      <c r="Q786" s="326"/>
      <c r="R786" s="40"/>
      <c r="S786" s="84"/>
      <c r="T786" s="40"/>
      <c r="U786" s="42"/>
      <c r="V786" s="78"/>
      <c r="Z786" s="181"/>
      <c r="AA786" s="183"/>
      <c r="AC786" s="26"/>
      <c r="AD786" s="279"/>
      <c r="AE786" s="26"/>
      <c r="AF786" s="26"/>
      <c r="AG786" s="278" t="str">
        <f t="shared" si="120"/>
        <v/>
      </c>
      <c r="AH786" s="278" t="str">
        <f t="shared" si="121"/>
        <v/>
      </c>
      <c r="AJ786" s="25"/>
      <c r="AK786" s="25"/>
      <c r="AL786" s="25"/>
      <c r="AM786" s="25"/>
      <c r="AN786" s="25"/>
      <c r="AO786" s="25"/>
      <c r="AP786" s="25"/>
      <c r="AQ786" s="25"/>
      <c r="AR786" s="25"/>
      <c r="AS786" s="25"/>
      <c r="AT786" s="25"/>
      <c r="AU786" s="25"/>
      <c r="AV786" s="43"/>
      <c r="AW786" s="43"/>
      <c r="AX786" s="114" t="s">
        <v>76</v>
      </c>
      <c r="AY786" s="43"/>
      <c r="AZ786" s="43"/>
      <c r="BA786" s="43"/>
      <c r="BB786" s="43"/>
    </row>
    <row r="787" spans="2:54" ht="12.75" customHeight="1">
      <c r="B787" s="320"/>
      <c r="C787" s="134"/>
      <c r="D787" s="98"/>
      <c r="E787" s="504"/>
      <c r="F787" s="306"/>
      <c r="G787" s="265"/>
      <c r="H787" s="266"/>
      <c r="I787" s="297"/>
      <c r="J787" s="298"/>
      <c r="K787" s="298"/>
      <c r="L787" s="298"/>
      <c r="M787" s="41"/>
      <c r="N787" s="21"/>
      <c r="O787" s="21"/>
      <c r="P787" s="21"/>
      <c r="Q787" s="326"/>
      <c r="R787" s="40"/>
      <c r="S787" s="84"/>
      <c r="T787" s="40"/>
      <c r="U787" s="42"/>
      <c r="V787" s="78"/>
      <c r="Z787" s="181"/>
      <c r="AA787" s="183"/>
      <c r="AC787" s="26"/>
      <c r="AD787" s="279"/>
      <c r="AE787" s="26"/>
      <c r="AF787" s="26"/>
      <c r="AG787" s="278" t="str">
        <f t="shared" si="120"/>
        <v/>
      </c>
      <c r="AH787" s="278" t="str">
        <f t="shared" si="121"/>
        <v/>
      </c>
      <c r="AJ787" s="25"/>
      <c r="AK787" s="25"/>
      <c r="AL787" s="25"/>
      <c r="AM787" s="25"/>
      <c r="AN787" s="25"/>
      <c r="AO787" s="25"/>
      <c r="AP787" s="25"/>
      <c r="AQ787" s="25"/>
      <c r="AR787" s="25"/>
      <c r="AS787" s="25"/>
      <c r="AT787" s="25"/>
      <c r="AU787" s="25"/>
      <c r="AV787" s="43"/>
      <c r="AW787" s="43"/>
      <c r="AX787" s="114" t="s">
        <v>76</v>
      </c>
      <c r="AY787" s="43"/>
      <c r="AZ787" s="43"/>
      <c r="BA787" s="43"/>
      <c r="BB787" s="43"/>
    </row>
    <row r="788" spans="2:54" ht="12.75" customHeight="1">
      <c r="B788" s="320"/>
      <c r="C788" s="134"/>
      <c r="D788" s="98"/>
      <c r="E788" s="504"/>
      <c r="F788" s="306"/>
      <c r="G788" s="265"/>
      <c r="H788" s="266"/>
      <c r="I788" s="297"/>
      <c r="J788" s="298"/>
      <c r="K788" s="298"/>
      <c r="L788" s="298"/>
      <c r="M788" s="41"/>
      <c r="N788" s="21"/>
      <c r="O788" s="21"/>
      <c r="P788" s="21"/>
      <c r="Q788" s="326"/>
      <c r="R788" s="40"/>
      <c r="S788" s="84"/>
      <c r="T788" s="40"/>
      <c r="U788" s="42"/>
      <c r="V788" s="78"/>
      <c r="Z788" s="181"/>
      <c r="AA788" s="183"/>
      <c r="AC788" s="26"/>
      <c r="AD788" s="279"/>
      <c r="AE788" s="26"/>
      <c r="AF788" s="26"/>
      <c r="AG788" s="278" t="str">
        <f t="shared" si="120"/>
        <v/>
      </c>
      <c r="AH788" s="278" t="str">
        <f t="shared" si="121"/>
        <v/>
      </c>
      <c r="AJ788" s="25"/>
      <c r="AK788" s="25"/>
      <c r="AL788" s="25"/>
      <c r="AM788" s="25"/>
      <c r="AN788" s="25"/>
      <c r="AO788" s="25"/>
      <c r="AP788" s="25"/>
      <c r="AQ788" s="25"/>
      <c r="AR788" s="25"/>
      <c r="AS788" s="25"/>
      <c r="AT788" s="25"/>
      <c r="AU788" s="25"/>
      <c r="AV788" s="43"/>
      <c r="AW788" s="43"/>
      <c r="AX788" s="114" t="s">
        <v>76</v>
      </c>
      <c r="AY788" s="43"/>
      <c r="AZ788" s="43"/>
      <c r="BA788" s="43"/>
      <c r="BB788" s="43"/>
    </row>
    <row r="789" spans="2:54" ht="12.75" customHeight="1">
      <c r="B789" s="320"/>
      <c r="C789" s="134"/>
      <c r="D789" s="98"/>
      <c r="E789" s="504"/>
      <c r="F789" s="306"/>
      <c r="G789" s="265"/>
      <c r="H789" s="266"/>
      <c r="I789" s="297"/>
      <c r="J789" s="298"/>
      <c r="K789" s="298"/>
      <c r="L789" s="298"/>
      <c r="M789" s="41"/>
      <c r="N789" s="21"/>
      <c r="O789" s="21"/>
      <c r="P789" s="21"/>
      <c r="Q789" s="326"/>
      <c r="R789" s="40"/>
      <c r="S789" s="84"/>
      <c r="T789" s="40"/>
      <c r="U789" s="42"/>
      <c r="V789" s="78"/>
      <c r="Z789" s="181"/>
      <c r="AA789" s="183"/>
      <c r="AC789" s="26"/>
      <c r="AD789" s="279"/>
      <c r="AE789" s="26"/>
      <c r="AF789" s="26"/>
      <c r="AG789" s="278" t="str">
        <f t="shared" si="120"/>
        <v/>
      </c>
      <c r="AH789" s="278" t="str">
        <f t="shared" si="121"/>
        <v/>
      </c>
      <c r="AJ789" s="25"/>
      <c r="AK789" s="25"/>
      <c r="AL789" s="25"/>
      <c r="AM789" s="25"/>
      <c r="AN789" s="25"/>
      <c r="AO789" s="25"/>
      <c r="AP789" s="25"/>
      <c r="AQ789" s="25"/>
      <c r="AR789" s="25"/>
      <c r="AS789" s="25"/>
      <c r="AT789" s="25"/>
      <c r="AU789" s="25"/>
      <c r="AV789" s="43"/>
      <c r="AW789" s="43"/>
      <c r="AX789" s="114" t="s">
        <v>76</v>
      </c>
      <c r="AY789" s="43"/>
      <c r="AZ789" s="43"/>
      <c r="BA789" s="43"/>
      <c r="BB789" s="43"/>
    </row>
    <row r="790" spans="2:54" ht="12.75" customHeight="1">
      <c r="B790" s="320"/>
      <c r="C790" s="134"/>
      <c r="D790" s="98"/>
      <c r="E790" s="504"/>
      <c r="F790" s="306"/>
      <c r="G790" s="265"/>
      <c r="H790" s="266"/>
      <c r="I790" s="297"/>
      <c r="J790" s="298"/>
      <c r="K790" s="298"/>
      <c r="L790" s="298"/>
      <c r="M790" s="41"/>
      <c r="N790" s="21"/>
      <c r="O790" s="21"/>
      <c r="P790" s="21"/>
      <c r="Q790" s="326"/>
      <c r="R790" s="40"/>
      <c r="S790" s="84"/>
      <c r="T790" s="40"/>
      <c r="U790" s="42"/>
      <c r="V790" s="78"/>
      <c r="Z790" s="181"/>
      <c r="AA790" s="183"/>
      <c r="AC790" s="26"/>
      <c r="AD790" s="279"/>
      <c r="AE790" s="26"/>
      <c r="AF790" s="26"/>
      <c r="AG790" s="278" t="str">
        <f t="shared" si="120"/>
        <v/>
      </c>
      <c r="AH790" s="278" t="str">
        <f t="shared" si="121"/>
        <v/>
      </c>
      <c r="AJ790" s="25"/>
      <c r="AK790" s="25"/>
      <c r="AL790" s="25"/>
      <c r="AM790" s="25"/>
      <c r="AN790" s="25"/>
      <c r="AO790" s="25"/>
      <c r="AP790" s="25"/>
      <c r="AQ790" s="25"/>
      <c r="AR790" s="25"/>
      <c r="AS790" s="25"/>
      <c r="AT790" s="25"/>
      <c r="AU790" s="25"/>
      <c r="AV790" s="43"/>
      <c r="AW790" s="43"/>
      <c r="AX790" s="114" t="s">
        <v>76</v>
      </c>
      <c r="AY790" s="43"/>
      <c r="AZ790" s="43"/>
      <c r="BA790" s="43"/>
      <c r="BB790" s="43"/>
    </row>
    <row r="791" spans="2:54" ht="12.75" customHeight="1">
      <c r="B791" s="320"/>
      <c r="C791" s="134"/>
      <c r="D791" s="98"/>
      <c r="E791" s="504"/>
      <c r="F791" s="306"/>
      <c r="G791" s="265"/>
      <c r="H791" s="266"/>
      <c r="I791" s="297"/>
      <c r="J791" s="298"/>
      <c r="K791" s="298"/>
      <c r="L791" s="298"/>
      <c r="M791" s="41"/>
      <c r="N791" s="21"/>
      <c r="O791" s="21"/>
      <c r="P791" s="21"/>
      <c r="Q791" s="326"/>
      <c r="R791" s="40"/>
      <c r="S791" s="84"/>
      <c r="T791" s="40"/>
      <c r="U791" s="42"/>
      <c r="V791" s="78"/>
      <c r="Z791" s="181"/>
      <c r="AA791" s="183"/>
      <c r="AC791" s="26"/>
      <c r="AD791" s="279"/>
      <c r="AE791" s="26"/>
      <c r="AF791" s="26"/>
      <c r="AG791" s="278" t="str">
        <f t="shared" si="120"/>
        <v/>
      </c>
      <c r="AH791" s="278" t="str">
        <f t="shared" si="121"/>
        <v/>
      </c>
      <c r="AJ791" s="25"/>
      <c r="AK791" s="25"/>
      <c r="AL791" s="25"/>
      <c r="AM791" s="25"/>
      <c r="AN791" s="25"/>
      <c r="AO791" s="25"/>
      <c r="AP791" s="25"/>
      <c r="AQ791" s="25"/>
      <c r="AR791" s="25"/>
      <c r="AS791" s="25"/>
      <c r="AT791" s="25"/>
      <c r="AU791" s="25"/>
      <c r="AV791" s="43"/>
      <c r="AW791" s="43"/>
      <c r="AX791" s="114" t="s">
        <v>76</v>
      </c>
      <c r="AY791" s="43"/>
      <c r="AZ791" s="43"/>
      <c r="BA791" s="43"/>
      <c r="BB791" s="43"/>
    </row>
    <row r="792" spans="2:54" ht="12.75" customHeight="1">
      <c r="B792" s="320"/>
      <c r="C792" s="134"/>
      <c r="D792" s="98"/>
      <c r="E792" s="504"/>
      <c r="F792" s="306"/>
      <c r="G792" s="265"/>
      <c r="H792" s="266"/>
      <c r="I792" s="297"/>
      <c r="J792" s="298"/>
      <c r="K792" s="298"/>
      <c r="L792" s="298"/>
      <c r="M792" s="41"/>
      <c r="N792" s="21"/>
      <c r="O792" s="21"/>
      <c r="P792" s="21"/>
      <c r="Q792" s="326"/>
      <c r="R792" s="40"/>
      <c r="S792" s="84"/>
      <c r="T792" s="40"/>
      <c r="U792" s="42"/>
      <c r="V792" s="78"/>
      <c r="Z792" s="181"/>
      <c r="AA792" s="183"/>
      <c r="AC792" s="26"/>
      <c r="AD792" s="279"/>
      <c r="AE792" s="26"/>
      <c r="AF792" s="26"/>
      <c r="AG792" s="278" t="str">
        <f t="shared" si="120"/>
        <v/>
      </c>
      <c r="AH792" s="278" t="str">
        <f t="shared" si="121"/>
        <v/>
      </c>
      <c r="AJ792" s="25"/>
      <c r="AK792" s="25"/>
      <c r="AL792" s="25"/>
      <c r="AM792" s="25"/>
      <c r="AN792" s="25"/>
      <c r="AO792" s="25"/>
      <c r="AP792" s="25"/>
      <c r="AQ792" s="25"/>
      <c r="AR792" s="25"/>
      <c r="AS792" s="25"/>
      <c r="AT792" s="25"/>
      <c r="AU792" s="25"/>
      <c r="AV792" s="43"/>
      <c r="AW792" s="43"/>
      <c r="AX792" s="114" t="s">
        <v>76</v>
      </c>
      <c r="AY792" s="43"/>
      <c r="AZ792" s="43"/>
      <c r="BA792" s="43"/>
      <c r="BB792" s="43"/>
    </row>
    <row r="793" spans="2:54" ht="12.75" customHeight="1">
      <c r="B793" s="320"/>
      <c r="C793" s="134"/>
      <c r="D793" s="98"/>
      <c r="E793" s="504"/>
      <c r="F793" s="306"/>
      <c r="G793" s="265"/>
      <c r="H793" s="266"/>
      <c r="I793" s="297"/>
      <c r="J793" s="298"/>
      <c r="K793" s="298"/>
      <c r="L793" s="298"/>
      <c r="M793" s="41"/>
      <c r="N793" s="21"/>
      <c r="O793" s="21"/>
      <c r="P793" s="21"/>
      <c r="Q793" s="326"/>
      <c r="R793" s="40"/>
      <c r="S793" s="84"/>
      <c r="T793" s="40"/>
      <c r="U793" s="42"/>
      <c r="V793" s="78"/>
      <c r="Z793" s="181"/>
      <c r="AA793" s="183"/>
      <c r="AC793" s="26"/>
      <c r="AD793" s="279"/>
      <c r="AE793" s="26"/>
      <c r="AF793" s="26"/>
      <c r="AG793" s="278" t="str">
        <f t="shared" si="120"/>
        <v/>
      </c>
      <c r="AH793" s="278" t="str">
        <f t="shared" si="121"/>
        <v/>
      </c>
      <c r="AJ793" s="25"/>
      <c r="AK793" s="25"/>
      <c r="AL793" s="25"/>
      <c r="AM793" s="25"/>
      <c r="AN793" s="25"/>
      <c r="AO793" s="25"/>
      <c r="AP793" s="25"/>
      <c r="AQ793" s="25"/>
      <c r="AR793" s="25"/>
      <c r="AS793" s="25"/>
      <c r="AT793" s="25"/>
      <c r="AU793" s="25"/>
      <c r="AV793" s="43"/>
      <c r="AW793" s="43"/>
      <c r="AX793" s="114" t="s">
        <v>76</v>
      </c>
      <c r="AY793" s="43"/>
      <c r="AZ793" s="43"/>
      <c r="BA793" s="43"/>
      <c r="BB793" s="43"/>
    </row>
    <row r="794" spans="2:54" ht="12.75" customHeight="1">
      <c r="B794" s="320"/>
      <c r="C794" s="134"/>
      <c r="D794" s="98"/>
      <c r="E794" s="504"/>
      <c r="F794" s="306"/>
      <c r="G794" s="265"/>
      <c r="H794" s="266"/>
      <c r="I794" s="297"/>
      <c r="J794" s="298"/>
      <c r="K794" s="298"/>
      <c r="L794" s="298"/>
      <c r="M794" s="41"/>
      <c r="N794" s="21"/>
      <c r="O794" s="21"/>
      <c r="P794" s="21"/>
      <c r="Q794" s="326"/>
      <c r="R794" s="40"/>
      <c r="S794" s="84"/>
      <c r="T794" s="40"/>
      <c r="U794" s="42"/>
      <c r="V794" s="78"/>
      <c r="Z794" s="181"/>
      <c r="AA794" s="183"/>
      <c r="AC794" s="26"/>
      <c r="AD794" s="279"/>
      <c r="AE794" s="26"/>
      <c r="AF794" s="26"/>
      <c r="AG794" s="278" t="str">
        <f t="shared" si="120"/>
        <v/>
      </c>
      <c r="AH794" s="278" t="str">
        <f t="shared" si="121"/>
        <v/>
      </c>
      <c r="AJ794" s="25"/>
      <c r="AK794" s="25"/>
      <c r="AL794" s="25"/>
      <c r="AM794" s="25"/>
      <c r="AN794" s="25"/>
      <c r="AO794" s="25"/>
      <c r="AP794" s="25"/>
      <c r="AQ794" s="25"/>
      <c r="AR794" s="25"/>
      <c r="AS794" s="25"/>
      <c r="AT794" s="25"/>
      <c r="AU794" s="25"/>
      <c r="AV794" s="43"/>
      <c r="AW794" s="43"/>
      <c r="AX794" s="114" t="s">
        <v>76</v>
      </c>
      <c r="AY794" s="43"/>
      <c r="AZ794" s="43"/>
      <c r="BA794" s="43"/>
      <c r="BB794" s="43"/>
    </row>
    <row r="795" spans="2:54" ht="12.75" customHeight="1">
      <c r="B795" s="320"/>
      <c r="C795" s="134"/>
      <c r="D795" s="98"/>
      <c r="E795" s="504"/>
      <c r="F795" s="306"/>
      <c r="G795" s="265"/>
      <c r="H795" s="266"/>
      <c r="I795" s="297"/>
      <c r="J795" s="298"/>
      <c r="K795" s="298"/>
      <c r="L795" s="298"/>
      <c r="M795" s="41"/>
      <c r="N795" s="21"/>
      <c r="O795" s="21"/>
      <c r="P795" s="21"/>
      <c r="Q795" s="326"/>
      <c r="R795" s="40"/>
      <c r="S795" s="84"/>
      <c r="T795" s="40"/>
      <c r="U795" s="42"/>
      <c r="V795" s="78"/>
      <c r="Z795" s="181"/>
      <c r="AA795" s="183"/>
      <c r="AC795" s="26"/>
      <c r="AD795" s="279"/>
      <c r="AE795" s="26"/>
      <c r="AF795" s="26"/>
      <c r="AG795" s="278" t="str">
        <f t="shared" si="120"/>
        <v/>
      </c>
      <c r="AH795" s="278" t="str">
        <f t="shared" si="121"/>
        <v/>
      </c>
      <c r="AJ795" s="25"/>
      <c r="AK795" s="25"/>
      <c r="AL795" s="25"/>
      <c r="AM795" s="25"/>
      <c r="AN795" s="25"/>
      <c r="AO795" s="25"/>
      <c r="AP795" s="25"/>
      <c r="AQ795" s="25"/>
      <c r="AR795" s="25"/>
      <c r="AS795" s="25"/>
      <c r="AT795" s="25"/>
      <c r="AU795" s="25"/>
      <c r="AV795" s="43"/>
      <c r="AW795" s="43"/>
      <c r="AX795" s="114" t="s">
        <v>76</v>
      </c>
      <c r="AY795" s="43"/>
      <c r="AZ795" s="43"/>
      <c r="BA795" s="43"/>
      <c r="BB795" s="43"/>
    </row>
    <row r="796" spans="2:54" ht="12.75" customHeight="1">
      <c r="B796" s="320"/>
      <c r="C796" s="134"/>
      <c r="D796" s="98"/>
      <c r="E796" s="504"/>
      <c r="F796" s="306"/>
      <c r="G796" s="265"/>
      <c r="H796" s="266"/>
      <c r="I796" s="297"/>
      <c r="J796" s="298"/>
      <c r="K796" s="298"/>
      <c r="L796" s="298"/>
      <c r="M796" s="41"/>
      <c r="N796" s="21"/>
      <c r="O796" s="21"/>
      <c r="P796" s="21"/>
      <c r="Q796" s="326"/>
      <c r="R796" s="40"/>
      <c r="S796" s="84"/>
      <c r="T796" s="40"/>
      <c r="U796" s="42"/>
      <c r="V796" s="78"/>
      <c r="Z796" s="181"/>
      <c r="AA796" s="183"/>
      <c r="AC796" s="26"/>
      <c r="AD796" s="279"/>
      <c r="AE796" s="26"/>
      <c r="AF796" s="26"/>
      <c r="AG796" s="278" t="str">
        <f t="shared" si="120"/>
        <v/>
      </c>
      <c r="AH796" s="278" t="str">
        <f t="shared" si="121"/>
        <v/>
      </c>
      <c r="AJ796" s="25"/>
      <c r="AK796" s="25"/>
      <c r="AL796" s="25"/>
      <c r="AM796" s="25"/>
      <c r="AN796" s="25"/>
      <c r="AO796" s="25"/>
      <c r="AP796" s="25"/>
      <c r="AQ796" s="25"/>
      <c r="AR796" s="25"/>
      <c r="AS796" s="25"/>
      <c r="AT796" s="25"/>
      <c r="AU796" s="25"/>
      <c r="AV796" s="43"/>
      <c r="AW796" s="43"/>
      <c r="AX796" s="114" t="s">
        <v>76</v>
      </c>
      <c r="AY796" s="43"/>
      <c r="AZ796" s="43"/>
      <c r="BA796" s="43"/>
      <c r="BB796" s="43"/>
    </row>
    <row r="797" spans="2:54" ht="12.75" customHeight="1">
      <c r="B797" s="320"/>
      <c r="C797" s="134"/>
      <c r="D797" s="98"/>
      <c r="E797" s="504"/>
      <c r="F797" s="306"/>
      <c r="G797" s="265"/>
      <c r="H797" s="266"/>
      <c r="I797" s="297"/>
      <c r="J797" s="298"/>
      <c r="K797" s="298"/>
      <c r="L797" s="298"/>
      <c r="M797" s="41"/>
      <c r="N797" s="21"/>
      <c r="O797" s="21"/>
      <c r="P797" s="21"/>
      <c r="Q797" s="326"/>
      <c r="R797" s="40"/>
      <c r="S797" s="84"/>
      <c r="T797" s="40"/>
      <c r="U797" s="42"/>
      <c r="V797" s="78"/>
      <c r="Z797" s="181"/>
      <c r="AA797" s="183"/>
      <c r="AC797" s="26"/>
      <c r="AD797" s="279"/>
      <c r="AE797" s="26"/>
      <c r="AF797" s="26"/>
      <c r="AG797" s="278" t="str">
        <f t="shared" si="120"/>
        <v/>
      </c>
      <c r="AH797" s="278" t="str">
        <f t="shared" si="121"/>
        <v/>
      </c>
      <c r="AJ797" s="25"/>
      <c r="AK797" s="25"/>
      <c r="AL797" s="25"/>
      <c r="AM797" s="25"/>
      <c r="AN797" s="25"/>
      <c r="AO797" s="25"/>
      <c r="AP797" s="25"/>
      <c r="AQ797" s="25"/>
      <c r="AR797" s="25"/>
      <c r="AS797" s="25"/>
      <c r="AT797" s="25"/>
      <c r="AU797" s="25"/>
      <c r="AV797" s="43"/>
      <c r="AW797" s="43"/>
      <c r="AX797" s="114" t="s">
        <v>76</v>
      </c>
      <c r="AY797" s="43"/>
      <c r="AZ797" s="43"/>
      <c r="BA797" s="43"/>
      <c r="BB797" s="43"/>
    </row>
    <row r="798" spans="2:54" ht="12.75" customHeight="1">
      <c r="B798" s="320"/>
      <c r="C798" s="134"/>
      <c r="D798" s="98"/>
      <c r="E798" s="504"/>
      <c r="F798" s="306"/>
      <c r="G798" s="265"/>
      <c r="H798" s="266"/>
      <c r="I798" s="297"/>
      <c r="J798" s="298"/>
      <c r="K798" s="298"/>
      <c r="L798" s="298"/>
      <c r="M798" s="41"/>
      <c r="N798" s="21"/>
      <c r="O798" s="21"/>
      <c r="P798" s="21"/>
      <c r="Q798" s="326"/>
      <c r="R798" s="40"/>
      <c r="S798" s="84"/>
      <c r="T798" s="40"/>
      <c r="U798" s="42"/>
      <c r="V798" s="78"/>
      <c r="Z798" s="181"/>
      <c r="AA798" s="183"/>
      <c r="AC798" s="26"/>
      <c r="AD798" s="279"/>
      <c r="AE798" s="26"/>
      <c r="AF798" s="26"/>
      <c r="AG798" s="278" t="str">
        <f t="shared" si="120"/>
        <v/>
      </c>
      <c r="AH798" s="278" t="str">
        <f t="shared" si="121"/>
        <v/>
      </c>
      <c r="AJ798" s="25"/>
      <c r="AK798" s="25"/>
      <c r="AL798" s="25"/>
      <c r="AM798" s="25"/>
      <c r="AN798" s="25"/>
      <c r="AO798" s="25"/>
      <c r="AP798" s="25"/>
      <c r="AQ798" s="25"/>
      <c r="AR798" s="25"/>
      <c r="AS798" s="25"/>
      <c r="AT798" s="25"/>
      <c r="AU798" s="25"/>
      <c r="AV798" s="43"/>
      <c r="AW798" s="43"/>
      <c r="AX798" s="114" t="s">
        <v>76</v>
      </c>
      <c r="AY798" s="43"/>
      <c r="AZ798" s="43"/>
      <c r="BA798" s="43"/>
      <c r="BB798" s="43"/>
    </row>
    <row r="799" spans="2:54" ht="12.75" customHeight="1">
      <c r="B799" s="320"/>
      <c r="C799" s="134"/>
      <c r="D799" s="98"/>
      <c r="E799" s="504"/>
      <c r="F799" s="306"/>
      <c r="G799" s="265"/>
      <c r="H799" s="266"/>
      <c r="I799" s="297"/>
      <c r="J799" s="298"/>
      <c r="K799" s="298"/>
      <c r="L799" s="298"/>
      <c r="M799" s="41"/>
      <c r="N799" s="21"/>
      <c r="O799" s="21"/>
      <c r="P799" s="21"/>
      <c r="Q799" s="326"/>
      <c r="R799" s="40"/>
      <c r="S799" s="84"/>
      <c r="T799" s="40"/>
      <c r="U799" s="42"/>
      <c r="V799" s="78"/>
      <c r="Z799" s="181"/>
      <c r="AA799" s="183"/>
      <c r="AC799" s="26"/>
      <c r="AD799" s="279"/>
      <c r="AE799" s="26"/>
      <c r="AF799" s="26"/>
      <c r="AG799" s="278" t="str">
        <f t="shared" si="120"/>
        <v/>
      </c>
      <c r="AH799" s="278" t="str">
        <f t="shared" si="121"/>
        <v/>
      </c>
      <c r="AJ799" s="25"/>
      <c r="AK799" s="25"/>
      <c r="AL799" s="25"/>
      <c r="AM799" s="25"/>
      <c r="AN799" s="25"/>
      <c r="AO799" s="25"/>
      <c r="AP799" s="25"/>
      <c r="AQ799" s="25"/>
      <c r="AR799" s="25"/>
      <c r="AS799" s="25"/>
      <c r="AT799" s="25"/>
      <c r="AU799" s="25"/>
      <c r="AV799" s="43"/>
      <c r="AW799" s="43"/>
      <c r="AX799" s="114" t="s">
        <v>76</v>
      </c>
      <c r="AY799" s="43"/>
      <c r="AZ799" s="43"/>
      <c r="BA799" s="43"/>
      <c r="BB799" s="43"/>
    </row>
    <row r="800" spans="2:54" ht="12.75" customHeight="1">
      <c r="B800" s="320"/>
      <c r="C800" s="134"/>
      <c r="D800" s="98"/>
      <c r="E800" s="504"/>
      <c r="F800" s="306"/>
      <c r="G800" s="265"/>
      <c r="H800" s="266"/>
      <c r="I800" s="297"/>
      <c r="J800" s="298"/>
      <c r="K800" s="298"/>
      <c r="L800" s="298"/>
      <c r="M800" s="41"/>
      <c r="N800" s="21"/>
      <c r="O800" s="21"/>
      <c r="P800" s="21"/>
      <c r="Q800" s="326"/>
      <c r="R800" s="40"/>
      <c r="S800" s="84"/>
      <c r="T800" s="40"/>
      <c r="U800" s="42"/>
      <c r="V800" s="78"/>
      <c r="Z800" s="181"/>
      <c r="AA800" s="183"/>
      <c r="AC800" s="26"/>
      <c r="AD800" s="279"/>
      <c r="AE800" s="26"/>
      <c r="AF800" s="26"/>
      <c r="AG800" s="278" t="str">
        <f t="shared" si="120"/>
        <v/>
      </c>
      <c r="AH800" s="278" t="str">
        <f t="shared" si="121"/>
        <v/>
      </c>
      <c r="AJ800" s="25"/>
      <c r="AK800" s="25"/>
      <c r="AL800" s="25"/>
      <c r="AM800" s="25"/>
      <c r="AN800" s="25"/>
      <c r="AO800" s="25"/>
      <c r="AP800" s="25"/>
      <c r="AQ800" s="25"/>
      <c r="AR800" s="25"/>
      <c r="AS800" s="25"/>
      <c r="AT800" s="25"/>
      <c r="AU800" s="25"/>
      <c r="AV800" s="43"/>
      <c r="AW800" s="43"/>
      <c r="AX800" s="114" t="s">
        <v>76</v>
      </c>
      <c r="AY800" s="43"/>
      <c r="AZ800" s="43"/>
      <c r="BA800" s="43"/>
      <c r="BB800" s="43"/>
    </row>
    <row r="801" spans="2:54" ht="12.75" customHeight="1">
      <c r="B801" s="320"/>
      <c r="C801" s="134"/>
      <c r="D801" s="98"/>
      <c r="E801" s="504"/>
      <c r="F801" s="306"/>
      <c r="G801" s="265"/>
      <c r="H801" s="266"/>
      <c r="I801" s="297"/>
      <c r="J801" s="298"/>
      <c r="K801" s="298"/>
      <c r="L801" s="298"/>
      <c r="M801" s="41"/>
      <c r="N801" s="21"/>
      <c r="O801" s="21"/>
      <c r="P801" s="21"/>
      <c r="Q801" s="326"/>
      <c r="R801" s="40"/>
      <c r="S801" s="84"/>
      <c r="T801" s="40"/>
      <c r="U801" s="42"/>
      <c r="V801" s="78"/>
      <c r="Z801" s="181"/>
      <c r="AA801" s="183"/>
      <c r="AC801" s="26"/>
      <c r="AD801" s="279"/>
      <c r="AE801" s="26"/>
      <c r="AF801" s="26"/>
      <c r="AG801" s="278" t="str">
        <f t="shared" si="120"/>
        <v/>
      </c>
      <c r="AH801" s="278" t="str">
        <f t="shared" si="121"/>
        <v/>
      </c>
      <c r="AJ801" s="25"/>
      <c r="AK801" s="25"/>
      <c r="AL801" s="25"/>
      <c r="AM801" s="25"/>
      <c r="AN801" s="25"/>
      <c r="AO801" s="25"/>
      <c r="AP801" s="25"/>
      <c r="AQ801" s="25"/>
      <c r="AR801" s="25"/>
      <c r="AS801" s="25"/>
      <c r="AT801" s="25"/>
      <c r="AU801" s="25"/>
      <c r="AV801" s="43"/>
      <c r="AW801" s="43"/>
      <c r="AX801" s="114" t="s">
        <v>76</v>
      </c>
      <c r="AY801" s="43"/>
      <c r="AZ801" s="43"/>
      <c r="BA801" s="43"/>
      <c r="BB801" s="43"/>
    </row>
    <row r="802" spans="2:54" ht="12.75" customHeight="1">
      <c r="B802" s="320"/>
      <c r="C802" s="134"/>
      <c r="D802" s="98"/>
      <c r="E802" s="504"/>
      <c r="F802" s="306"/>
      <c r="G802" s="265"/>
      <c r="H802" s="266"/>
      <c r="I802" s="297"/>
      <c r="J802" s="298"/>
      <c r="K802" s="298"/>
      <c r="L802" s="298"/>
      <c r="M802" s="41"/>
      <c r="N802" s="21"/>
      <c r="O802" s="21"/>
      <c r="P802" s="21"/>
      <c r="Q802" s="326"/>
      <c r="R802" s="40"/>
      <c r="S802" s="84"/>
      <c r="T802" s="40"/>
      <c r="U802" s="42"/>
      <c r="V802" s="78"/>
      <c r="Z802" s="181"/>
      <c r="AA802" s="183"/>
      <c r="AC802" s="26"/>
      <c r="AD802" s="279"/>
      <c r="AE802" s="26"/>
      <c r="AF802" s="26"/>
      <c r="AG802" s="278" t="str">
        <f t="shared" si="120"/>
        <v/>
      </c>
      <c r="AH802" s="278" t="str">
        <f t="shared" si="121"/>
        <v/>
      </c>
      <c r="AJ802" s="25"/>
      <c r="AK802" s="25"/>
      <c r="AL802" s="25"/>
      <c r="AM802" s="25"/>
      <c r="AN802" s="25"/>
      <c r="AO802" s="25"/>
      <c r="AP802" s="25"/>
      <c r="AQ802" s="25"/>
      <c r="AR802" s="25"/>
      <c r="AS802" s="25"/>
      <c r="AT802" s="25"/>
      <c r="AU802" s="25"/>
      <c r="AV802" s="43"/>
      <c r="AW802" s="43"/>
      <c r="AX802" s="114" t="s">
        <v>76</v>
      </c>
      <c r="AY802" s="43"/>
      <c r="AZ802" s="43"/>
      <c r="BA802" s="43"/>
      <c r="BB802" s="43"/>
    </row>
    <row r="803" spans="2:54" ht="12.75" customHeight="1">
      <c r="B803" s="320"/>
      <c r="C803" s="134"/>
      <c r="D803" s="98"/>
      <c r="E803" s="504"/>
      <c r="F803" s="306"/>
      <c r="G803" s="265"/>
      <c r="H803" s="266"/>
      <c r="I803" s="297"/>
      <c r="J803" s="298"/>
      <c r="K803" s="298"/>
      <c r="L803" s="298"/>
      <c r="M803" s="41"/>
      <c r="N803" s="21"/>
      <c r="O803" s="21"/>
      <c r="P803" s="21"/>
      <c r="Q803" s="326"/>
      <c r="R803" s="40"/>
      <c r="S803" s="84"/>
      <c r="T803" s="40"/>
      <c r="U803" s="42"/>
      <c r="V803" s="78"/>
      <c r="Z803" s="181"/>
      <c r="AA803" s="183"/>
      <c r="AC803" s="26"/>
      <c r="AD803" s="279"/>
      <c r="AE803" s="26"/>
      <c r="AF803" s="26"/>
      <c r="AG803" s="278" t="str">
        <f t="shared" si="120"/>
        <v/>
      </c>
      <c r="AH803" s="278" t="str">
        <f t="shared" si="121"/>
        <v/>
      </c>
      <c r="AJ803" s="25"/>
      <c r="AK803" s="25"/>
      <c r="AL803" s="25"/>
      <c r="AM803" s="25"/>
      <c r="AN803" s="25"/>
      <c r="AO803" s="25"/>
      <c r="AP803" s="25"/>
      <c r="AQ803" s="25"/>
      <c r="AR803" s="25"/>
      <c r="AS803" s="25"/>
      <c r="AT803" s="25"/>
      <c r="AU803" s="25"/>
      <c r="AV803" s="43"/>
      <c r="AW803" s="43"/>
      <c r="AX803" s="114" t="s">
        <v>76</v>
      </c>
      <c r="AY803" s="43"/>
      <c r="AZ803" s="43"/>
      <c r="BA803" s="43"/>
      <c r="BB803" s="43"/>
    </row>
    <row r="804" spans="2:54" ht="12.75" customHeight="1">
      <c r="B804" s="320"/>
      <c r="C804" s="134"/>
      <c r="D804" s="98"/>
      <c r="E804" s="504"/>
      <c r="F804" s="306"/>
      <c r="G804" s="265"/>
      <c r="H804" s="266"/>
      <c r="I804" s="297"/>
      <c r="J804" s="298"/>
      <c r="K804" s="298"/>
      <c r="L804" s="298"/>
      <c r="M804" s="41"/>
      <c r="N804" s="21"/>
      <c r="O804" s="21"/>
      <c r="P804" s="21"/>
      <c r="Q804" s="326"/>
      <c r="R804" s="40"/>
      <c r="S804" s="84"/>
      <c r="T804" s="40"/>
      <c r="U804" s="42"/>
      <c r="V804" s="78"/>
      <c r="Z804" s="181"/>
      <c r="AA804" s="183"/>
      <c r="AC804" s="26"/>
      <c r="AD804" s="279"/>
      <c r="AE804" s="26"/>
      <c r="AF804" s="26"/>
      <c r="AG804" s="278" t="str">
        <f t="shared" si="120"/>
        <v/>
      </c>
      <c r="AH804" s="278" t="str">
        <f t="shared" si="121"/>
        <v/>
      </c>
      <c r="AJ804" s="25"/>
      <c r="AK804" s="25"/>
      <c r="AL804" s="25"/>
      <c r="AM804" s="25"/>
      <c r="AN804" s="25"/>
      <c r="AO804" s="25"/>
      <c r="AP804" s="25"/>
      <c r="AQ804" s="25"/>
      <c r="AR804" s="25"/>
      <c r="AS804" s="25"/>
      <c r="AT804" s="25"/>
      <c r="AU804" s="25"/>
      <c r="AV804" s="43"/>
      <c r="AW804" s="43"/>
      <c r="AX804" s="114" t="s">
        <v>76</v>
      </c>
      <c r="AY804" s="43"/>
      <c r="AZ804" s="43"/>
      <c r="BA804" s="43"/>
      <c r="BB804" s="43"/>
    </row>
    <row r="805" spans="2:54" ht="12.75" customHeight="1">
      <c r="B805" s="320"/>
      <c r="C805" s="134"/>
      <c r="D805" s="98"/>
      <c r="E805" s="504"/>
      <c r="F805" s="306"/>
      <c r="G805" s="265"/>
      <c r="H805" s="266"/>
      <c r="I805" s="297"/>
      <c r="J805" s="298"/>
      <c r="K805" s="298"/>
      <c r="L805" s="298"/>
      <c r="M805" s="41"/>
      <c r="N805" s="21"/>
      <c r="O805" s="21"/>
      <c r="P805" s="21"/>
      <c r="Q805" s="326"/>
      <c r="R805" s="40"/>
      <c r="S805" s="84"/>
      <c r="T805" s="40"/>
      <c r="U805" s="42"/>
      <c r="V805" s="78"/>
      <c r="Z805" s="181"/>
      <c r="AA805" s="183"/>
      <c r="AC805" s="26"/>
      <c r="AD805" s="279"/>
      <c r="AE805" s="26"/>
      <c r="AF805" s="26"/>
      <c r="AG805" s="278" t="str">
        <f t="shared" si="120"/>
        <v/>
      </c>
      <c r="AH805" s="278" t="str">
        <f t="shared" si="121"/>
        <v/>
      </c>
      <c r="AJ805" s="25"/>
      <c r="AK805" s="25"/>
      <c r="AL805" s="25"/>
      <c r="AM805" s="25"/>
      <c r="AN805" s="25"/>
      <c r="AO805" s="25"/>
      <c r="AP805" s="25"/>
      <c r="AQ805" s="25"/>
      <c r="AR805" s="25"/>
      <c r="AS805" s="25"/>
      <c r="AT805" s="25"/>
      <c r="AU805" s="25"/>
      <c r="AV805" s="43"/>
      <c r="AW805" s="43"/>
      <c r="AX805" s="114" t="s">
        <v>76</v>
      </c>
      <c r="AY805" s="43"/>
      <c r="AZ805" s="43"/>
      <c r="BA805" s="43"/>
      <c r="BB805" s="43"/>
    </row>
    <row r="806" spans="2:54" ht="12.75" customHeight="1">
      <c r="B806" s="320"/>
      <c r="C806" s="134"/>
      <c r="D806" s="98"/>
      <c r="E806" s="504"/>
      <c r="F806" s="306"/>
      <c r="G806" s="265"/>
      <c r="H806" s="266"/>
      <c r="I806" s="297"/>
      <c r="J806" s="298"/>
      <c r="K806" s="298"/>
      <c r="L806" s="298"/>
      <c r="M806" s="41"/>
      <c r="N806" s="21"/>
      <c r="O806" s="21"/>
      <c r="P806" s="21"/>
      <c r="Q806" s="326"/>
      <c r="R806" s="40"/>
      <c r="S806" s="84"/>
      <c r="T806" s="40"/>
      <c r="U806" s="42"/>
      <c r="V806" s="78"/>
      <c r="Z806" s="181"/>
      <c r="AA806" s="183"/>
      <c r="AC806" s="26"/>
      <c r="AD806" s="279"/>
      <c r="AE806" s="26"/>
      <c r="AF806" s="26"/>
      <c r="AG806" s="278" t="str">
        <f t="shared" si="120"/>
        <v/>
      </c>
      <c r="AH806" s="278" t="str">
        <f t="shared" si="121"/>
        <v/>
      </c>
      <c r="AJ806" s="25"/>
      <c r="AK806" s="25"/>
      <c r="AL806" s="25"/>
      <c r="AM806" s="25"/>
      <c r="AN806" s="25"/>
      <c r="AO806" s="25"/>
      <c r="AP806" s="25"/>
      <c r="AQ806" s="25"/>
      <c r="AR806" s="25"/>
      <c r="AS806" s="25"/>
      <c r="AT806" s="25"/>
      <c r="AU806" s="25"/>
      <c r="AV806" s="43"/>
      <c r="AW806" s="43"/>
      <c r="AX806" s="114" t="s">
        <v>76</v>
      </c>
      <c r="AY806" s="43"/>
      <c r="AZ806" s="43"/>
      <c r="BA806" s="43"/>
      <c r="BB806" s="43"/>
    </row>
    <row r="807" spans="2:54" ht="12.75" customHeight="1">
      <c r="B807" s="320"/>
      <c r="C807" s="134"/>
      <c r="D807" s="98"/>
      <c r="E807" s="504"/>
      <c r="F807" s="306"/>
      <c r="G807" s="265"/>
      <c r="H807" s="266"/>
      <c r="I807" s="297"/>
      <c r="J807" s="298"/>
      <c r="K807" s="298"/>
      <c r="L807" s="298"/>
      <c r="M807" s="41"/>
      <c r="N807" s="21"/>
      <c r="O807" s="21"/>
      <c r="P807" s="21"/>
      <c r="Q807" s="326"/>
      <c r="R807" s="40"/>
      <c r="S807" s="84"/>
      <c r="T807" s="40"/>
      <c r="U807" s="42"/>
      <c r="V807" s="78"/>
      <c r="Z807" s="181"/>
      <c r="AA807" s="183"/>
      <c r="AC807" s="26"/>
      <c r="AD807" s="279"/>
      <c r="AE807" s="26"/>
      <c r="AF807" s="26"/>
      <c r="AG807" s="278" t="str">
        <f t="shared" si="120"/>
        <v/>
      </c>
      <c r="AH807" s="278" t="str">
        <f t="shared" si="121"/>
        <v/>
      </c>
      <c r="AJ807" s="25"/>
      <c r="AK807" s="25"/>
      <c r="AL807" s="25"/>
      <c r="AM807" s="25"/>
      <c r="AN807" s="25"/>
      <c r="AO807" s="25"/>
      <c r="AP807" s="25"/>
      <c r="AQ807" s="25"/>
      <c r="AR807" s="25"/>
      <c r="AS807" s="25"/>
      <c r="AT807" s="25"/>
      <c r="AU807" s="25"/>
      <c r="AV807" s="43"/>
      <c r="AW807" s="43"/>
      <c r="AX807" s="114" t="s">
        <v>76</v>
      </c>
      <c r="AY807" s="43"/>
      <c r="AZ807" s="43"/>
      <c r="BA807" s="43"/>
      <c r="BB807" s="43"/>
    </row>
    <row r="808" spans="2:54" ht="12.75" customHeight="1">
      <c r="B808" s="320"/>
      <c r="C808" s="134"/>
      <c r="D808" s="98"/>
      <c r="E808" s="504"/>
      <c r="F808" s="306"/>
      <c r="G808" s="265"/>
      <c r="H808" s="266"/>
      <c r="I808" s="297"/>
      <c r="J808" s="298"/>
      <c r="K808" s="298"/>
      <c r="L808" s="298"/>
      <c r="M808" s="41"/>
      <c r="N808" s="21"/>
      <c r="O808" s="21"/>
      <c r="P808" s="21"/>
      <c r="Q808" s="326"/>
      <c r="R808" s="40"/>
      <c r="S808" s="84"/>
      <c r="T808" s="40"/>
      <c r="U808" s="42"/>
      <c r="V808" s="78"/>
      <c r="Z808" s="181"/>
      <c r="AA808" s="183"/>
      <c r="AC808" s="26"/>
      <c r="AD808" s="279"/>
      <c r="AE808" s="26"/>
      <c r="AF808" s="26"/>
      <c r="AG808" s="278" t="str">
        <f t="shared" si="120"/>
        <v/>
      </c>
      <c r="AH808" s="278" t="str">
        <f t="shared" si="121"/>
        <v/>
      </c>
      <c r="AJ808" s="25"/>
      <c r="AK808" s="25"/>
      <c r="AL808" s="25"/>
      <c r="AM808" s="25"/>
      <c r="AN808" s="25"/>
      <c r="AO808" s="25"/>
      <c r="AP808" s="25"/>
      <c r="AQ808" s="25"/>
      <c r="AR808" s="25"/>
      <c r="AS808" s="25"/>
      <c r="AT808" s="25"/>
      <c r="AU808" s="25"/>
      <c r="AV808" s="43"/>
      <c r="AW808" s="43"/>
      <c r="AX808" s="114" t="s">
        <v>76</v>
      </c>
      <c r="AY808" s="43"/>
      <c r="AZ808" s="43"/>
      <c r="BA808" s="43"/>
      <c r="BB808" s="43"/>
    </row>
    <row r="809" spans="2:54" ht="12.75" customHeight="1">
      <c r="B809" s="320"/>
      <c r="C809" s="134"/>
      <c r="D809" s="98"/>
      <c r="E809" s="504"/>
      <c r="F809" s="306"/>
      <c r="G809" s="265"/>
      <c r="H809" s="266"/>
      <c r="I809" s="297"/>
      <c r="J809" s="298"/>
      <c r="K809" s="298"/>
      <c r="L809" s="298"/>
      <c r="M809" s="41"/>
      <c r="N809" s="21"/>
      <c r="O809" s="21"/>
      <c r="P809" s="21"/>
      <c r="Q809" s="326"/>
      <c r="R809" s="40"/>
      <c r="S809" s="84"/>
      <c r="T809" s="40"/>
      <c r="U809" s="42"/>
      <c r="V809" s="78"/>
      <c r="Z809" s="181"/>
      <c r="AA809" s="183"/>
      <c r="AC809" s="26"/>
      <c r="AD809" s="279"/>
      <c r="AE809" s="26"/>
      <c r="AF809" s="26"/>
      <c r="AG809" s="278" t="str">
        <f t="shared" si="120"/>
        <v/>
      </c>
      <c r="AH809" s="278" t="str">
        <f t="shared" si="121"/>
        <v/>
      </c>
      <c r="AJ809" s="25"/>
      <c r="AK809" s="25"/>
      <c r="AL809" s="25"/>
      <c r="AM809" s="25"/>
      <c r="AN809" s="25"/>
      <c r="AO809" s="25"/>
      <c r="AP809" s="25"/>
      <c r="AQ809" s="25"/>
      <c r="AR809" s="25"/>
      <c r="AS809" s="25"/>
      <c r="AT809" s="25"/>
      <c r="AU809" s="25"/>
      <c r="AV809" s="43"/>
      <c r="AW809" s="43"/>
      <c r="AX809" s="114" t="s">
        <v>76</v>
      </c>
      <c r="AY809" s="43"/>
      <c r="AZ809" s="43"/>
      <c r="BA809" s="43"/>
      <c r="BB809" s="43"/>
    </row>
    <row r="810" spans="2:54" ht="12.75" customHeight="1">
      <c r="B810" s="320"/>
      <c r="C810" s="134"/>
      <c r="D810" s="98"/>
      <c r="E810" s="504"/>
      <c r="F810" s="306"/>
      <c r="G810" s="265"/>
      <c r="H810" s="266"/>
      <c r="I810" s="297"/>
      <c r="J810" s="298"/>
      <c r="K810" s="298"/>
      <c r="L810" s="298"/>
      <c r="M810" s="41"/>
      <c r="N810" s="21"/>
      <c r="O810" s="21"/>
      <c r="P810" s="21"/>
      <c r="Q810" s="326"/>
      <c r="R810" s="40"/>
      <c r="S810" s="84"/>
      <c r="T810" s="40"/>
      <c r="U810" s="42"/>
      <c r="V810" s="78"/>
      <c r="Z810" s="181"/>
      <c r="AA810" s="183"/>
      <c r="AC810" s="26"/>
      <c r="AD810" s="279"/>
      <c r="AE810" s="26"/>
      <c r="AF810" s="26"/>
      <c r="AG810" s="278" t="str">
        <f t="shared" si="120"/>
        <v/>
      </c>
      <c r="AH810" s="278" t="str">
        <f t="shared" si="121"/>
        <v/>
      </c>
      <c r="AJ810" s="25"/>
      <c r="AK810" s="25"/>
      <c r="AL810" s="25"/>
      <c r="AM810" s="25"/>
      <c r="AN810" s="25"/>
      <c r="AO810" s="25"/>
      <c r="AP810" s="25"/>
      <c r="AQ810" s="25"/>
      <c r="AR810" s="25"/>
      <c r="AS810" s="25"/>
      <c r="AT810" s="25"/>
      <c r="AU810" s="25"/>
      <c r="AV810" s="43"/>
      <c r="AW810" s="43"/>
      <c r="AX810" s="114" t="s">
        <v>76</v>
      </c>
      <c r="AY810" s="43"/>
      <c r="AZ810" s="43"/>
      <c r="BA810" s="43"/>
      <c r="BB810" s="43"/>
    </row>
    <row r="811" spans="2:54" ht="12.75" customHeight="1">
      <c r="B811" s="320"/>
      <c r="C811" s="134"/>
      <c r="D811" s="98"/>
      <c r="E811" s="504"/>
      <c r="F811" s="306"/>
      <c r="G811" s="265"/>
      <c r="H811" s="266"/>
      <c r="I811" s="297"/>
      <c r="J811" s="298"/>
      <c r="K811" s="298"/>
      <c r="L811" s="298"/>
      <c r="M811" s="41"/>
      <c r="N811" s="21"/>
      <c r="O811" s="21"/>
      <c r="P811" s="21"/>
      <c r="Q811" s="326"/>
      <c r="R811" s="40"/>
      <c r="S811" s="84"/>
      <c r="T811" s="40"/>
      <c r="U811" s="42"/>
      <c r="V811" s="78"/>
      <c r="Z811" s="181"/>
      <c r="AA811" s="183"/>
      <c r="AC811" s="26"/>
      <c r="AD811" s="279"/>
      <c r="AE811" s="26"/>
      <c r="AF811" s="26"/>
      <c r="AG811" s="278" t="str">
        <f t="shared" si="120"/>
        <v/>
      </c>
      <c r="AH811" s="278" t="str">
        <f t="shared" si="121"/>
        <v/>
      </c>
      <c r="AJ811" s="25"/>
      <c r="AK811" s="25"/>
      <c r="AL811" s="25"/>
      <c r="AM811" s="25"/>
      <c r="AN811" s="25"/>
      <c r="AO811" s="25"/>
      <c r="AP811" s="25"/>
      <c r="AQ811" s="25"/>
      <c r="AR811" s="25"/>
      <c r="AS811" s="25"/>
      <c r="AT811" s="25"/>
      <c r="AU811" s="25"/>
      <c r="AV811" s="43"/>
      <c r="AW811" s="43"/>
      <c r="AX811" s="114" t="s">
        <v>76</v>
      </c>
      <c r="AY811" s="43"/>
      <c r="AZ811" s="43"/>
      <c r="BA811" s="43"/>
      <c r="BB811" s="43"/>
    </row>
    <row r="812" spans="2:54" ht="12.75" customHeight="1">
      <c r="B812" s="320"/>
      <c r="C812" s="134"/>
      <c r="D812" s="98"/>
      <c r="E812" s="504"/>
      <c r="F812" s="306"/>
      <c r="G812" s="265"/>
      <c r="H812" s="266"/>
      <c r="I812" s="297"/>
      <c r="J812" s="298"/>
      <c r="K812" s="298"/>
      <c r="L812" s="298"/>
      <c r="M812" s="41"/>
      <c r="N812" s="21"/>
      <c r="O812" s="21"/>
      <c r="P812" s="21"/>
      <c r="Q812" s="326"/>
      <c r="R812" s="40"/>
      <c r="S812" s="84"/>
      <c r="T812" s="40"/>
      <c r="U812" s="42"/>
      <c r="V812" s="78"/>
      <c r="Z812" s="181"/>
      <c r="AA812" s="183"/>
      <c r="AC812" s="26"/>
      <c r="AD812" s="279"/>
      <c r="AE812" s="26"/>
      <c r="AF812" s="26"/>
      <c r="AG812" s="278" t="str">
        <f t="shared" si="120"/>
        <v/>
      </c>
      <c r="AH812" s="278" t="str">
        <f t="shared" si="121"/>
        <v/>
      </c>
      <c r="AJ812" s="25"/>
      <c r="AK812" s="25"/>
      <c r="AL812" s="25"/>
      <c r="AM812" s="25"/>
      <c r="AN812" s="25"/>
      <c r="AO812" s="25"/>
      <c r="AP812" s="25"/>
      <c r="AQ812" s="25"/>
      <c r="AR812" s="25"/>
      <c r="AS812" s="25"/>
      <c r="AT812" s="25"/>
      <c r="AU812" s="25"/>
      <c r="AV812" s="43"/>
      <c r="AW812" s="43"/>
      <c r="AX812" s="114" t="s">
        <v>76</v>
      </c>
      <c r="AY812" s="43"/>
      <c r="AZ812" s="43"/>
      <c r="BA812" s="43"/>
      <c r="BB812" s="43"/>
    </row>
    <row r="813" spans="2:54" ht="12.75" customHeight="1">
      <c r="B813" s="320"/>
      <c r="C813" s="134"/>
      <c r="D813" s="98"/>
      <c r="E813" s="504"/>
      <c r="F813" s="306"/>
      <c r="G813" s="265"/>
      <c r="H813" s="266"/>
      <c r="I813" s="297"/>
      <c r="J813" s="298"/>
      <c r="K813" s="298"/>
      <c r="L813" s="298"/>
      <c r="M813" s="41"/>
      <c r="N813" s="21"/>
      <c r="O813" s="21"/>
      <c r="P813" s="21"/>
      <c r="Q813" s="326"/>
      <c r="R813" s="40"/>
      <c r="S813" s="84"/>
      <c r="T813" s="40"/>
      <c r="U813" s="42"/>
      <c r="V813" s="78"/>
      <c r="Z813" s="181"/>
      <c r="AA813" s="183"/>
      <c r="AC813" s="26"/>
      <c r="AD813" s="279"/>
      <c r="AE813" s="26"/>
      <c r="AF813" s="26"/>
      <c r="AG813" s="278" t="str">
        <f t="shared" si="120"/>
        <v/>
      </c>
      <c r="AH813" s="278" t="str">
        <f t="shared" si="121"/>
        <v/>
      </c>
      <c r="AJ813" s="25"/>
      <c r="AK813" s="25"/>
      <c r="AL813" s="25"/>
      <c r="AM813" s="25"/>
      <c r="AN813" s="25"/>
      <c r="AO813" s="25"/>
      <c r="AP813" s="25"/>
      <c r="AQ813" s="25"/>
      <c r="AR813" s="25"/>
      <c r="AS813" s="25"/>
      <c r="AT813" s="25"/>
      <c r="AU813" s="25"/>
      <c r="AV813" s="43"/>
      <c r="AW813" s="43"/>
      <c r="AX813" s="114" t="s">
        <v>76</v>
      </c>
      <c r="AY813" s="43"/>
      <c r="AZ813" s="43"/>
      <c r="BA813" s="43"/>
      <c r="BB813" s="43"/>
    </row>
    <row r="814" spans="2:54" ht="12.75" customHeight="1">
      <c r="B814" s="320"/>
      <c r="C814" s="134"/>
      <c r="D814" s="98"/>
      <c r="E814" s="504"/>
      <c r="F814" s="306"/>
      <c r="G814" s="265"/>
      <c r="H814" s="266"/>
      <c r="I814" s="297"/>
      <c r="J814" s="298"/>
      <c r="K814" s="298"/>
      <c r="L814" s="298"/>
      <c r="M814" s="41"/>
      <c r="N814" s="21"/>
      <c r="O814" s="21"/>
      <c r="P814" s="21"/>
      <c r="Q814" s="326"/>
      <c r="R814" s="40"/>
      <c r="S814" s="84"/>
      <c r="T814" s="40"/>
      <c r="U814" s="42"/>
      <c r="V814" s="78"/>
      <c r="Z814" s="181"/>
      <c r="AA814" s="183"/>
      <c r="AC814" s="26"/>
      <c r="AD814" s="279"/>
      <c r="AE814" s="26"/>
      <c r="AF814" s="26"/>
      <c r="AG814" s="278" t="str">
        <f t="shared" si="120"/>
        <v/>
      </c>
      <c r="AH814" s="278" t="str">
        <f t="shared" si="121"/>
        <v/>
      </c>
      <c r="AJ814" s="25"/>
      <c r="AK814" s="25"/>
      <c r="AL814" s="25"/>
      <c r="AM814" s="25"/>
      <c r="AN814" s="25"/>
      <c r="AO814" s="25"/>
      <c r="AP814" s="25"/>
      <c r="AQ814" s="25"/>
      <c r="AR814" s="25"/>
      <c r="AS814" s="25"/>
      <c r="AT814" s="25"/>
      <c r="AU814" s="25"/>
      <c r="AV814" s="43"/>
      <c r="AW814" s="43"/>
      <c r="AX814" s="114" t="s">
        <v>76</v>
      </c>
      <c r="AY814" s="43"/>
      <c r="AZ814" s="43"/>
      <c r="BA814" s="43"/>
      <c r="BB814" s="43"/>
    </row>
    <row r="815" spans="2:54" ht="12.75" customHeight="1">
      <c r="B815" s="320"/>
      <c r="C815" s="134"/>
      <c r="D815" s="98"/>
      <c r="E815" s="504"/>
      <c r="F815" s="306"/>
      <c r="G815" s="265"/>
      <c r="H815" s="266"/>
      <c r="I815" s="297"/>
      <c r="J815" s="298"/>
      <c r="K815" s="298"/>
      <c r="L815" s="298"/>
      <c r="M815" s="41"/>
      <c r="N815" s="21"/>
      <c r="O815" s="21"/>
      <c r="P815" s="21"/>
      <c r="Q815" s="326"/>
      <c r="R815" s="40"/>
      <c r="S815" s="84"/>
      <c r="T815" s="40"/>
      <c r="U815" s="42"/>
      <c r="V815" s="78"/>
      <c r="Z815" s="181"/>
      <c r="AA815" s="183"/>
      <c r="AC815" s="26"/>
      <c r="AD815" s="279"/>
      <c r="AE815" s="26"/>
      <c r="AF815" s="26"/>
      <c r="AG815" s="278" t="str">
        <f t="shared" si="120"/>
        <v/>
      </c>
      <c r="AH815" s="278" t="str">
        <f t="shared" si="121"/>
        <v/>
      </c>
      <c r="AJ815" s="25"/>
      <c r="AK815" s="25"/>
      <c r="AL815" s="25"/>
      <c r="AM815" s="25"/>
      <c r="AN815" s="25"/>
      <c r="AO815" s="25"/>
      <c r="AP815" s="25"/>
      <c r="AQ815" s="25"/>
      <c r="AR815" s="25"/>
      <c r="AS815" s="25"/>
      <c r="AT815" s="25"/>
      <c r="AU815" s="25"/>
      <c r="AV815" s="43"/>
      <c r="AW815" s="43"/>
      <c r="AX815" s="114" t="s">
        <v>76</v>
      </c>
      <c r="AY815" s="43"/>
      <c r="AZ815" s="43"/>
      <c r="BA815" s="43"/>
      <c r="BB815" s="43"/>
    </row>
    <row r="816" spans="2:54" ht="12.75" customHeight="1">
      <c r="B816" s="320"/>
      <c r="C816" s="134"/>
      <c r="D816" s="98"/>
      <c r="E816" s="504"/>
      <c r="F816" s="306"/>
      <c r="G816" s="265"/>
      <c r="H816" s="266"/>
      <c r="I816" s="297"/>
      <c r="J816" s="298"/>
      <c r="K816" s="298"/>
      <c r="L816" s="298"/>
      <c r="M816" s="41"/>
      <c r="N816" s="21"/>
      <c r="O816" s="21"/>
      <c r="P816" s="21"/>
      <c r="Q816" s="326"/>
      <c r="R816" s="40"/>
      <c r="S816" s="84"/>
      <c r="T816" s="40"/>
      <c r="U816" s="42"/>
      <c r="V816" s="78"/>
      <c r="Z816" s="181"/>
      <c r="AA816" s="183"/>
      <c r="AC816" s="26"/>
      <c r="AD816" s="279"/>
      <c r="AE816" s="26"/>
      <c r="AF816" s="26"/>
      <c r="AG816" s="278" t="str">
        <f t="shared" si="120"/>
        <v/>
      </c>
      <c r="AH816" s="278" t="str">
        <f t="shared" si="121"/>
        <v/>
      </c>
      <c r="AJ816" s="25"/>
      <c r="AK816" s="25"/>
      <c r="AL816" s="25"/>
      <c r="AM816" s="25"/>
      <c r="AN816" s="25"/>
      <c r="AO816" s="25"/>
      <c r="AP816" s="25"/>
      <c r="AQ816" s="25"/>
      <c r="AR816" s="25"/>
      <c r="AS816" s="25"/>
      <c r="AT816" s="25"/>
      <c r="AU816" s="25"/>
      <c r="AV816" s="43"/>
      <c r="AW816" s="43"/>
      <c r="AX816" s="114" t="s">
        <v>76</v>
      </c>
      <c r="AY816" s="43"/>
      <c r="AZ816" s="43"/>
      <c r="BA816" s="43"/>
      <c r="BB816" s="43"/>
    </row>
    <row r="817" spans="2:54" ht="12.75" customHeight="1">
      <c r="B817" s="320"/>
      <c r="C817" s="134"/>
      <c r="D817" s="98"/>
      <c r="E817" s="504"/>
      <c r="F817" s="306"/>
      <c r="G817" s="265"/>
      <c r="H817" s="266"/>
      <c r="I817" s="297"/>
      <c r="J817" s="298"/>
      <c r="K817" s="298"/>
      <c r="L817" s="298"/>
      <c r="M817" s="41"/>
      <c r="N817" s="21"/>
      <c r="O817" s="21"/>
      <c r="P817" s="21"/>
      <c r="Q817" s="326"/>
      <c r="R817" s="40"/>
      <c r="S817" s="84"/>
      <c r="T817" s="40"/>
      <c r="U817" s="42"/>
      <c r="V817" s="78"/>
      <c r="Z817" s="181"/>
      <c r="AA817" s="183"/>
      <c r="AC817" s="26"/>
      <c r="AD817" s="279"/>
      <c r="AE817" s="26"/>
      <c r="AF817" s="26"/>
      <c r="AG817" s="278" t="str">
        <f t="shared" si="120"/>
        <v/>
      </c>
      <c r="AH817" s="278" t="str">
        <f t="shared" si="121"/>
        <v/>
      </c>
      <c r="AJ817" s="25"/>
      <c r="AK817" s="25"/>
      <c r="AL817" s="25"/>
      <c r="AM817" s="25"/>
      <c r="AN817" s="25"/>
      <c r="AO817" s="25"/>
      <c r="AP817" s="25"/>
      <c r="AQ817" s="25"/>
      <c r="AR817" s="25"/>
      <c r="AS817" s="25"/>
      <c r="AT817" s="25"/>
      <c r="AU817" s="25"/>
      <c r="AV817" s="43"/>
      <c r="AW817" s="43"/>
      <c r="AX817" s="114" t="s">
        <v>76</v>
      </c>
      <c r="AY817" s="43"/>
      <c r="AZ817" s="43"/>
      <c r="BA817" s="43"/>
      <c r="BB817" s="43"/>
    </row>
    <row r="818" spans="2:54" ht="12.75" customHeight="1">
      <c r="B818" s="320"/>
      <c r="C818" s="134"/>
      <c r="D818" s="98"/>
      <c r="E818" s="504"/>
      <c r="F818" s="306"/>
      <c r="G818" s="265"/>
      <c r="H818" s="266"/>
      <c r="I818" s="297"/>
      <c r="J818" s="298"/>
      <c r="K818" s="298"/>
      <c r="L818" s="298"/>
      <c r="M818" s="41"/>
      <c r="N818" s="21"/>
      <c r="O818" s="21"/>
      <c r="P818" s="21"/>
      <c r="Q818" s="326"/>
      <c r="R818" s="40"/>
      <c r="S818" s="84"/>
      <c r="T818" s="40"/>
      <c r="U818" s="42"/>
      <c r="V818" s="78"/>
      <c r="Z818" s="181"/>
      <c r="AA818" s="183"/>
      <c r="AC818" s="26"/>
      <c r="AD818" s="279"/>
      <c r="AE818" s="26"/>
      <c r="AF818" s="26"/>
      <c r="AG818" s="278" t="str">
        <f t="shared" si="120"/>
        <v/>
      </c>
      <c r="AH818" s="278" t="str">
        <f t="shared" si="121"/>
        <v/>
      </c>
      <c r="AJ818" s="25"/>
      <c r="AK818" s="25"/>
      <c r="AL818" s="25"/>
      <c r="AM818" s="25"/>
      <c r="AN818" s="25"/>
      <c r="AO818" s="25"/>
      <c r="AP818" s="25"/>
      <c r="AQ818" s="25"/>
      <c r="AR818" s="25"/>
      <c r="AS818" s="25"/>
      <c r="AT818" s="25"/>
      <c r="AU818" s="25"/>
      <c r="AV818" s="43"/>
      <c r="AW818" s="43"/>
      <c r="AX818" s="114" t="s">
        <v>76</v>
      </c>
      <c r="AY818" s="43"/>
      <c r="AZ818" s="43"/>
      <c r="BA818" s="43"/>
      <c r="BB818" s="43"/>
    </row>
    <row r="819" spans="2:54" ht="12.75" customHeight="1">
      <c r="B819" s="320"/>
      <c r="C819" s="134"/>
      <c r="D819" s="98"/>
      <c r="E819" s="504"/>
      <c r="F819" s="306"/>
      <c r="G819" s="265"/>
      <c r="H819" s="266"/>
      <c r="I819" s="297"/>
      <c r="J819" s="298"/>
      <c r="K819" s="298"/>
      <c r="L819" s="298"/>
      <c r="M819" s="41"/>
      <c r="N819" s="21"/>
      <c r="O819" s="21"/>
      <c r="P819" s="21"/>
      <c r="Q819" s="326"/>
      <c r="R819" s="40"/>
      <c r="S819" s="84"/>
      <c r="T819" s="40"/>
      <c r="U819" s="42"/>
      <c r="V819" s="78"/>
      <c r="Z819" s="181"/>
      <c r="AA819" s="183"/>
      <c r="AC819" s="26"/>
      <c r="AD819" s="279"/>
      <c r="AE819" s="26"/>
      <c r="AF819" s="26"/>
      <c r="AG819" s="278" t="str">
        <f t="shared" si="120"/>
        <v/>
      </c>
      <c r="AH819" s="278" t="str">
        <f t="shared" si="121"/>
        <v/>
      </c>
      <c r="AJ819" s="25"/>
      <c r="AK819" s="25"/>
      <c r="AL819" s="25"/>
      <c r="AM819" s="25"/>
      <c r="AN819" s="25"/>
      <c r="AO819" s="25"/>
      <c r="AP819" s="25"/>
      <c r="AQ819" s="25"/>
      <c r="AR819" s="25"/>
      <c r="AS819" s="25"/>
      <c r="AT819" s="25"/>
      <c r="AU819" s="25"/>
      <c r="AV819" s="43"/>
      <c r="AW819" s="43"/>
      <c r="AX819" s="114" t="s">
        <v>76</v>
      </c>
      <c r="AY819" s="43"/>
      <c r="AZ819" s="43"/>
      <c r="BA819" s="43"/>
      <c r="BB819" s="43"/>
    </row>
    <row r="820" spans="2:54" ht="12.75" customHeight="1">
      <c r="B820" s="320"/>
      <c r="C820" s="134"/>
      <c r="D820" s="98"/>
      <c r="E820" s="504"/>
      <c r="F820" s="306"/>
      <c r="G820" s="265"/>
      <c r="H820" s="266"/>
      <c r="I820" s="297"/>
      <c r="J820" s="298"/>
      <c r="K820" s="298"/>
      <c r="L820" s="298"/>
      <c r="M820" s="41"/>
      <c r="N820" s="21"/>
      <c r="O820" s="21"/>
      <c r="P820" s="21"/>
      <c r="Q820" s="326"/>
      <c r="R820" s="40"/>
      <c r="S820" s="84"/>
      <c r="T820" s="40"/>
      <c r="U820" s="42"/>
      <c r="V820" s="78"/>
      <c r="Z820" s="181"/>
      <c r="AA820" s="183"/>
      <c r="AC820" s="26"/>
      <c r="AD820" s="279"/>
      <c r="AE820" s="26"/>
      <c r="AF820" s="26"/>
      <c r="AG820" s="278" t="str">
        <f t="shared" si="120"/>
        <v/>
      </c>
      <c r="AH820" s="278" t="str">
        <f t="shared" si="121"/>
        <v/>
      </c>
      <c r="AJ820" s="25"/>
      <c r="AK820" s="25"/>
      <c r="AL820" s="25"/>
      <c r="AM820" s="25"/>
      <c r="AN820" s="25"/>
      <c r="AO820" s="25"/>
      <c r="AP820" s="25"/>
      <c r="AQ820" s="25"/>
      <c r="AR820" s="25"/>
      <c r="AS820" s="25"/>
      <c r="AT820" s="25"/>
      <c r="AU820" s="25"/>
      <c r="AV820" s="43"/>
      <c r="AW820" s="43"/>
      <c r="AX820" s="114" t="s">
        <v>76</v>
      </c>
      <c r="AY820" s="43"/>
      <c r="AZ820" s="43"/>
      <c r="BA820" s="43"/>
      <c r="BB820" s="43"/>
    </row>
    <row r="821" spans="2:54" ht="12.75" customHeight="1">
      <c r="B821" s="320"/>
      <c r="C821" s="134"/>
      <c r="D821" s="98"/>
      <c r="E821" s="504"/>
      <c r="F821" s="306"/>
      <c r="G821" s="265"/>
      <c r="H821" s="266"/>
      <c r="I821" s="297"/>
      <c r="J821" s="298"/>
      <c r="K821" s="298"/>
      <c r="L821" s="298"/>
      <c r="M821" s="41"/>
      <c r="N821" s="21"/>
      <c r="O821" s="21"/>
      <c r="P821" s="21"/>
      <c r="Q821" s="326"/>
      <c r="R821" s="40"/>
      <c r="S821" s="84"/>
      <c r="T821" s="40"/>
      <c r="U821" s="42"/>
      <c r="V821" s="78"/>
      <c r="Z821" s="181"/>
      <c r="AA821" s="183"/>
      <c r="AC821" s="26"/>
      <c r="AD821" s="279"/>
      <c r="AE821" s="26"/>
      <c r="AF821" s="26"/>
      <c r="AG821" s="278" t="str">
        <f t="shared" si="120"/>
        <v/>
      </c>
      <c r="AH821" s="278" t="str">
        <f t="shared" si="121"/>
        <v/>
      </c>
      <c r="AJ821" s="25"/>
      <c r="AK821" s="25"/>
      <c r="AL821" s="25"/>
      <c r="AM821" s="25"/>
      <c r="AN821" s="25"/>
      <c r="AO821" s="25"/>
      <c r="AP821" s="25"/>
      <c r="AQ821" s="25"/>
      <c r="AR821" s="25"/>
      <c r="AS821" s="25"/>
      <c r="AT821" s="25"/>
      <c r="AU821" s="25"/>
      <c r="AV821" s="43"/>
      <c r="AW821" s="43"/>
      <c r="AX821" s="114" t="s">
        <v>76</v>
      </c>
      <c r="AY821" s="43"/>
      <c r="AZ821" s="43"/>
      <c r="BA821" s="43"/>
      <c r="BB821" s="43"/>
    </row>
    <row r="822" spans="2:54" ht="12.75" customHeight="1">
      <c r="B822" s="320"/>
      <c r="C822" s="134"/>
      <c r="D822" s="98"/>
      <c r="E822" s="504"/>
      <c r="F822" s="306"/>
      <c r="G822" s="265"/>
      <c r="H822" s="266"/>
      <c r="I822" s="297"/>
      <c r="J822" s="298"/>
      <c r="K822" s="298"/>
      <c r="L822" s="298"/>
      <c r="M822" s="41"/>
      <c r="N822" s="21"/>
      <c r="O822" s="21"/>
      <c r="P822" s="21"/>
      <c r="Q822" s="326"/>
      <c r="R822" s="40"/>
      <c r="S822" s="84"/>
      <c r="T822" s="40"/>
      <c r="U822" s="42"/>
      <c r="V822" s="78"/>
      <c r="Z822" s="181"/>
      <c r="AA822" s="183"/>
      <c r="AC822" s="26"/>
      <c r="AD822" s="279"/>
      <c r="AE822" s="26"/>
      <c r="AF822" s="26"/>
      <c r="AG822" s="278" t="str">
        <f t="shared" si="120"/>
        <v/>
      </c>
      <c r="AH822" s="278" t="str">
        <f t="shared" si="121"/>
        <v/>
      </c>
      <c r="AJ822" s="25"/>
      <c r="AK822" s="25"/>
      <c r="AL822" s="25"/>
      <c r="AM822" s="25"/>
      <c r="AN822" s="25"/>
      <c r="AO822" s="25"/>
      <c r="AP822" s="25"/>
      <c r="AQ822" s="25"/>
      <c r="AR822" s="25"/>
      <c r="AS822" s="25"/>
      <c r="AT822" s="25"/>
      <c r="AU822" s="25"/>
      <c r="AV822" s="43"/>
      <c r="AW822" s="43"/>
      <c r="AX822" s="114" t="s">
        <v>76</v>
      </c>
      <c r="AY822" s="43"/>
      <c r="AZ822" s="43"/>
      <c r="BA822" s="43"/>
      <c r="BB822" s="43"/>
    </row>
    <row r="823" spans="2:54" ht="12.75" customHeight="1">
      <c r="B823" s="320"/>
      <c r="C823" s="134"/>
      <c r="D823" s="98"/>
      <c r="E823" s="504"/>
      <c r="F823" s="306"/>
      <c r="G823" s="265"/>
      <c r="H823" s="266"/>
      <c r="I823" s="297"/>
      <c r="J823" s="298"/>
      <c r="K823" s="298"/>
      <c r="L823" s="298"/>
      <c r="M823" s="41"/>
      <c r="N823" s="21"/>
      <c r="O823" s="21"/>
      <c r="P823" s="21"/>
      <c r="Q823" s="326"/>
      <c r="R823" s="40"/>
      <c r="S823" s="84"/>
      <c r="T823" s="40"/>
      <c r="U823" s="42"/>
      <c r="V823" s="78"/>
      <c r="Z823" s="181"/>
      <c r="AA823" s="183"/>
      <c r="AC823" s="26"/>
      <c r="AD823" s="279"/>
      <c r="AE823" s="26"/>
      <c r="AF823" s="26"/>
      <c r="AG823" s="278" t="str">
        <f t="shared" si="120"/>
        <v/>
      </c>
      <c r="AH823" s="278" t="str">
        <f t="shared" si="121"/>
        <v/>
      </c>
      <c r="AJ823" s="25"/>
      <c r="AK823" s="25"/>
      <c r="AL823" s="25"/>
      <c r="AM823" s="25"/>
      <c r="AN823" s="25"/>
      <c r="AO823" s="25"/>
      <c r="AP823" s="25"/>
      <c r="AQ823" s="25"/>
      <c r="AR823" s="25"/>
      <c r="AS823" s="25"/>
      <c r="AT823" s="25"/>
      <c r="AU823" s="25"/>
      <c r="AV823" s="43"/>
      <c r="AW823" s="43"/>
      <c r="AX823" s="114" t="s">
        <v>76</v>
      </c>
      <c r="AY823" s="43"/>
      <c r="AZ823" s="43"/>
      <c r="BA823" s="43"/>
      <c r="BB823" s="43"/>
    </row>
    <row r="824" spans="2:54" ht="12.75" customHeight="1">
      <c r="B824" s="320"/>
      <c r="C824" s="134"/>
      <c r="D824" s="98"/>
      <c r="E824" s="504"/>
      <c r="F824" s="306"/>
      <c r="G824" s="265"/>
      <c r="H824" s="266"/>
      <c r="I824" s="297"/>
      <c r="J824" s="298"/>
      <c r="K824" s="298"/>
      <c r="L824" s="298"/>
      <c r="M824" s="41"/>
      <c r="N824" s="21"/>
      <c r="O824" s="21"/>
      <c r="P824" s="21"/>
      <c r="Q824" s="326"/>
      <c r="R824" s="40"/>
      <c r="S824" s="84"/>
      <c r="T824" s="40"/>
      <c r="U824" s="42"/>
      <c r="V824" s="78"/>
      <c r="Z824" s="181"/>
      <c r="AA824" s="183"/>
      <c r="AC824" s="26"/>
      <c r="AD824" s="279"/>
      <c r="AE824" s="26"/>
      <c r="AF824" s="26"/>
      <c r="AG824" s="278" t="str">
        <f t="shared" si="120"/>
        <v/>
      </c>
      <c r="AH824" s="278" t="str">
        <f t="shared" si="121"/>
        <v/>
      </c>
      <c r="AJ824" s="25"/>
      <c r="AK824" s="25"/>
      <c r="AL824" s="25"/>
      <c r="AM824" s="25"/>
      <c r="AN824" s="25"/>
      <c r="AO824" s="25"/>
      <c r="AP824" s="25"/>
      <c r="AQ824" s="25"/>
      <c r="AR824" s="25"/>
      <c r="AS824" s="25"/>
      <c r="AT824" s="25"/>
      <c r="AU824" s="25"/>
      <c r="AV824" s="43"/>
      <c r="AW824" s="43"/>
      <c r="AX824" s="114" t="s">
        <v>76</v>
      </c>
      <c r="AY824" s="43"/>
      <c r="AZ824" s="43"/>
      <c r="BA824" s="43"/>
      <c r="BB824" s="43"/>
    </row>
    <row r="825" spans="2:54" ht="12.75" customHeight="1">
      <c r="B825" s="320"/>
      <c r="C825" s="134"/>
      <c r="D825" s="98"/>
      <c r="E825" s="504"/>
      <c r="F825" s="306"/>
      <c r="G825" s="265"/>
      <c r="H825" s="266"/>
      <c r="I825" s="297"/>
      <c r="J825" s="298"/>
      <c r="K825" s="298"/>
      <c r="L825" s="298"/>
      <c r="M825" s="41"/>
      <c r="N825" s="21"/>
      <c r="O825" s="21"/>
      <c r="P825" s="21"/>
      <c r="Q825" s="326"/>
      <c r="R825" s="40"/>
      <c r="S825" s="84"/>
      <c r="T825" s="40"/>
      <c r="U825" s="42"/>
      <c r="V825" s="78"/>
      <c r="Z825" s="181"/>
      <c r="AA825" s="183"/>
      <c r="AC825" s="26"/>
      <c r="AD825" s="279"/>
      <c r="AE825" s="26"/>
      <c r="AF825" s="26"/>
      <c r="AG825" s="278" t="str">
        <f t="shared" si="120"/>
        <v/>
      </c>
      <c r="AH825" s="278" t="str">
        <f t="shared" si="121"/>
        <v/>
      </c>
      <c r="AJ825" s="25"/>
      <c r="AK825" s="25"/>
      <c r="AL825" s="25"/>
      <c r="AM825" s="25"/>
      <c r="AN825" s="25"/>
      <c r="AO825" s="25"/>
      <c r="AP825" s="25"/>
      <c r="AQ825" s="25"/>
      <c r="AR825" s="25"/>
      <c r="AS825" s="25"/>
      <c r="AT825" s="25"/>
      <c r="AU825" s="25"/>
      <c r="AV825" s="43"/>
      <c r="AW825" s="43"/>
      <c r="AX825" s="114" t="s">
        <v>76</v>
      </c>
      <c r="AY825" s="43"/>
      <c r="AZ825" s="43"/>
      <c r="BA825" s="43"/>
      <c r="BB825" s="43"/>
    </row>
    <row r="826" spans="2:54" ht="12.75" customHeight="1">
      <c r="B826" s="320"/>
      <c r="C826" s="134"/>
      <c r="D826" s="98"/>
      <c r="E826" s="504"/>
      <c r="F826" s="306"/>
      <c r="G826" s="265"/>
      <c r="H826" s="266"/>
      <c r="I826" s="297"/>
      <c r="J826" s="298"/>
      <c r="K826" s="298"/>
      <c r="L826" s="298"/>
      <c r="M826" s="41"/>
      <c r="N826" s="21"/>
      <c r="O826" s="21"/>
      <c r="P826" s="21"/>
      <c r="Q826" s="326"/>
      <c r="R826" s="40"/>
      <c r="S826" s="84"/>
      <c r="T826" s="40"/>
      <c r="U826" s="42"/>
      <c r="V826" s="78"/>
      <c r="Z826" s="181"/>
      <c r="AA826" s="183"/>
      <c r="AC826" s="26"/>
      <c r="AD826" s="279"/>
      <c r="AE826" s="26"/>
      <c r="AF826" s="26"/>
      <c r="AG826" s="278" t="str">
        <f t="shared" si="120"/>
        <v/>
      </c>
      <c r="AH826" s="278" t="str">
        <f t="shared" si="121"/>
        <v/>
      </c>
      <c r="AJ826" s="25"/>
      <c r="AK826" s="25"/>
      <c r="AL826" s="25"/>
      <c r="AM826" s="25"/>
      <c r="AN826" s="25"/>
      <c r="AO826" s="25"/>
      <c r="AP826" s="25"/>
      <c r="AQ826" s="25"/>
      <c r="AR826" s="25"/>
      <c r="AS826" s="25"/>
      <c r="AT826" s="25"/>
      <c r="AU826" s="25"/>
      <c r="AV826" s="43"/>
      <c r="AW826" s="43"/>
      <c r="AX826" s="114" t="s">
        <v>76</v>
      </c>
      <c r="AY826" s="43"/>
      <c r="AZ826" s="43"/>
      <c r="BA826" s="43"/>
      <c r="BB826" s="43"/>
    </row>
    <row r="827" spans="2:54" ht="12.75" customHeight="1">
      <c r="B827" s="320"/>
      <c r="C827" s="134"/>
      <c r="D827" s="98"/>
      <c r="E827" s="504"/>
      <c r="F827" s="306"/>
      <c r="G827" s="265"/>
      <c r="H827" s="266"/>
      <c r="I827" s="297"/>
      <c r="J827" s="298"/>
      <c r="K827" s="298"/>
      <c r="L827" s="298"/>
      <c r="M827" s="41"/>
      <c r="N827" s="21"/>
      <c r="O827" s="21"/>
      <c r="P827" s="21"/>
      <c r="Q827" s="326"/>
      <c r="R827" s="40"/>
      <c r="S827" s="84"/>
      <c r="T827" s="40"/>
      <c r="U827" s="42"/>
      <c r="V827" s="78"/>
      <c r="Z827" s="181"/>
      <c r="AA827" s="183"/>
      <c r="AC827" s="26"/>
      <c r="AD827" s="279"/>
      <c r="AE827" s="26"/>
      <c r="AF827" s="26"/>
      <c r="AG827" s="278" t="str">
        <f t="shared" si="120"/>
        <v/>
      </c>
      <c r="AH827" s="278" t="str">
        <f t="shared" si="121"/>
        <v/>
      </c>
      <c r="AJ827" s="25"/>
      <c r="AK827" s="25"/>
      <c r="AL827" s="25"/>
      <c r="AM827" s="25"/>
      <c r="AN827" s="25"/>
      <c r="AO827" s="25"/>
      <c r="AP827" s="25"/>
      <c r="AQ827" s="25"/>
      <c r="AR827" s="25"/>
      <c r="AS827" s="25"/>
      <c r="AT827" s="25"/>
      <c r="AU827" s="25"/>
      <c r="AV827" s="43"/>
      <c r="AW827" s="43"/>
      <c r="AX827" s="114" t="s">
        <v>76</v>
      </c>
      <c r="AY827" s="43"/>
      <c r="AZ827" s="43"/>
      <c r="BA827" s="43"/>
      <c r="BB827" s="43"/>
    </row>
    <row r="828" spans="2:54" ht="12.75" customHeight="1">
      <c r="B828" s="320"/>
      <c r="C828" s="134"/>
      <c r="D828" s="98"/>
      <c r="E828" s="504"/>
      <c r="F828" s="306"/>
      <c r="G828" s="265"/>
      <c r="H828" s="266"/>
      <c r="I828" s="297"/>
      <c r="J828" s="298"/>
      <c r="K828" s="298"/>
      <c r="L828" s="298"/>
      <c r="M828" s="41"/>
      <c r="N828" s="21"/>
      <c r="O828" s="21"/>
      <c r="P828" s="21"/>
      <c r="Q828" s="326"/>
      <c r="R828" s="40"/>
      <c r="S828" s="84"/>
      <c r="T828" s="40"/>
      <c r="U828" s="42"/>
      <c r="V828" s="78"/>
      <c r="Z828" s="181"/>
      <c r="AA828" s="183"/>
      <c r="AC828" s="26"/>
      <c r="AD828" s="279"/>
      <c r="AE828" s="26"/>
      <c r="AF828" s="26"/>
      <c r="AG828" s="278" t="str">
        <f t="shared" si="120"/>
        <v/>
      </c>
      <c r="AH828" s="278" t="str">
        <f t="shared" si="121"/>
        <v/>
      </c>
      <c r="AJ828" s="25"/>
      <c r="AK828" s="25"/>
      <c r="AL828" s="25"/>
      <c r="AM828" s="25"/>
      <c r="AN828" s="25"/>
      <c r="AO828" s="25"/>
      <c r="AP828" s="25"/>
      <c r="AQ828" s="25"/>
      <c r="AR828" s="25"/>
      <c r="AS828" s="25"/>
      <c r="AT828" s="25"/>
      <c r="AU828" s="25"/>
      <c r="AV828" s="43"/>
      <c r="AW828" s="43"/>
      <c r="AX828" s="114" t="s">
        <v>76</v>
      </c>
      <c r="AY828" s="43"/>
      <c r="AZ828" s="43"/>
      <c r="BA828" s="43"/>
      <c r="BB828" s="43"/>
    </row>
    <row r="829" spans="2:54" ht="12.75" customHeight="1">
      <c r="B829" s="320"/>
      <c r="C829" s="134"/>
      <c r="D829" s="98"/>
      <c r="E829" s="504"/>
      <c r="F829" s="306"/>
      <c r="G829" s="265"/>
      <c r="H829" s="266"/>
      <c r="I829" s="297"/>
      <c r="J829" s="298"/>
      <c r="K829" s="298"/>
      <c r="L829" s="298"/>
      <c r="M829" s="41"/>
      <c r="N829" s="21"/>
      <c r="O829" s="21"/>
      <c r="P829" s="21"/>
      <c r="Q829" s="326"/>
      <c r="R829" s="40"/>
      <c r="S829" s="84"/>
      <c r="T829" s="40"/>
      <c r="U829" s="42"/>
      <c r="V829" s="78"/>
      <c r="Z829" s="181"/>
      <c r="AA829" s="183"/>
      <c r="AC829" s="26"/>
      <c r="AD829" s="279"/>
      <c r="AE829" s="26"/>
      <c r="AF829" s="26"/>
      <c r="AG829" s="278" t="str">
        <f t="shared" si="120"/>
        <v/>
      </c>
      <c r="AH829" s="278" t="str">
        <f t="shared" si="121"/>
        <v/>
      </c>
      <c r="AJ829" s="25"/>
      <c r="AK829" s="25"/>
      <c r="AL829" s="25"/>
      <c r="AM829" s="25"/>
      <c r="AN829" s="25"/>
      <c r="AO829" s="25"/>
      <c r="AP829" s="25"/>
      <c r="AQ829" s="25"/>
      <c r="AR829" s="25"/>
      <c r="AS829" s="25"/>
      <c r="AT829" s="25"/>
      <c r="AU829" s="25"/>
      <c r="AV829" s="43"/>
      <c r="AW829" s="43"/>
      <c r="AX829" s="114" t="s">
        <v>76</v>
      </c>
      <c r="AY829" s="43"/>
      <c r="AZ829" s="43"/>
      <c r="BA829" s="43"/>
      <c r="BB829" s="43"/>
    </row>
    <row r="830" spans="2:54" ht="12.75" customHeight="1">
      <c r="B830" s="320"/>
      <c r="C830" s="134"/>
      <c r="D830" s="98"/>
      <c r="E830" s="504"/>
      <c r="F830" s="306"/>
      <c r="G830" s="265"/>
      <c r="H830" s="266"/>
      <c r="I830" s="297"/>
      <c r="J830" s="298"/>
      <c r="K830" s="298"/>
      <c r="L830" s="298"/>
      <c r="M830" s="41"/>
      <c r="N830" s="21"/>
      <c r="O830" s="21"/>
      <c r="P830" s="21"/>
      <c r="Q830" s="326"/>
      <c r="R830" s="40"/>
      <c r="S830" s="84"/>
      <c r="T830" s="40"/>
      <c r="U830" s="42"/>
      <c r="V830" s="78"/>
      <c r="Z830" s="181"/>
      <c r="AA830" s="183"/>
      <c r="AC830" s="26"/>
      <c r="AD830" s="279"/>
      <c r="AE830" s="26"/>
      <c r="AF830" s="26"/>
      <c r="AG830" s="278" t="str">
        <f t="shared" si="120"/>
        <v/>
      </c>
      <c r="AH830" s="278" t="str">
        <f t="shared" si="121"/>
        <v/>
      </c>
      <c r="AJ830" s="25"/>
      <c r="AK830" s="25"/>
      <c r="AL830" s="25"/>
      <c r="AM830" s="25"/>
      <c r="AN830" s="25"/>
      <c r="AO830" s="25"/>
      <c r="AP830" s="25"/>
      <c r="AQ830" s="25"/>
      <c r="AR830" s="25"/>
      <c r="AS830" s="25"/>
      <c r="AT830" s="25"/>
      <c r="AU830" s="25"/>
      <c r="AV830" s="43"/>
      <c r="AW830" s="43"/>
      <c r="AX830" s="114" t="s">
        <v>76</v>
      </c>
      <c r="AY830" s="43"/>
      <c r="AZ830" s="43"/>
      <c r="BA830" s="43"/>
      <c r="BB830" s="43"/>
    </row>
    <row r="831" spans="2:54" ht="12.75" customHeight="1">
      <c r="B831" s="320"/>
      <c r="C831" s="134"/>
      <c r="D831" s="98"/>
      <c r="E831" s="504"/>
      <c r="F831" s="306"/>
      <c r="G831" s="265"/>
      <c r="H831" s="266"/>
      <c r="I831" s="297"/>
      <c r="J831" s="298"/>
      <c r="K831" s="298"/>
      <c r="L831" s="298"/>
      <c r="M831" s="41"/>
      <c r="N831" s="21"/>
      <c r="O831" s="21"/>
      <c r="P831" s="21"/>
      <c r="Q831" s="326"/>
      <c r="R831" s="40"/>
      <c r="S831" s="84"/>
      <c r="T831" s="40"/>
      <c r="U831" s="42"/>
      <c r="V831" s="78"/>
      <c r="Z831" s="181"/>
      <c r="AA831" s="183"/>
      <c r="AC831" s="26"/>
      <c r="AD831" s="279"/>
      <c r="AE831" s="26"/>
      <c r="AF831" s="26"/>
      <c r="AG831" s="278" t="str">
        <f t="shared" si="120"/>
        <v/>
      </c>
      <c r="AH831" s="278" t="str">
        <f t="shared" si="121"/>
        <v/>
      </c>
      <c r="AJ831" s="25"/>
      <c r="AK831" s="25"/>
      <c r="AL831" s="25"/>
      <c r="AM831" s="25"/>
      <c r="AN831" s="25"/>
      <c r="AO831" s="25"/>
      <c r="AP831" s="25"/>
      <c r="AQ831" s="25"/>
      <c r="AR831" s="25"/>
      <c r="AS831" s="25"/>
      <c r="AT831" s="25"/>
      <c r="AU831" s="25"/>
      <c r="AV831" s="43"/>
      <c r="AW831" s="43"/>
      <c r="AX831" s="114" t="s">
        <v>76</v>
      </c>
      <c r="AY831" s="43"/>
      <c r="AZ831" s="43"/>
      <c r="BA831" s="43"/>
      <c r="BB831" s="43"/>
    </row>
    <row r="832" spans="2:54" ht="12.75" customHeight="1">
      <c r="B832" s="320"/>
      <c r="C832" s="134"/>
      <c r="D832" s="98"/>
      <c r="E832" s="504"/>
      <c r="F832" s="306"/>
      <c r="G832" s="265"/>
      <c r="H832" s="266"/>
      <c r="I832" s="297"/>
      <c r="J832" s="298"/>
      <c r="K832" s="298"/>
      <c r="L832" s="298"/>
      <c r="M832" s="41"/>
      <c r="N832" s="21"/>
      <c r="O832" s="21"/>
      <c r="P832" s="21"/>
      <c r="Q832" s="326"/>
      <c r="R832" s="40"/>
      <c r="S832" s="84"/>
      <c r="T832" s="40"/>
      <c r="U832" s="42"/>
      <c r="V832" s="78"/>
      <c r="Z832" s="181"/>
      <c r="AA832" s="183"/>
      <c r="AC832" s="26"/>
      <c r="AD832" s="279"/>
      <c r="AE832" s="26"/>
      <c r="AF832" s="26"/>
      <c r="AG832" s="278" t="str">
        <f t="shared" si="120"/>
        <v/>
      </c>
      <c r="AH832" s="278" t="str">
        <f t="shared" si="121"/>
        <v/>
      </c>
      <c r="AJ832" s="25"/>
      <c r="AK832" s="25"/>
      <c r="AL832" s="25"/>
      <c r="AM832" s="25"/>
      <c r="AN832" s="25"/>
      <c r="AO832" s="25"/>
      <c r="AP832" s="25"/>
      <c r="AQ832" s="25"/>
      <c r="AR832" s="25"/>
      <c r="AS832" s="25"/>
      <c r="AT832" s="25"/>
      <c r="AU832" s="25"/>
      <c r="AV832" s="43"/>
      <c r="AW832" s="43"/>
      <c r="AX832" s="114" t="s">
        <v>76</v>
      </c>
      <c r="AY832" s="43"/>
      <c r="AZ832" s="43"/>
      <c r="BA832" s="43"/>
      <c r="BB832" s="43"/>
    </row>
    <row r="833" spans="2:54" ht="12.75" customHeight="1">
      <c r="B833" s="320"/>
      <c r="C833" s="134"/>
      <c r="D833" s="98"/>
      <c r="E833" s="504"/>
      <c r="F833" s="306"/>
      <c r="G833" s="265"/>
      <c r="H833" s="266"/>
      <c r="I833" s="297"/>
      <c r="J833" s="298"/>
      <c r="K833" s="298"/>
      <c r="L833" s="298"/>
      <c r="M833" s="41"/>
      <c r="N833" s="21"/>
      <c r="O833" s="21"/>
      <c r="P833" s="21"/>
      <c r="Q833" s="326"/>
      <c r="R833" s="40"/>
      <c r="S833" s="84"/>
      <c r="T833" s="40"/>
      <c r="U833" s="42"/>
      <c r="V833" s="78"/>
      <c r="Z833" s="181"/>
      <c r="AA833" s="183"/>
      <c r="AC833" s="26"/>
      <c r="AD833" s="279"/>
      <c r="AE833" s="26"/>
      <c r="AF833" s="26"/>
      <c r="AG833" s="278" t="str">
        <f t="shared" si="120"/>
        <v/>
      </c>
      <c r="AH833" s="278" t="str">
        <f t="shared" si="121"/>
        <v/>
      </c>
      <c r="AJ833" s="25"/>
      <c r="AK833" s="25"/>
      <c r="AL833" s="25"/>
      <c r="AM833" s="25"/>
      <c r="AN833" s="25"/>
      <c r="AO833" s="25"/>
      <c r="AP833" s="25"/>
      <c r="AQ833" s="25"/>
      <c r="AR833" s="25"/>
      <c r="AS833" s="25"/>
      <c r="AT833" s="25"/>
      <c r="AU833" s="25"/>
      <c r="AV833" s="43"/>
      <c r="AW833" s="43"/>
      <c r="AX833" s="114" t="s">
        <v>76</v>
      </c>
      <c r="AY833" s="43"/>
      <c r="AZ833" s="43"/>
      <c r="BA833" s="43"/>
      <c r="BB833" s="43"/>
    </row>
    <row r="834" spans="2:54" ht="12.75" customHeight="1">
      <c r="B834" s="320"/>
      <c r="C834" s="134"/>
      <c r="D834" s="98"/>
      <c r="E834" s="504"/>
      <c r="F834" s="306"/>
      <c r="G834" s="265"/>
      <c r="H834" s="266"/>
      <c r="I834" s="297"/>
      <c r="J834" s="298"/>
      <c r="K834" s="298"/>
      <c r="L834" s="298"/>
      <c r="M834" s="41"/>
      <c r="N834" s="21"/>
      <c r="O834" s="21"/>
      <c r="P834" s="21"/>
      <c r="Q834" s="326"/>
      <c r="R834" s="40"/>
      <c r="S834" s="84"/>
      <c r="T834" s="40"/>
      <c r="U834" s="42"/>
      <c r="V834" s="78"/>
      <c r="Z834" s="181"/>
      <c r="AA834" s="183"/>
      <c r="AC834" s="26"/>
      <c r="AD834" s="279"/>
      <c r="AE834" s="26"/>
      <c r="AF834" s="26"/>
      <c r="AG834" s="278" t="str">
        <f t="shared" si="120"/>
        <v/>
      </c>
      <c r="AH834" s="278" t="str">
        <f t="shared" si="121"/>
        <v/>
      </c>
      <c r="AJ834" s="25"/>
      <c r="AK834" s="25"/>
      <c r="AL834" s="25"/>
      <c r="AM834" s="25"/>
      <c r="AN834" s="25"/>
      <c r="AO834" s="25"/>
      <c r="AP834" s="25"/>
      <c r="AQ834" s="25"/>
      <c r="AR834" s="25"/>
      <c r="AS834" s="25"/>
      <c r="AT834" s="25"/>
      <c r="AU834" s="25"/>
      <c r="AV834" s="43"/>
      <c r="AW834" s="43"/>
      <c r="AX834" s="114" t="s">
        <v>76</v>
      </c>
      <c r="AY834" s="43"/>
      <c r="AZ834" s="43"/>
      <c r="BA834" s="43"/>
      <c r="BB834" s="43"/>
    </row>
    <row r="835" spans="2:54" ht="12.75" customHeight="1">
      <c r="B835" s="320"/>
      <c r="C835" s="134"/>
      <c r="D835" s="98"/>
      <c r="E835" s="504"/>
      <c r="F835" s="306"/>
      <c r="G835" s="265"/>
      <c r="H835" s="266"/>
      <c r="I835" s="297"/>
      <c r="J835" s="298"/>
      <c r="K835" s="298"/>
      <c r="L835" s="298"/>
      <c r="M835" s="41"/>
      <c r="N835" s="21"/>
      <c r="O835" s="21"/>
      <c r="P835" s="21"/>
      <c r="Q835" s="326"/>
      <c r="R835" s="40"/>
      <c r="S835" s="84"/>
      <c r="T835" s="40"/>
      <c r="U835" s="42"/>
      <c r="V835" s="78"/>
      <c r="Z835" s="181"/>
      <c r="AA835" s="183"/>
      <c r="AC835" s="26"/>
      <c r="AD835" s="279"/>
      <c r="AE835" s="26"/>
      <c r="AF835" s="26"/>
      <c r="AG835" s="278" t="str">
        <f t="shared" si="120"/>
        <v/>
      </c>
      <c r="AH835" s="278" t="str">
        <f t="shared" si="121"/>
        <v/>
      </c>
      <c r="AJ835" s="25"/>
      <c r="AK835" s="25"/>
      <c r="AL835" s="25"/>
      <c r="AM835" s="25"/>
      <c r="AN835" s="25"/>
      <c r="AO835" s="25"/>
      <c r="AP835" s="25"/>
      <c r="AQ835" s="25"/>
      <c r="AR835" s="25"/>
      <c r="AS835" s="25"/>
      <c r="AT835" s="25"/>
      <c r="AU835" s="25"/>
      <c r="AV835" s="43"/>
      <c r="AW835" s="43"/>
      <c r="AX835" s="114" t="s">
        <v>76</v>
      </c>
      <c r="AY835" s="43"/>
      <c r="AZ835" s="43"/>
      <c r="BA835" s="43"/>
      <c r="BB835" s="43"/>
    </row>
    <row r="836" spans="2:54" ht="12.75" customHeight="1">
      <c r="B836" s="320"/>
      <c r="C836" s="134"/>
      <c r="D836" s="98"/>
      <c r="E836" s="504"/>
      <c r="F836" s="306"/>
      <c r="G836" s="265"/>
      <c r="H836" s="266"/>
      <c r="I836" s="297"/>
      <c r="J836" s="298"/>
      <c r="K836" s="298"/>
      <c r="L836" s="298"/>
      <c r="M836" s="41"/>
      <c r="N836" s="21"/>
      <c r="O836" s="21"/>
      <c r="P836" s="21"/>
      <c r="Q836" s="326"/>
      <c r="R836" s="40"/>
      <c r="S836" s="84"/>
      <c r="T836" s="40"/>
      <c r="U836" s="42"/>
      <c r="V836" s="78"/>
      <c r="Z836" s="181"/>
      <c r="AA836" s="183"/>
      <c r="AC836" s="26"/>
      <c r="AD836" s="279"/>
      <c r="AE836" s="26"/>
      <c r="AF836" s="26"/>
      <c r="AG836" s="278" t="str">
        <f t="shared" si="120"/>
        <v/>
      </c>
      <c r="AH836" s="278" t="str">
        <f t="shared" si="121"/>
        <v/>
      </c>
      <c r="AJ836" s="25"/>
      <c r="AK836" s="25"/>
      <c r="AL836" s="25"/>
      <c r="AM836" s="25"/>
      <c r="AN836" s="25"/>
      <c r="AO836" s="25"/>
      <c r="AP836" s="25"/>
      <c r="AQ836" s="25"/>
      <c r="AR836" s="25"/>
      <c r="AS836" s="25"/>
      <c r="AT836" s="25"/>
      <c r="AU836" s="25"/>
      <c r="AV836" s="43"/>
      <c r="AW836" s="43"/>
      <c r="AX836" s="114" t="s">
        <v>76</v>
      </c>
      <c r="AY836" s="43"/>
      <c r="AZ836" s="43"/>
      <c r="BA836" s="43"/>
      <c r="BB836" s="43"/>
    </row>
    <row r="837" spans="2:54" ht="12.75" customHeight="1">
      <c r="B837" s="320"/>
      <c r="C837" s="134"/>
      <c r="D837" s="98"/>
      <c r="E837" s="504"/>
      <c r="F837" s="306"/>
      <c r="G837" s="265"/>
      <c r="H837" s="266"/>
      <c r="I837" s="297"/>
      <c r="J837" s="298"/>
      <c r="K837" s="298"/>
      <c r="L837" s="298"/>
      <c r="M837" s="41"/>
      <c r="N837" s="21"/>
      <c r="O837" s="21"/>
      <c r="P837" s="21"/>
      <c r="Q837" s="326"/>
      <c r="R837" s="40"/>
      <c r="S837" s="84"/>
      <c r="T837" s="40"/>
      <c r="U837" s="42"/>
      <c r="V837" s="78"/>
      <c r="Z837" s="181"/>
      <c r="AA837" s="183"/>
      <c r="AC837" s="26"/>
      <c r="AD837" s="279"/>
      <c r="AE837" s="26"/>
      <c r="AF837" s="26"/>
      <c r="AG837" s="278" t="str">
        <f t="shared" si="120"/>
        <v/>
      </c>
      <c r="AH837" s="278" t="str">
        <f t="shared" si="121"/>
        <v/>
      </c>
      <c r="AJ837" s="25"/>
      <c r="AK837" s="25"/>
      <c r="AL837" s="25"/>
      <c r="AM837" s="25"/>
      <c r="AN837" s="25"/>
      <c r="AO837" s="25"/>
      <c r="AP837" s="25"/>
      <c r="AQ837" s="25"/>
      <c r="AR837" s="25"/>
      <c r="AS837" s="25"/>
      <c r="AT837" s="25"/>
      <c r="AU837" s="25"/>
      <c r="AV837" s="43"/>
      <c r="AW837" s="43"/>
      <c r="AX837" s="114" t="s">
        <v>76</v>
      </c>
      <c r="AY837" s="43"/>
      <c r="AZ837" s="43"/>
      <c r="BA837" s="43"/>
      <c r="BB837" s="43"/>
    </row>
    <row r="838" spans="2:54" ht="12.75" customHeight="1">
      <c r="B838" s="320"/>
      <c r="C838" s="134"/>
      <c r="D838" s="98"/>
      <c r="E838" s="504"/>
      <c r="F838" s="306"/>
      <c r="G838" s="265"/>
      <c r="H838" s="266"/>
      <c r="I838" s="297"/>
      <c r="J838" s="298"/>
      <c r="K838" s="298"/>
      <c r="L838" s="298"/>
      <c r="M838" s="41"/>
      <c r="N838" s="21"/>
      <c r="O838" s="21"/>
      <c r="P838" s="21"/>
      <c r="Q838" s="326"/>
      <c r="R838" s="40"/>
      <c r="S838" s="84"/>
      <c r="T838" s="40"/>
      <c r="U838" s="42"/>
      <c r="V838" s="78"/>
      <c r="Z838" s="181"/>
      <c r="AA838" s="183"/>
      <c r="AC838" s="26"/>
      <c r="AD838" s="279"/>
      <c r="AE838" s="26"/>
      <c r="AF838" s="26"/>
      <c r="AG838" s="278" t="str">
        <f t="shared" ref="AG838:AG901" si="122">IF(AE838="","",AE838*AltBounce)</f>
        <v/>
      </c>
      <c r="AH838" s="278" t="str">
        <f t="shared" ref="AH838:AH901" si="123">IF(AA838="","",AE838*(1/AltBounce))</f>
        <v/>
      </c>
      <c r="AJ838" s="25"/>
      <c r="AK838" s="25"/>
      <c r="AL838" s="25"/>
      <c r="AM838" s="25"/>
      <c r="AN838" s="25"/>
      <c r="AO838" s="25"/>
      <c r="AP838" s="25"/>
      <c r="AQ838" s="25"/>
      <c r="AR838" s="25"/>
      <c r="AS838" s="25"/>
      <c r="AT838" s="25"/>
      <c r="AU838" s="25"/>
      <c r="AV838" s="43"/>
      <c r="AW838" s="43"/>
      <c r="AX838" s="114" t="s">
        <v>76</v>
      </c>
      <c r="AY838" s="43"/>
      <c r="AZ838" s="43"/>
      <c r="BA838" s="43"/>
      <c r="BB838" s="43"/>
    </row>
    <row r="839" spans="2:54" ht="12.75" customHeight="1">
      <c r="B839" s="320"/>
      <c r="C839" s="134"/>
      <c r="D839" s="98"/>
      <c r="E839" s="504"/>
      <c r="F839" s="306"/>
      <c r="G839" s="265"/>
      <c r="H839" s="266"/>
      <c r="I839" s="297"/>
      <c r="J839" s="298"/>
      <c r="K839" s="298"/>
      <c r="L839" s="298"/>
      <c r="M839" s="41"/>
      <c r="N839" s="21"/>
      <c r="O839" s="21"/>
      <c r="P839" s="21"/>
      <c r="Q839" s="326"/>
      <c r="R839" s="40"/>
      <c r="S839" s="84"/>
      <c r="T839" s="40"/>
      <c r="U839" s="42"/>
      <c r="V839" s="78"/>
      <c r="Z839" s="181"/>
      <c r="AA839" s="183"/>
      <c r="AC839" s="26"/>
      <c r="AD839" s="279"/>
      <c r="AE839" s="26"/>
      <c r="AF839" s="26"/>
      <c r="AG839" s="278" t="str">
        <f t="shared" si="122"/>
        <v/>
      </c>
      <c r="AH839" s="278" t="str">
        <f t="shared" si="123"/>
        <v/>
      </c>
      <c r="AJ839" s="25"/>
      <c r="AK839" s="25"/>
      <c r="AL839" s="25"/>
      <c r="AM839" s="25"/>
      <c r="AN839" s="25"/>
      <c r="AO839" s="25"/>
      <c r="AP839" s="25"/>
      <c r="AQ839" s="25"/>
      <c r="AR839" s="25"/>
      <c r="AS839" s="25"/>
      <c r="AT839" s="25"/>
      <c r="AU839" s="25"/>
      <c r="AV839" s="43"/>
      <c r="AW839" s="43"/>
      <c r="AX839" s="114" t="s">
        <v>76</v>
      </c>
      <c r="AY839" s="43"/>
      <c r="AZ839" s="43"/>
      <c r="BA839" s="43"/>
      <c r="BB839" s="43"/>
    </row>
    <row r="840" spans="2:54" ht="12.75" customHeight="1">
      <c r="B840" s="320"/>
      <c r="C840" s="134"/>
      <c r="D840" s="98"/>
      <c r="E840" s="504"/>
      <c r="F840" s="306"/>
      <c r="G840" s="265"/>
      <c r="H840" s="266"/>
      <c r="I840" s="297"/>
      <c r="J840" s="298"/>
      <c r="K840" s="298"/>
      <c r="L840" s="298"/>
      <c r="M840" s="41"/>
      <c r="N840" s="21"/>
      <c r="O840" s="21"/>
      <c r="P840" s="21"/>
      <c r="Q840" s="326"/>
      <c r="R840" s="40"/>
      <c r="S840" s="84"/>
      <c r="T840" s="40"/>
      <c r="U840" s="42"/>
      <c r="V840" s="78"/>
      <c r="Z840" s="181"/>
      <c r="AA840" s="183"/>
      <c r="AC840" s="26"/>
      <c r="AD840" s="279"/>
      <c r="AE840" s="26"/>
      <c r="AF840" s="26"/>
      <c r="AG840" s="278" t="str">
        <f t="shared" si="122"/>
        <v/>
      </c>
      <c r="AH840" s="278" t="str">
        <f t="shared" si="123"/>
        <v/>
      </c>
      <c r="AJ840" s="25"/>
      <c r="AK840" s="25"/>
      <c r="AL840" s="25"/>
      <c r="AM840" s="25"/>
      <c r="AN840" s="25"/>
      <c r="AO840" s="25"/>
      <c r="AP840" s="25"/>
      <c r="AQ840" s="25"/>
      <c r="AR840" s="25"/>
      <c r="AS840" s="25"/>
      <c r="AT840" s="25"/>
      <c r="AU840" s="25"/>
      <c r="AV840" s="43"/>
      <c r="AW840" s="43"/>
      <c r="AX840" s="114" t="s">
        <v>76</v>
      </c>
      <c r="AY840" s="43"/>
      <c r="AZ840" s="43"/>
      <c r="BA840" s="43"/>
      <c r="BB840" s="43"/>
    </row>
    <row r="841" spans="2:54" ht="12.75" customHeight="1">
      <c r="B841" s="320"/>
      <c r="C841" s="134"/>
      <c r="D841" s="98"/>
      <c r="E841" s="504"/>
      <c r="F841" s="306"/>
      <c r="G841" s="265"/>
      <c r="H841" s="266"/>
      <c r="I841" s="297"/>
      <c r="J841" s="298"/>
      <c r="K841" s="298"/>
      <c r="L841" s="298"/>
      <c r="M841" s="41"/>
      <c r="N841" s="21"/>
      <c r="O841" s="21"/>
      <c r="P841" s="21"/>
      <c r="Q841" s="326"/>
      <c r="R841" s="40"/>
      <c r="S841" s="84"/>
      <c r="T841" s="40"/>
      <c r="U841" s="42"/>
      <c r="V841" s="78"/>
      <c r="Z841" s="181"/>
      <c r="AA841" s="183"/>
      <c r="AC841" s="26"/>
      <c r="AD841" s="279"/>
      <c r="AE841" s="26"/>
      <c r="AF841" s="26"/>
      <c r="AG841" s="278" t="str">
        <f t="shared" si="122"/>
        <v/>
      </c>
      <c r="AH841" s="278" t="str">
        <f t="shared" si="123"/>
        <v/>
      </c>
      <c r="AJ841" s="25"/>
      <c r="AK841" s="25"/>
      <c r="AL841" s="25"/>
      <c r="AM841" s="25"/>
      <c r="AN841" s="25"/>
      <c r="AO841" s="25"/>
      <c r="AP841" s="25"/>
      <c r="AQ841" s="25"/>
      <c r="AR841" s="25"/>
      <c r="AS841" s="25"/>
      <c r="AT841" s="25"/>
      <c r="AU841" s="25"/>
      <c r="AV841" s="43"/>
      <c r="AW841" s="43"/>
      <c r="AX841" s="114" t="s">
        <v>76</v>
      </c>
      <c r="AY841" s="43"/>
      <c r="AZ841" s="43"/>
      <c r="BA841" s="43"/>
      <c r="BB841" s="43"/>
    </row>
    <row r="842" spans="2:54" ht="12.75" customHeight="1">
      <c r="B842" s="320"/>
      <c r="C842" s="134"/>
      <c r="D842" s="98"/>
      <c r="E842" s="504"/>
      <c r="F842" s="306"/>
      <c r="G842" s="265"/>
      <c r="H842" s="266"/>
      <c r="I842" s="297"/>
      <c r="J842" s="298"/>
      <c r="K842" s="298"/>
      <c r="L842" s="298"/>
      <c r="M842" s="41"/>
      <c r="N842" s="21"/>
      <c r="O842" s="21"/>
      <c r="P842" s="21"/>
      <c r="Q842" s="326"/>
      <c r="R842" s="40"/>
      <c r="S842" s="84"/>
      <c r="T842" s="40"/>
      <c r="U842" s="42"/>
      <c r="V842" s="78"/>
      <c r="Z842" s="181"/>
      <c r="AA842" s="183"/>
      <c r="AC842" s="26"/>
      <c r="AD842" s="279"/>
      <c r="AE842" s="26"/>
      <c r="AF842" s="26"/>
      <c r="AG842" s="278" t="str">
        <f t="shared" si="122"/>
        <v/>
      </c>
      <c r="AH842" s="278" t="str">
        <f t="shared" si="123"/>
        <v/>
      </c>
      <c r="AJ842" s="25"/>
      <c r="AK842" s="25"/>
      <c r="AL842" s="25"/>
      <c r="AM842" s="25"/>
      <c r="AN842" s="25"/>
      <c r="AO842" s="25"/>
      <c r="AP842" s="25"/>
      <c r="AQ842" s="25"/>
      <c r="AR842" s="25"/>
      <c r="AS842" s="25"/>
      <c r="AT842" s="25"/>
      <c r="AU842" s="25"/>
      <c r="AV842" s="43"/>
      <c r="AW842" s="43"/>
      <c r="AX842" s="114" t="s">
        <v>76</v>
      </c>
      <c r="AY842" s="43"/>
      <c r="AZ842" s="43"/>
      <c r="BA842" s="43"/>
      <c r="BB842" s="43"/>
    </row>
    <row r="843" spans="2:54" ht="12.75" customHeight="1">
      <c r="B843" s="320"/>
      <c r="C843" s="134"/>
      <c r="D843" s="98"/>
      <c r="E843" s="504"/>
      <c r="F843" s="306"/>
      <c r="G843" s="265"/>
      <c r="H843" s="266"/>
      <c r="I843" s="297"/>
      <c r="J843" s="298"/>
      <c r="K843" s="298"/>
      <c r="L843" s="298"/>
      <c r="M843" s="41"/>
      <c r="N843" s="21"/>
      <c r="O843" s="21"/>
      <c r="P843" s="21"/>
      <c r="Q843" s="326"/>
      <c r="R843" s="40"/>
      <c r="S843" s="84"/>
      <c r="T843" s="40"/>
      <c r="U843" s="42"/>
      <c r="V843" s="78"/>
      <c r="Z843" s="181"/>
      <c r="AA843" s="183"/>
      <c r="AC843" s="26"/>
      <c r="AD843" s="279"/>
      <c r="AE843" s="26"/>
      <c r="AF843" s="26"/>
      <c r="AG843" s="278" t="str">
        <f t="shared" si="122"/>
        <v/>
      </c>
      <c r="AH843" s="278" t="str">
        <f t="shared" si="123"/>
        <v/>
      </c>
      <c r="AJ843" s="25"/>
      <c r="AK843" s="25"/>
      <c r="AL843" s="25"/>
      <c r="AM843" s="25"/>
      <c r="AN843" s="25"/>
      <c r="AO843" s="25"/>
      <c r="AP843" s="25"/>
      <c r="AQ843" s="25"/>
      <c r="AR843" s="25"/>
      <c r="AS843" s="25"/>
      <c r="AT843" s="25"/>
      <c r="AU843" s="25"/>
      <c r="AV843" s="43"/>
      <c r="AW843" s="43"/>
      <c r="AX843" s="114" t="s">
        <v>76</v>
      </c>
      <c r="AY843" s="43"/>
      <c r="AZ843" s="43"/>
      <c r="BA843" s="43"/>
      <c r="BB843" s="43"/>
    </row>
    <row r="844" spans="2:54" ht="12.75" customHeight="1">
      <c r="B844" s="320"/>
      <c r="C844" s="134"/>
      <c r="D844" s="98"/>
      <c r="E844" s="504"/>
      <c r="F844" s="306"/>
      <c r="G844" s="265"/>
      <c r="H844" s="266"/>
      <c r="I844" s="297"/>
      <c r="J844" s="298"/>
      <c r="K844" s="298"/>
      <c r="L844" s="298"/>
      <c r="M844" s="41"/>
      <c r="N844" s="21"/>
      <c r="O844" s="21"/>
      <c r="P844" s="21"/>
      <c r="Q844" s="326"/>
      <c r="R844" s="40"/>
      <c r="S844" s="84"/>
      <c r="T844" s="40"/>
      <c r="U844" s="42"/>
      <c r="V844" s="78"/>
      <c r="Z844" s="181"/>
      <c r="AA844" s="183"/>
      <c r="AC844" s="26"/>
      <c r="AD844" s="279"/>
      <c r="AE844" s="26"/>
      <c r="AF844" s="26"/>
      <c r="AG844" s="278" t="str">
        <f t="shared" si="122"/>
        <v/>
      </c>
      <c r="AH844" s="278" t="str">
        <f t="shared" si="123"/>
        <v/>
      </c>
      <c r="AJ844" s="25"/>
      <c r="AK844" s="25"/>
      <c r="AL844" s="25"/>
      <c r="AM844" s="25"/>
      <c r="AN844" s="25"/>
      <c r="AO844" s="25"/>
      <c r="AP844" s="25"/>
      <c r="AQ844" s="25"/>
      <c r="AR844" s="25"/>
      <c r="AS844" s="25"/>
      <c r="AT844" s="25"/>
      <c r="AU844" s="25"/>
      <c r="AV844" s="43"/>
      <c r="AW844" s="43"/>
      <c r="AX844" s="114" t="s">
        <v>76</v>
      </c>
      <c r="AY844" s="43"/>
      <c r="AZ844" s="43"/>
      <c r="BA844" s="43"/>
      <c r="BB844" s="43"/>
    </row>
    <row r="845" spans="2:54" ht="12.75" customHeight="1">
      <c r="B845" s="320"/>
      <c r="C845" s="134"/>
      <c r="D845" s="98"/>
      <c r="E845" s="504"/>
      <c r="F845" s="306"/>
      <c r="G845" s="265"/>
      <c r="H845" s="266"/>
      <c r="I845" s="297"/>
      <c r="J845" s="298"/>
      <c r="K845" s="298"/>
      <c r="L845" s="298"/>
      <c r="M845" s="41"/>
      <c r="N845" s="21"/>
      <c r="O845" s="21"/>
      <c r="P845" s="21"/>
      <c r="Q845" s="326"/>
      <c r="R845" s="40"/>
      <c r="S845" s="84"/>
      <c r="T845" s="40"/>
      <c r="U845" s="42"/>
      <c r="V845" s="78"/>
      <c r="Z845" s="181"/>
      <c r="AA845" s="183"/>
      <c r="AC845" s="26"/>
      <c r="AD845" s="279"/>
      <c r="AE845" s="26"/>
      <c r="AF845" s="26"/>
      <c r="AG845" s="278" t="str">
        <f t="shared" si="122"/>
        <v/>
      </c>
      <c r="AH845" s="278" t="str">
        <f t="shared" si="123"/>
        <v/>
      </c>
      <c r="AJ845" s="25"/>
      <c r="AK845" s="25"/>
      <c r="AL845" s="25"/>
      <c r="AM845" s="25"/>
      <c r="AN845" s="25"/>
      <c r="AO845" s="25"/>
      <c r="AP845" s="25"/>
      <c r="AQ845" s="25"/>
      <c r="AR845" s="25"/>
      <c r="AS845" s="25"/>
      <c r="AT845" s="25"/>
      <c r="AU845" s="25"/>
      <c r="AV845" s="43"/>
      <c r="AW845" s="43"/>
      <c r="AX845" s="114" t="s">
        <v>76</v>
      </c>
      <c r="AY845" s="43"/>
      <c r="AZ845" s="43"/>
      <c r="BA845" s="43"/>
      <c r="BB845" s="43"/>
    </row>
    <row r="846" spans="2:54" ht="12.75" customHeight="1">
      <c r="B846" s="320"/>
      <c r="C846" s="134"/>
      <c r="D846" s="98"/>
      <c r="E846" s="504"/>
      <c r="F846" s="306"/>
      <c r="G846" s="265"/>
      <c r="H846" s="266"/>
      <c r="I846" s="297"/>
      <c r="J846" s="298"/>
      <c r="K846" s="298"/>
      <c r="L846" s="298"/>
      <c r="M846" s="41"/>
      <c r="N846" s="21"/>
      <c r="O846" s="21"/>
      <c r="P846" s="21"/>
      <c r="Q846" s="326"/>
      <c r="R846" s="40"/>
      <c r="S846" s="84"/>
      <c r="T846" s="40"/>
      <c r="U846" s="42"/>
      <c r="V846" s="78"/>
      <c r="Z846" s="181"/>
      <c r="AA846" s="183"/>
      <c r="AC846" s="26"/>
      <c r="AD846" s="279"/>
      <c r="AE846" s="26"/>
      <c r="AF846" s="26"/>
      <c r="AG846" s="278" t="str">
        <f t="shared" si="122"/>
        <v/>
      </c>
      <c r="AH846" s="278" t="str">
        <f t="shared" si="123"/>
        <v/>
      </c>
      <c r="AJ846" s="25"/>
      <c r="AK846" s="25"/>
      <c r="AL846" s="25"/>
      <c r="AM846" s="25"/>
      <c r="AN846" s="25"/>
      <c r="AO846" s="25"/>
      <c r="AP846" s="25"/>
      <c r="AQ846" s="25"/>
      <c r="AR846" s="25"/>
      <c r="AS846" s="25"/>
      <c r="AT846" s="25"/>
      <c r="AU846" s="25"/>
      <c r="AV846" s="43"/>
      <c r="AW846" s="43"/>
      <c r="AX846" s="114" t="s">
        <v>76</v>
      </c>
      <c r="AY846" s="43"/>
      <c r="AZ846" s="43"/>
      <c r="BA846" s="43"/>
      <c r="BB846" s="43"/>
    </row>
    <row r="847" spans="2:54" ht="12.75" customHeight="1">
      <c r="B847" s="320"/>
      <c r="C847" s="134"/>
      <c r="D847" s="98"/>
      <c r="E847" s="504"/>
      <c r="F847" s="306"/>
      <c r="G847" s="265"/>
      <c r="H847" s="266"/>
      <c r="I847" s="297"/>
      <c r="J847" s="298"/>
      <c r="K847" s="298"/>
      <c r="L847" s="298"/>
      <c r="M847" s="41"/>
      <c r="N847" s="21"/>
      <c r="O847" s="21"/>
      <c r="P847" s="21"/>
      <c r="Q847" s="326"/>
      <c r="R847" s="40"/>
      <c r="S847" s="84"/>
      <c r="T847" s="40"/>
      <c r="U847" s="42"/>
      <c r="V847" s="78"/>
      <c r="Z847" s="181"/>
      <c r="AA847" s="183"/>
      <c r="AC847" s="26"/>
      <c r="AD847" s="279"/>
      <c r="AE847" s="26"/>
      <c r="AF847" s="26"/>
      <c r="AG847" s="278" t="str">
        <f t="shared" si="122"/>
        <v/>
      </c>
      <c r="AH847" s="278" t="str">
        <f t="shared" si="123"/>
        <v/>
      </c>
      <c r="AJ847" s="25"/>
      <c r="AK847" s="25"/>
      <c r="AL847" s="25"/>
      <c r="AM847" s="25"/>
      <c r="AN847" s="25"/>
      <c r="AO847" s="25"/>
      <c r="AP847" s="25"/>
      <c r="AQ847" s="25"/>
      <c r="AR847" s="25"/>
      <c r="AS847" s="25"/>
      <c r="AT847" s="25"/>
      <c r="AU847" s="25"/>
      <c r="AV847" s="43"/>
      <c r="AW847" s="43"/>
      <c r="AX847" s="114" t="s">
        <v>76</v>
      </c>
      <c r="AY847" s="43"/>
      <c r="AZ847" s="43"/>
      <c r="BA847" s="43"/>
      <c r="BB847" s="43"/>
    </row>
    <row r="848" spans="2:54" ht="12.75" customHeight="1">
      <c r="B848" s="320"/>
      <c r="C848" s="134"/>
      <c r="D848" s="98"/>
      <c r="E848" s="504"/>
      <c r="F848" s="306"/>
      <c r="G848" s="265"/>
      <c r="H848" s="266"/>
      <c r="I848" s="297"/>
      <c r="J848" s="298"/>
      <c r="K848" s="298"/>
      <c r="L848" s="298"/>
      <c r="M848" s="41"/>
      <c r="N848" s="21"/>
      <c r="O848" s="21"/>
      <c r="P848" s="21"/>
      <c r="Q848" s="326"/>
      <c r="R848" s="40"/>
      <c r="S848" s="84"/>
      <c r="T848" s="40"/>
      <c r="U848" s="42"/>
      <c r="V848" s="78"/>
      <c r="Z848" s="181"/>
      <c r="AA848" s="183"/>
      <c r="AC848" s="26"/>
      <c r="AD848" s="279"/>
      <c r="AE848" s="26"/>
      <c r="AF848" s="26"/>
      <c r="AG848" s="278" t="str">
        <f t="shared" si="122"/>
        <v/>
      </c>
      <c r="AH848" s="278" t="str">
        <f t="shared" si="123"/>
        <v/>
      </c>
      <c r="AJ848" s="25"/>
      <c r="AK848" s="25"/>
      <c r="AL848" s="25"/>
      <c r="AM848" s="25"/>
      <c r="AN848" s="25"/>
      <c r="AO848" s="25"/>
      <c r="AP848" s="25"/>
      <c r="AQ848" s="25"/>
      <c r="AR848" s="25"/>
      <c r="AS848" s="25"/>
      <c r="AT848" s="25"/>
      <c r="AU848" s="25"/>
      <c r="AV848" s="43"/>
      <c r="AW848" s="43"/>
      <c r="AX848" s="114" t="s">
        <v>76</v>
      </c>
      <c r="AY848" s="43"/>
      <c r="AZ848" s="43"/>
      <c r="BA848" s="43"/>
      <c r="BB848" s="43"/>
    </row>
    <row r="849" spans="2:54" ht="12.75" customHeight="1">
      <c r="B849" s="320"/>
      <c r="C849" s="134"/>
      <c r="D849" s="98"/>
      <c r="E849" s="504"/>
      <c r="F849" s="306"/>
      <c r="G849" s="265"/>
      <c r="H849" s="266"/>
      <c r="I849" s="297"/>
      <c r="J849" s="298"/>
      <c r="K849" s="298"/>
      <c r="L849" s="298"/>
      <c r="M849" s="41"/>
      <c r="N849" s="21"/>
      <c r="O849" s="21"/>
      <c r="P849" s="21"/>
      <c r="Q849" s="326"/>
      <c r="R849" s="40"/>
      <c r="S849" s="84"/>
      <c r="T849" s="40"/>
      <c r="U849" s="42"/>
      <c r="V849" s="78"/>
      <c r="Z849" s="181"/>
      <c r="AA849" s="183"/>
      <c r="AC849" s="26"/>
      <c r="AD849" s="279"/>
      <c r="AE849" s="26"/>
      <c r="AF849" s="26"/>
      <c r="AG849" s="278" t="str">
        <f t="shared" si="122"/>
        <v/>
      </c>
      <c r="AH849" s="278" t="str">
        <f t="shared" si="123"/>
        <v/>
      </c>
      <c r="AJ849" s="25"/>
      <c r="AK849" s="25"/>
      <c r="AL849" s="25"/>
      <c r="AM849" s="25"/>
      <c r="AN849" s="25"/>
      <c r="AO849" s="25"/>
      <c r="AP849" s="25"/>
      <c r="AQ849" s="25"/>
      <c r="AR849" s="25"/>
      <c r="AS849" s="25"/>
      <c r="AT849" s="25"/>
      <c r="AU849" s="25"/>
      <c r="AV849" s="43"/>
      <c r="AW849" s="43"/>
      <c r="AX849" s="114" t="s">
        <v>76</v>
      </c>
      <c r="AY849" s="43"/>
      <c r="AZ849" s="43"/>
      <c r="BA849" s="43"/>
      <c r="BB849" s="43"/>
    </row>
    <row r="850" spans="2:54" ht="12.75" customHeight="1">
      <c r="B850" s="320"/>
      <c r="C850" s="134"/>
      <c r="D850" s="98"/>
      <c r="E850" s="504"/>
      <c r="F850" s="306"/>
      <c r="G850" s="265"/>
      <c r="H850" s="266"/>
      <c r="I850" s="297"/>
      <c r="J850" s="298"/>
      <c r="K850" s="298"/>
      <c r="L850" s="298"/>
      <c r="M850" s="41"/>
      <c r="N850" s="21"/>
      <c r="O850" s="21"/>
      <c r="P850" s="21"/>
      <c r="Q850" s="326"/>
      <c r="R850" s="40"/>
      <c r="S850" s="84"/>
      <c r="T850" s="40"/>
      <c r="U850" s="42"/>
      <c r="V850" s="78"/>
      <c r="Z850" s="181"/>
      <c r="AA850" s="183"/>
      <c r="AC850" s="26"/>
      <c r="AD850" s="279"/>
      <c r="AE850" s="26"/>
      <c r="AF850" s="26"/>
      <c r="AG850" s="278" t="str">
        <f t="shared" si="122"/>
        <v/>
      </c>
      <c r="AH850" s="278" t="str">
        <f t="shared" si="123"/>
        <v/>
      </c>
      <c r="AJ850" s="25"/>
      <c r="AK850" s="25"/>
      <c r="AL850" s="25"/>
      <c r="AM850" s="25"/>
      <c r="AN850" s="25"/>
      <c r="AO850" s="25"/>
      <c r="AP850" s="25"/>
      <c r="AQ850" s="25"/>
      <c r="AR850" s="25"/>
      <c r="AS850" s="25"/>
      <c r="AT850" s="25"/>
      <c r="AU850" s="25"/>
      <c r="AV850" s="43"/>
      <c r="AW850" s="43"/>
      <c r="AX850" s="114" t="s">
        <v>76</v>
      </c>
      <c r="AY850" s="43"/>
      <c r="AZ850" s="43"/>
      <c r="BA850" s="43"/>
      <c r="BB850" s="43"/>
    </row>
    <row r="851" spans="2:54" ht="12.75" customHeight="1">
      <c r="B851" s="320"/>
      <c r="C851" s="134"/>
      <c r="D851" s="98"/>
      <c r="E851" s="504"/>
      <c r="F851" s="306"/>
      <c r="G851" s="265"/>
      <c r="H851" s="266"/>
      <c r="I851" s="297"/>
      <c r="J851" s="298"/>
      <c r="K851" s="298"/>
      <c r="L851" s="298"/>
      <c r="M851" s="41"/>
      <c r="N851" s="21"/>
      <c r="O851" s="21"/>
      <c r="P851" s="21"/>
      <c r="Q851" s="326"/>
      <c r="R851" s="40"/>
      <c r="S851" s="84"/>
      <c r="T851" s="40"/>
      <c r="U851" s="42"/>
      <c r="V851" s="78"/>
      <c r="Z851" s="181"/>
      <c r="AA851" s="183"/>
      <c r="AC851" s="26"/>
      <c r="AD851" s="279"/>
      <c r="AE851" s="26"/>
      <c r="AF851" s="26"/>
      <c r="AG851" s="278" t="str">
        <f t="shared" si="122"/>
        <v/>
      </c>
      <c r="AH851" s="278" t="str">
        <f t="shared" si="123"/>
        <v/>
      </c>
      <c r="AJ851" s="25"/>
      <c r="AK851" s="25"/>
      <c r="AL851" s="25"/>
      <c r="AM851" s="25"/>
      <c r="AN851" s="25"/>
      <c r="AO851" s="25"/>
      <c r="AP851" s="25"/>
      <c r="AQ851" s="25"/>
      <c r="AR851" s="25"/>
      <c r="AS851" s="25"/>
      <c r="AT851" s="25"/>
      <c r="AU851" s="25"/>
      <c r="AV851" s="43"/>
      <c r="AW851" s="43"/>
      <c r="AX851" s="114" t="s">
        <v>76</v>
      </c>
      <c r="AY851" s="43"/>
      <c r="AZ851" s="43"/>
      <c r="BA851" s="43"/>
      <c r="BB851" s="43"/>
    </row>
    <row r="852" spans="2:54" ht="12.75" customHeight="1">
      <c r="B852" s="320"/>
      <c r="C852" s="134"/>
      <c r="D852" s="98"/>
      <c r="E852" s="504"/>
      <c r="F852" s="306"/>
      <c r="G852" s="265"/>
      <c r="H852" s="266"/>
      <c r="I852" s="297"/>
      <c r="J852" s="298"/>
      <c r="K852" s="298"/>
      <c r="L852" s="298"/>
      <c r="M852" s="41"/>
      <c r="N852" s="21"/>
      <c r="O852" s="21"/>
      <c r="P852" s="21"/>
      <c r="Q852" s="326"/>
      <c r="R852" s="40"/>
      <c r="S852" s="84"/>
      <c r="T852" s="40"/>
      <c r="U852" s="42"/>
      <c r="V852" s="78"/>
      <c r="Z852" s="181"/>
      <c r="AA852" s="183"/>
      <c r="AC852" s="26"/>
      <c r="AD852" s="279"/>
      <c r="AE852" s="26"/>
      <c r="AF852" s="26"/>
      <c r="AG852" s="278" t="str">
        <f t="shared" si="122"/>
        <v/>
      </c>
      <c r="AH852" s="278" t="str">
        <f t="shared" si="123"/>
        <v/>
      </c>
      <c r="AJ852" s="25"/>
      <c r="AK852" s="25"/>
      <c r="AL852" s="25"/>
      <c r="AM852" s="25"/>
      <c r="AN852" s="25"/>
      <c r="AO852" s="25"/>
      <c r="AP852" s="25"/>
      <c r="AQ852" s="25"/>
      <c r="AR852" s="25"/>
      <c r="AS852" s="25"/>
      <c r="AT852" s="25"/>
      <c r="AU852" s="25"/>
      <c r="AV852" s="43"/>
      <c r="AW852" s="43"/>
      <c r="AX852" s="114" t="s">
        <v>76</v>
      </c>
      <c r="AY852" s="43"/>
      <c r="AZ852" s="43"/>
      <c r="BA852" s="43"/>
      <c r="BB852" s="43"/>
    </row>
    <row r="853" spans="2:54" ht="12.75" customHeight="1">
      <c r="B853" s="320"/>
      <c r="C853" s="134"/>
      <c r="D853" s="98"/>
      <c r="E853" s="504"/>
      <c r="F853" s="306"/>
      <c r="G853" s="265"/>
      <c r="H853" s="266"/>
      <c r="I853" s="297"/>
      <c r="J853" s="298"/>
      <c r="K853" s="298"/>
      <c r="L853" s="298"/>
      <c r="M853" s="41"/>
      <c r="N853" s="21"/>
      <c r="O853" s="21"/>
      <c r="P853" s="21"/>
      <c r="Q853" s="326"/>
      <c r="R853" s="40"/>
      <c r="S853" s="84"/>
      <c r="T853" s="40"/>
      <c r="U853" s="42"/>
      <c r="V853" s="78"/>
      <c r="Z853" s="181"/>
      <c r="AA853" s="183"/>
      <c r="AC853" s="26"/>
      <c r="AD853" s="279"/>
      <c r="AE853" s="26"/>
      <c r="AF853" s="26"/>
      <c r="AG853" s="278" t="str">
        <f t="shared" si="122"/>
        <v/>
      </c>
      <c r="AH853" s="278" t="str">
        <f t="shared" si="123"/>
        <v/>
      </c>
      <c r="AJ853" s="25"/>
      <c r="AK853" s="25"/>
      <c r="AL853" s="25"/>
      <c r="AM853" s="25"/>
      <c r="AN853" s="25"/>
      <c r="AO853" s="25"/>
      <c r="AP853" s="25"/>
      <c r="AQ853" s="25"/>
      <c r="AR853" s="25"/>
      <c r="AS853" s="25"/>
      <c r="AT853" s="25"/>
      <c r="AU853" s="25"/>
      <c r="AV853" s="43"/>
      <c r="AW853" s="43"/>
      <c r="AX853" s="114" t="s">
        <v>76</v>
      </c>
      <c r="AY853" s="43"/>
      <c r="AZ853" s="43"/>
      <c r="BA853" s="43"/>
      <c r="BB853" s="43"/>
    </row>
    <row r="854" spans="2:54" ht="12.75" customHeight="1">
      <c r="B854" s="320"/>
      <c r="C854" s="134"/>
      <c r="D854" s="98"/>
      <c r="E854" s="504"/>
      <c r="F854" s="306"/>
      <c r="G854" s="265"/>
      <c r="H854" s="266"/>
      <c r="I854" s="297"/>
      <c r="J854" s="298"/>
      <c r="K854" s="298"/>
      <c r="L854" s="298"/>
      <c r="M854" s="41"/>
      <c r="N854" s="21"/>
      <c r="O854" s="21"/>
      <c r="P854" s="21"/>
      <c r="Q854" s="326"/>
      <c r="R854" s="40"/>
      <c r="S854" s="84"/>
      <c r="T854" s="40"/>
      <c r="U854" s="42"/>
      <c r="V854" s="78"/>
      <c r="Z854" s="181"/>
      <c r="AA854" s="183"/>
      <c r="AC854" s="26"/>
      <c r="AD854" s="279"/>
      <c r="AE854" s="26"/>
      <c r="AF854" s="26"/>
      <c r="AG854" s="278" t="str">
        <f t="shared" si="122"/>
        <v/>
      </c>
      <c r="AH854" s="278" t="str">
        <f t="shared" si="123"/>
        <v/>
      </c>
      <c r="AJ854" s="25"/>
      <c r="AK854" s="25"/>
      <c r="AL854" s="25"/>
      <c r="AM854" s="25"/>
      <c r="AN854" s="25"/>
      <c r="AO854" s="25"/>
      <c r="AP854" s="25"/>
      <c r="AQ854" s="25"/>
      <c r="AR854" s="25"/>
      <c r="AS854" s="25"/>
      <c r="AT854" s="25"/>
      <c r="AU854" s="25"/>
      <c r="AV854" s="43"/>
      <c r="AW854" s="43"/>
      <c r="AX854" s="114" t="s">
        <v>76</v>
      </c>
      <c r="AY854" s="43"/>
      <c r="AZ854" s="43"/>
      <c r="BA854" s="43"/>
      <c r="BB854" s="43"/>
    </row>
    <row r="855" spans="2:54" ht="12.75" customHeight="1">
      <c r="B855" s="320"/>
      <c r="C855" s="134"/>
      <c r="D855" s="98"/>
      <c r="E855" s="504"/>
      <c r="F855" s="306"/>
      <c r="G855" s="265"/>
      <c r="H855" s="266"/>
      <c r="I855" s="297"/>
      <c r="J855" s="298"/>
      <c r="K855" s="298"/>
      <c r="L855" s="298"/>
      <c r="M855" s="41"/>
      <c r="N855" s="21"/>
      <c r="O855" s="21"/>
      <c r="P855" s="21"/>
      <c r="Q855" s="326"/>
      <c r="R855" s="40"/>
      <c r="S855" s="84"/>
      <c r="T855" s="40"/>
      <c r="U855" s="42"/>
      <c r="V855" s="78"/>
      <c r="Z855" s="181"/>
      <c r="AA855" s="183"/>
      <c r="AC855" s="26"/>
      <c r="AD855" s="279"/>
      <c r="AE855" s="26"/>
      <c r="AF855" s="26"/>
      <c r="AG855" s="278" t="str">
        <f t="shared" si="122"/>
        <v/>
      </c>
      <c r="AH855" s="278" t="str">
        <f t="shared" si="123"/>
        <v/>
      </c>
      <c r="AJ855" s="25"/>
      <c r="AK855" s="25"/>
      <c r="AL855" s="25"/>
      <c r="AM855" s="25"/>
      <c r="AN855" s="25"/>
      <c r="AO855" s="25"/>
      <c r="AP855" s="25"/>
      <c r="AQ855" s="25"/>
      <c r="AR855" s="25"/>
      <c r="AS855" s="25"/>
      <c r="AT855" s="25"/>
      <c r="AU855" s="25"/>
      <c r="AV855" s="43"/>
      <c r="AW855" s="43"/>
      <c r="AX855" s="114" t="s">
        <v>76</v>
      </c>
      <c r="AY855" s="43"/>
      <c r="AZ855" s="43"/>
      <c r="BA855" s="43"/>
      <c r="BB855" s="43"/>
    </row>
    <row r="856" spans="2:54" ht="12.75" customHeight="1">
      <c r="B856" s="320"/>
      <c r="C856" s="134"/>
      <c r="D856" s="98"/>
      <c r="E856" s="504"/>
      <c r="F856" s="306"/>
      <c r="G856" s="265"/>
      <c r="H856" s="266"/>
      <c r="I856" s="297"/>
      <c r="J856" s="298"/>
      <c r="K856" s="298"/>
      <c r="L856" s="298"/>
      <c r="M856" s="41"/>
      <c r="N856" s="21"/>
      <c r="O856" s="21"/>
      <c r="P856" s="21"/>
      <c r="Q856" s="326"/>
      <c r="R856" s="40"/>
      <c r="S856" s="84"/>
      <c r="T856" s="40"/>
      <c r="U856" s="42"/>
      <c r="V856" s="78"/>
      <c r="Z856" s="181"/>
      <c r="AA856" s="183"/>
      <c r="AC856" s="26"/>
      <c r="AD856" s="279"/>
      <c r="AE856" s="26"/>
      <c r="AF856" s="26"/>
      <c r="AG856" s="278" t="str">
        <f t="shared" si="122"/>
        <v/>
      </c>
      <c r="AH856" s="278" t="str">
        <f t="shared" si="123"/>
        <v/>
      </c>
      <c r="AJ856" s="25"/>
      <c r="AK856" s="25"/>
      <c r="AL856" s="25"/>
      <c r="AM856" s="25"/>
      <c r="AN856" s="25"/>
      <c r="AO856" s="25"/>
      <c r="AP856" s="25"/>
      <c r="AQ856" s="25"/>
      <c r="AR856" s="25"/>
      <c r="AS856" s="25"/>
      <c r="AT856" s="25"/>
      <c r="AU856" s="25"/>
      <c r="AV856" s="43"/>
      <c r="AW856" s="43"/>
      <c r="AX856" s="114" t="s">
        <v>76</v>
      </c>
      <c r="AY856" s="43"/>
      <c r="AZ856" s="43"/>
      <c r="BA856" s="43"/>
      <c r="BB856" s="43"/>
    </row>
    <row r="857" spans="2:54" ht="12.75" customHeight="1">
      <c r="B857" s="320"/>
      <c r="C857" s="134"/>
      <c r="D857" s="98"/>
      <c r="E857" s="504"/>
      <c r="F857" s="306"/>
      <c r="G857" s="265"/>
      <c r="H857" s="266"/>
      <c r="I857" s="297"/>
      <c r="J857" s="298"/>
      <c r="K857" s="298"/>
      <c r="L857" s="298"/>
      <c r="M857" s="41"/>
      <c r="N857" s="21"/>
      <c r="O857" s="21"/>
      <c r="P857" s="21"/>
      <c r="Q857" s="326"/>
      <c r="R857" s="40"/>
      <c r="S857" s="84"/>
      <c r="T857" s="40"/>
      <c r="U857" s="42"/>
      <c r="V857" s="78"/>
      <c r="Z857" s="181"/>
      <c r="AA857" s="183"/>
      <c r="AC857" s="26"/>
      <c r="AD857" s="279"/>
      <c r="AE857" s="26"/>
      <c r="AF857" s="26"/>
      <c r="AG857" s="278" t="str">
        <f t="shared" si="122"/>
        <v/>
      </c>
      <c r="AH857" s="278" t="str">
        <f t="shared" si="123"/>
        <v/>
      </c>
      <c r="AJ857" s="25"/>
      <c r="AK857" s="25"/>
      <c r="AL857" s="25"/>
      <c r="AM857" s="25"/>
      <c r="AN857" s="25"/>
      <c r="AO857" s="25"/>
      <c r="AP857" s="25"/>
      <c r="AQ857" s="25"/>
      <c r="AR857" s="25"/>
      <c r="AS857" s="25"/>
      <c r="AT857" s="25"/>
      <c r="AU857" s="25"/>
      <c r="AV857" s="43"/>
      <c r="AW857" s="43"/>
      <c r="AX857" s="114" t="s">
        <v>76</v>
      </c>
      <c r="AY857" s="43"/>
      <c r="AZ857" s="43"/>
      <c r="BA857" s="43"/>
      <c r="BB857" s="43"/>
    </row>
    <row r="858" spans="2:54" ht="12.75" customHeight="1">
      <c r="B858" s="320"/>
      <c r="C858" s="134"/>
      <c r="D858" s="98"/>
      <c r="E858" s="504"/>
      <c r="F858" s="306"/>
      <c r="G858" s="265"/>
      <c r="H858" s="266"/>
      <c r="I858" s="297"/>
      <c r="J858" s="298"/>
      <c r="K858" s="298"/>
      <c r="L858" s="298"/>
      <c r="M858" s="41"/>
      <c r="N858" s="21"/>
      <c r="O858" s="21"/>
      <c r="P858" s="21"/>
      <c r="Q858" s="326"/>
      <c r="R858" s="40"/>
      <c r="S858" s="84"/>
      <c r="T858" s="40"/>
      <c r="U858" s="42"/>
      <c r="V858" s="78"/>
      <c r="Z858" s="181"/>
      <c r="AA858" s="183"/>
      <c r="AC858" s="26"/>
      <c r="AD858" s="279"/>
      <c r="AE858" s="26"/>
      <c r="AF858" s="26"/>
      <c r="AG858" s="278" t="str">
        <f t="shared" si="122"/>
        <v/>
      </c>
      <c r="AH858" s="278" t="str">
        <f t="shared" si="123"/>
        <v/>
      </c>
      <c r="AJ858" s="25"/>
      <c r="AK858" s="25"/>
      <c r="AL858" s="25"/>
      <c r="AM858" s="25"/>
      <c r="AN858" s="25"/>
      <c r="AO858" s="25"/>
      <c r="AP858" s="25"/>
      <c r="AQ858" s="25"/>
      <c r="AR858" s="25"/>
      <c r="AS858" s="25"/>
      <c r="AT858" s="25"/>
      <c r="AU858" s="25"/>
      <c r="AV858" s="43"/>
      <c r="AW858" s="43"/>
      <c r="AX858" s="114" t="s">
        <v>76</v>
      </c>
      <c r="AY858" s="43"/>
      <c r="AZ858" s="43"/>
      <c r="BA858" s="43"/>
      <c r="BB858" s="43"/>
    </row>
    <row r="859" spans="2:54" ht="12.75" customHeight="1">
      <c r="B859" s="320"/>
      <c r="C859" s="134"/>
      <c r="D859" s="98"/>
      <c r="E859" s="504"/>
      <c r="F859" s="306"/>
      <c r="G859" s="265"/>
      <c r="H859" s="266"/>
      <c r="I859" s="297"/>
      <c r="J859" s="298"/>
      <c r="K859" s="298"/>
      <c r="L859" s="298"/>
      <c r="M859" s="41"/>
      <c r="N859" s="21"/>
      <c r="O859" s="21"/>
      <c r="P859" s="21"/>
      <c r="Q859" s="326"/>
      <c r="R859" s="40"/>
      <c r="S859" s="84"/>
      <c r="T859" s="40"/>
      <c r="U859" s="42"/>
      <c r="V859" s="78"/>
      <c r="Z859" s="181"/>
      <c r="AA859" s="183"/>
      <c r="AC859" s="26"/>
      <c r="AD859" s="279"/>
      <c r="AE859" s="26"/>
      <c r="AF859" s="26"/>
      <c r="AG859" s="278" t="str">
        <f t="shared" si="122"/>
        <v/>
      </c>
      <c r="AH859" s="278" t="str">
        <f t="shared" si="123"/>
        <v/>
      </c>
      <c r="AJ859" s="25"/>
      <c r="AK859" s="25"/>
      <c r="AL859" s="25"/>
      <c r="AM859" s="25"/>
      <c r="AN859" s="25"/>
      <c r="AO859" s="25"/>
      <c r="AP859" s="25"/>
      <c r="AQ859" s="25"/>
      <c r="AR859" s="25"/>
      <c r="AS859" s="25"/>
      <c r="AT859" s="25"/>
      <c r="AU859" s="25"/>
      <c r="AV859" s="43"/>
      <c r="AW859" s="43"/>
      <c r="AX859" s="114" t="s">
        <v>76</v>
      </c>
      <c r="AY859" s="43"/>
      <c r="AZ859" s="43"/>
      <c r="BA859" s="43"/>
      <c r="BB859" s="43"/>
    </row>
    <row r="860" spans="2:54" ht="12.75" customHeight="1">
      <c r="B860" s="320"/>
      <c r="C860" s="134"/>
      <c r="D860" s="98"/>
      <c r="E860" s="504"/>
      <c r="F860" s="306"/>
      <c r="G860" s="265"/>
      <c r="H860" s="266"/>
      <c r="I860" s="297"/>
      <c r="J860" s="298"/>
      <c r="K860" s="298"/>
      <c r="L860" s="298"/>
      <c r="M860" s="41"/>
      <c r="N860" s="21"/>
      <c r="O860" s="21"/>
      <c r="P860" s="21"/>
      <c r="Q860" s="326"/>
      <c r="R860" s="40"/>
      <c r="S860" s="84"/>
      <c r="T860" s="40"/>
      <c r="U860" s="42"/>
      <c r="V860" s="78"/>
      <c r="Z860" s="181"/>
      <c r="AA860" s="183"/>
      <c r="AC860" s="26"/>
      <c r="AD860" s="279"/>
      <c r="AE860" s="26"/>
      <c r="AF860" s="26"/>
      <c r="AG860" s="278" t="str">
        <f t="shared" si="122"/>
        <v/>
      </c>
      <c r="AH860" s="278" t="str">
        <f t="shared" si="123"/>
        <v/>
      </c>
      <c r="AJ860" s="25"/>
      <c r="AK860" s="25"/>
      <c r="AL860" s="25"/>
      <c r="AM860" s="25"/>
      <c r="AN860" s="25"/>
      <c r="AO860" s="25"/>
      <c r="AP860" s="25"/>
      <c r="AQ860" s="25"/>
      <c r="AR860" s="25"/>
      <c r="AS860" s="25"/>
      <c r="AT860" s="25"/>
      <c r="AU860" s="25"/>
      <c r="AV860" s="43"/>
      <c r="AW860" s="43"/>
      <c r="AX860" s="114" t="s">
        <v>76</v>
      </c>
      <c r="AY860" s="43"/>
      <c r="AZ860" s="43"/>
      <c r="BA860" s="43"/>
      <c r="BB860" s="43"/>
    </row>
    <row r="861" spans="2:54" ht="12.75" customHeight="1">
      <c r="B861" s="320"/>
      <c r="C861" s="134"/>
      <c r="D861" s="98"/>
      <c r="E861" s="504"/>
      <c r="F861" s="306"/>
      <c r="G861" s="265"/>
      <c r="H861" s="266"/>
      <c r="I861" s="297"/>
      <c r="J861" s="298"/>
      <c r="K861" s="298"/>
      <c r="L861" s="298"/>
      <c r="M861" s="41"/>
      <c r="N861" s="21"/>
      <c r="O861" s="21"/>
      <c r="P861" s="21"/>
      <c r="Q861" s="326"/>
      <c r="R861" s="40"/>
      <c r="S861" s="84"/>
      <c r="T861" s="40"/>
      <c r="U861" s="42"/>
      <c r="V861" s="78"/>
      <c r="Z861" s="181"/>
      <c r="AA861" s="183"/>
      <c r="AC861" s="26"/>
      <c r="AD861" s="279"/>
      <c r="AE861" s="26"/>
      <c r="AF861" s="26"/>
      <c r="AG861" s="278" t="str">
        <f t="shared" si="122"/>
        <v/>
      </c>
      <c r="AH861" s="278" t="str">
        <f t="shared" si="123"/>
        <v/>
      </c>
      <c r="AJ861" s="25"/>
      <c r="AK861" s="25"/>
      <c r="AL861" s="25"/>
      <c r="AM861" s="25"/>
      <c r="AN861" s="25"/>
      <c r="AO861" s="25"/>
      <c r="AP861" s="25"/>
      <c r="AQ861" s="25"/>
      <c r="AR861" s="25"/>
      <c r="AS861" s="25"/>
      <c r="AT861" s="25"/>
      <c r="AU861" s="25"/>
      <c r="AV861" s="43"/>
      <c r="AW861" s="43"/>
      <c r="AX861" s="114" t="s">
        <v>76</v>
      </c>
      <c r="AY861" s="43"/>
      <c r="AZ861" s="43"/>
      <c r="BA861" s="43"/>
      <c r="BB861" s="43"/>
    </row>
    <row r="862" spans="2:54" ht="12.75" customHeight="1">
      <c r="B862" s="320"/>
      <c r="C862" s="134"/>
      <c r="D862" s="98"/>
      <c r="E862" s="504"/>
      <c r="F862" s="306"/>
      <c r="G862" s="265"/>
      <c r="H862" s="266"/>
      <c r="I862" s="297"/>
      <c r="J862" s="298"/>
      <c r="K862" s="298"/>
      <c r="L862" s="298"/>
      <c r="M862" s="41"/>
      <c r="N862" s="21"/>
      <c r="O862" s="21"/>
      <c r="P862" s="21"/>
      <c r="Q862" s="326"/>
      <c r="R862" s="40"/>
      <c r="S862" s="84"/>
      <c r="T862" s="40"/>
      <c r="U862" s="42"/>
      <c r="V862" s="78"/>
      <c r="Z862" s="181"/>
      <c r="AA862" s="183"/>
      <c r="AC862" s="26"/>
      <c r="AD862" s="279"/>
      <c r="AE862" s="26"/>
      <c r="AF862" s="26"/>
      <c r="AG862" s="278" t="str">
        <f t="shared" si="122"/>
        <v/>
      </c>
      <c r="AH862" s="278" t="str">
        <f t="shared" si="123"/>
        <v/>
      </c>
      <c r="AJ862" s="25"/>
      <c r="AK862" s="25"/>
      <c r="AL862" s="25"/>
      <c r="AM862" s="25"/>
      <c r="AN862" s="25"/>
      <c r="AO862" s="25"/>
      <c r="AP862" s="25"/>
      <c r="AQ862" s="25"/>
      <c r="AR862" s="25"/>
      <c r="AS862" s="25"/>
      <c r="AT862" s="25"/>
      <c r="AU862" s="25"/>
      <c r="AV862" s="43"/>
      <c r="AW862" s="43"/>
      <c r="AX862" s="114" t="s">
        <v>76</v>
      </c>
      <c r="AY862" s="43"/>
      <c r="AZ862" s="43"/>
      <c r="BA862" s="43"/>
      <c r="BB862" s="43"/>
    </row>
    <row r="863" spans="2:54" ht="12.75" customHeight="1">
      <c r="B863" s="320"/>
      <c r="C863" s="134"/>
      <c r="D863" s="98"/>
      <c r="E863" s="504"/>
      <c r="F863" s="306"/>
      <c r="G863" s="265"/>
      <c r="H863" s="266"/>
      <c r="I863" s="297"/>
      <c r="J863" s="298"/>
      <c r="K863" s="298"/>
      <c r="L863" s="298"/>
      <c r="M863" s="41"/>
      <c r="N863" s="21"/>
      <c r="O863" s="21"/>
      <c r="P863" s="21"/>
      <c r="Q863" s="326"/>
      <c r="R863" s="40"/>
      <c r="S863" s="84"/>
      <c r="T863" s="40"/>
      <c r="U863" s="42"/>
      <c r="V863" s="78"/>
      <c r="Z863" s="181"/>
      <c r="AA863" s="183"/>
      <c r="AC863" s="26"/>
      <c r="AD863" s="279"/>
      <c r="AE863" s="26"/>
      <c r="AF863" s="26"/>
      <c r="AG863" s="278" t="str">
        <f t="shared" si="122"/>
        <v/>
      </c>
      <c r="AH863" s="278" t="str">
        <f t="shared" si="123"/>
        <v/>
      </c>
      <c r="AJ863" s="25"/>
      <c r="AK863" s="25"/>
      <c r="AL863" s="25"/>
      <c r="AM863" s="25"/>
      <c r="AN863" s="25"/>
      <c r="AO863" s="25"/>
      <c r="AP863" s="25"/>
      <c r="AQ863" s="25"/>
      <c r="AR863" s="25"/>
      <c r="AS863" s="25"/>
      <c r="AT863" s="25"/>
      <c r="AU863" s="25"/>
      <c r="AV863" s="43"/>
      <c r="AW863" s="43"/>
      <c r="AX863" s="114" t="s">
        <v>76</v>
      </c>
      <c r="AY863" s="43"/>
      <c r="AZ863" s="43"/>
      <c r="BA863" s="43"/>
      <c r="BB863" s="43"/>
    </row>
    <row r="864" spans="2:54" ht="12.75" customHeight="1">
      <c r="B864" s="320"/>
      <c r="C864" s="134"/>
      <c r="D864" s="98"/>
      <c r="E864" s="504"/>
      <c r="F864" s="306"/>
      <c r="G864" s="265"/>
      <c r="H864" s="266"/>
      <c r="I864" s="297"/>
      <c r="J864" s="298"/>
      <c r="K864" s="298"/>
      <c r="L864" s="298"/>
      <c r="M864" s="41"/>
      <c r="N864" s="21"/>
      <c r="O864" s="21"/>
      <c r="P864" s="21"/>
      <c r="Q864" s="326"/>
      <c r="R864" s="40"/>
      <c r="S864" s="84"/>
      <c r="T864" s="40"/>
      <c r="U864" s="42"/>
      <c r="V864" s="78"/>
      <c r="Z864" s="181"/>
      <c r="AA864" s="183"/>
      <c r="AC864" s="26"/>
      <c r="AD864" s="279"/>
      <c r="AE864" s="26"/>
      <c r="AF864" s="26"/>
      <c r="AG864" s="278" t="str">
        <f t="shared" si="122"/>
        <v/>
      </c>
      <c r="AH864" s="278" t="str">
        <f t="shared" si="123"/>
        <v/>
      </c>
      <c r="AJ864" s="25"/>
      <c r="AK864" s="25"/>
      <c r="AL864" s="25"/>
      <c r="AM864" s="25"/>
      <c r="AN864" s="25"/>
      <c r="AO864" s="25"/>
      <c r="AP864" s="25"/>
      <c r="AQ864" s="25"/>
      <c r="AR864" s="25"/>
      <c r="AS864" s="25"/>
      <c r="AT864" s="25"/>
      <c r="AU864" s="25"/>
      <c r="AV864" s="43"/>
      <c r="AW864" s="43"/>
      <c r="AX864" s="114" t="s">
        <v>76</v>
      </c>
      <c r="AY864" s="43"/>
      <c r="AZ864" s="43"/>
      <c r="BA864" s="43"/>
      <c r="BB864" s="43"/>
    </row>
    <row r="865" spans="2:54" ht="12.75" customHeight="1">
      <c r="B865" s="320"/>
      <c r="C865" s="134"/>
      <c r="D865" s="98"/>
      <c r="E865" s="504"/>
      <c r="F865" s="306"/>
      <c r="G865" s="265"/>
      <c r="H865" s="266"/>
      <c r="I865" s="297"/>
      <c r="J865" s="298"/>
      <c r="K865" s="298"/>
      <c r="L865" s="298"/>
      <c r="M865" s="41"/>
      <c r="N865" s="21"/>
      <c r="O865" s="21"/>
      <c r="P865" s="21"/>
      <c r="Q865" s="326"/>
      <c r="R865" s="40"/>
      <c r="S865" s="84"/>
      <c r="T865" s="40"/>
      <c r="U865" s="42"/>
      <c r="V865" s="78"/>
      <c r="Z865" s="181"/>
      <c r="AA865" s="183"/>
      <c r="AC865" s="26"/>
      <c r="AD865" s="279"/>
      <c r="AE865" s="26"/>
      <c r="AF865" s="26"/>
      <c r="AG865" s="278" t="str">
        <f t="shared" si="122"/>
        <v/>
      </c>
      <c r="AH865" s="278" t="str">
        <f t="shared" si="123"/>
        <v/>
      </c>
      <c r="AJ865" s="25"/>
      <c r="AK865" s="25"/>
      <c r="AL865" s="25"/>
      <c r="AM865" s="25"/>
      <c r="AN865" s="25"/>
      <c r="AO865" s="25"/>
      <c r="AP865" s="25"/>
      <c r="AQ865" s="25"/>
      <c r="AR865" s="25"/>
      <c r="AS865" s="25"/>
      <c r="AT865" s="25"/>
      <c r="AU865" s="25"/>
      <c r="AV865" s="43"/>
      <c r="AW865" s="43"/>
      <c r="AX865" s="114" t="s">
        <v>76</v>
      </c>
      <c r="AY865" s="43"/>
      <c r="AZ865" s="43"/>
      <c r="BA865" s="43"/>
      <c r="BB865" s="43"/>
    </row>
    <row r="866" spans="2:54" ht="12.75" customHeight="1">
      <c r="B866" s="320"/>
      <c r="C866" s="134"/>
      <c r="D866" s="98"/>
      <c r="E866" s="504"/>
      <c r="F866" s="306"/>
      <c r="G866" s="265"/>
      <c r="H866" s="266"/>
      <c r="I866" s="297"/>
      <c r="J866" s="298"/>
      <c r="K866" s="298"/>
      <c r="L866" s="298"/>
      <c r="M866" s="41"/>
      <c r="N866" s="21"/>
      <c r="O866" s="21"/>
      <c r="P866" s="21"/>
      <c r="Q866" s="326"/>
      <c r="R866" s="40"/>
      <c r="S866" s="84"/>
      <c r="T866" s="40"/>
      <c r="U866" s="42"/>
      <c r="V866" s="78"/>
      <c r="Z866" s="181"/>
      <c r="AA866" s="183"/>
      <c r="AC866" s="26"/>
      <c r="AD866" s="279"/>
      <c r="AE866" s="26"/>
      <c r="AF866" s="26"/>
      <c r="AG866" s="278" t="str">
        <f t="shared" si="122"/>
        <v/>
      </c>
      <c r="AH866" s="278" t="str">
        <f t="shared" si="123"/>
        <v/>
      </c>
      <c r="AJ866" s="25"/>
      <c r="AK866" s="25"/>
      <c r="AL866" s="25"/>
      <c r="AM866" s="25"/>
      <c r="AN866" s="25"/>
      <c r="AO866" s="25"/>
      <c r="AP866" s="25"/>
      <c r="AQ866" s="25"/>
      <c r="AR866" s="25"/>
      <c r="AS866" s="25"/>
      <c r="AT866" s="25"/>
      <c r="AU866" s="25"/>
      <c r="AV866" s="43"/>
      <c r="AW866" s="43"/>
      <c r="AX866" s="114" t="s">
        <v>76</v>
      </c>
      <c r="AY866" s="43"/>
      <c r="AZ866" s="43"/>
      <c r="BA866" s="43"/>
      <c r="BB866" s="43"/>
    </row>
    <row r="867" spans="2:54" ht="12.75" customHeight="1">
      <c r="B867" s="320"/>
      <c r="C867" s="134"/>
      <c r="D867" s="98"/>
      <c r="E867" s="504"/>
      <c r="F867" s="306"/>
      <c r="G867" s="265"/>
      <c r="H867" s="266"/>
      <c r="I867" s="297"/>
      <c r="J867" s="298"/>
      <c r="K867" s="298"/>
      <c r="L867" s="298"/>
      <c r="M867" s="41"/>
      <c r="N867" s="21"/>
      <c r="O867" s="21"/>
      <c r="P867" s="21"/>
      <c r="Q867" s="326"/>
      <c r="R867" s="40"/>
      <c r="S867" s="84"/>
      <c r="T867" s="40"/>
      <c r="U867" s="42"/>
      <c r="V867" s="78"/>
      <c r="Z867" s="181"/>
      <c r="AA867" s="183"/>
      <c r="AC867" s="26"/>
      <c r="AD867" s="279"/>
      <c r="AE867" s="26"/>
      <c r="AF867" s="26"/>
      <c r="AG867" s="278" t="str">
        <f t="shared" si="122"/>
        <v/>
      </c>
      <c r="AH867" s="278" t="str">
        <f t="shared" si="123"/>
        <v/>
      </c>
      <c r="AJ867" s="25"/>
      <c r="AK867" s="25"/>
      <c r="AL867" s="25"/>
      <c r="AM867" s="25"/>
      <c r="AN867" s="25"/>
      <c r="AO867" s="25"/>
      <c r="AP867" s="25"/>
      <c r="AQ867" s="25"/>
      <c r="AR867" s="25"/>
      <c r="AS867" s="25"/>
      <c r="AT867" s="25"/>
      <c r="AU867" s="25"/>
      <c r="AV867" s="43"/>
      <c r="AW867" s="43"/>
      <c r="AX867" s="114" t="s">
        <v>76</v>
      </c>
      <c r="AY867" s="43"/>
      <c r="AZ867" s="43"/>
      <c r="BA867" s="43"/>
      <c r="BB867" s="43"/>
    </row>
    <row r="868" spans="2:54" ht="12.75" customHeight="1">
      <c r="B868" s="320"/>
      <c r="C868" s="134"/>
      <c r="D868" s="98"/>
      <c r="E868" s="504"/>
      <c r="F868" s="306"/>
      <c r="G868" s="265"/>
      <c r="H868" s="266"/>
      <c r="I868" s="297"/>
      <c r="J868" s="298"/>
      <c r="K868" s="298"/>
      <c r="L868" s="298"/>
      <c r="M868" s="41"/>
      <c r="N868" s="21"/>
      <c r="O868" s="21"/>
      <c r="P868" s="21"/>
      <c r="Q868" s="326"/>
      <c r="R868" s="40"/>
      <c r="S868" s="84"/>
      <c r="T868" s="40"/>
      <c r="U868" s="42"/>
      <c r="V868" s="78"/>
      <c r="Z868" s="181"/>
      <c r="AA868" s="183"/>
      <c r="AC868" s="26"/>
      <c r="AD868" s="279"/>
      <c r="AE868" s="26"/>
      <c r="AF868" s="26"/>
      <c r="AG868" s="278" t="str">
        <f t="shared" si="122"/>
        <v/>
      </c>
      <c r="AH868" s="278" t="str">
        <f t="shared" si="123"/>
        <v/>
      </c>
      <c r="AJ868" s="25"/>
      <c r="AK868" s="25"/>
      <c r="AL868" s="25"/>
      <c r="AM868" s="25"/>
      <c r="AN868" s="25"/>
      <c r="AO868" s="25"/>
      <c r="AP868" s="25"/>
      <c r="AQ868" s="25"/>
      <c r="AR868" s="25"/>
      <c r="AS868" s="25"/>
      <c r="AT868" s="25"/>
      <c r="AU868" s="25"/>
      <c r="AV868" s="43"/>
      <c r="AW868" s="43"/>
      <c r="AX868" s="114" t="s">
        <v>76</v>
      </c>
      <c r="AY868" s="43"/>
      <c r="AZ868" s="43"/>
      <c r="BA868" s="43"/>
      <c r="BB868" s="43"/>
    </row>
    <row r="869" spans="2:54" ht="12.75" customHeight="1">
      <c r="B869" s="320"/>
      <c r="C869" s="134"/>
      <c r="D869" s="98"/>
      <c r="E869" s="504"/>
      <c r="F869" s="306"/>
      <c r="G869" s="265"/>
      <c r="H869" s="266"/>
      <c r="I869" s="297"/>
      <c r="J869" s="298"/>
      <c r="K869" s="298"/>
      <c r="L869" s="298"/>
      <c r="M869" s="41"/>
      <c r="N869" s="21"/>
      <c r="O869" s="21"/>
      <c r="P869" s="21"/>
      <c r="Q869" s="326"/>
      <c r="R869" s="40"/>
      <c r="S869" s="84"/>
      <c r="T869" s="40"/>
      <c r="U869" s="42"/>
      <c r="V869" s="78"/>
      <c r="Z869" s="181"/>
      <c r="AA869" s="183"/>
      <c r="AC869" s="26"/>
      <c r="AD869" s="279"/>
      <c r="AE869" s="26"/>
      <c r="AF869" s="26"/>
      <c r="AG869" s="278" t="str">
        <f t="shared" si="122"/>
        <v/>
      </c>
      <c r="AH869" s="278" t="str">
        <f t="shared" si="123"/>
        <v/>
      </c>
      <c r="AJ869" s="25"/>
      <c r="AK869" s="25"/>
      <c r="AL869" s="25"/>
      <c r="AM869" s="25"/>
      <c r="AN869" s="25"/>
      <c r="AO869" s="25"/>
      <c r="AP869" s="25"/>
      <c r="AQ869" s="25"/>
      <c r="AR869" s="25"/>
      <c r="AS869" s="25"/>
      <c r="AT869" s="25"/>
      <c r="AU869" s="25"/>
      <c r="AV869" s="43"/>
      <c r="AW869" s="43"/>
      <c r="AX869" s="114" t="s">
        <v>76</v>
      </c>
      <c r="AY869" s="43"/>
      <c r="AZ869" s="43"/>
      <c r="BA869" s="43"/>
      <c r="BB869" s="43"/>
    </row>
    <row r="870" spans="2:54" ht="12.75" customHeight="1">
      <c r="B870" s="320"/>
      <c r="C870" s="134"/>
      <c r="D870" s="98"/>
      <c r="E870" s="504"/>
      <c r="F870" s="306"/>
      <c r="G870" s="265"/>
      <c r="H870" s="266"/>
      <c r="I870" s="297"/>
      <c r="J870" s="298"/>
      <c r="K870" s="298"/>
      <c r="L870" s="298"/>
      <c r="M870" s="41"/>
      <c r="N870" s="21"/>
      <c r="O870" s="21"/>
      <c r="P870" s="21"/>
      <c r="Q870" s="326"/>
      <c r="R870" s="40"/>
      <c r="S870" s="84"/>
      <c r="T870" s="40"/>
      <c r="U870" s="42"/>
      <c r="V870" s="78"/>
      <c r="Z870" s="181"/>
      <c r="AA870" s="183"/>
      <c r="AC870" s="26"/>
      <c r="AD870" s="279"/>
      <c r="AE870" s="26"/>
      <c r="AF870" s="26"/>
      <c r="AG870" s="278" t="str">
        <f t="shared" si="122"/>
        <v/>
      </c>
      <c r="AH870" s="278" t="str">
        <f t="shared" si="123"/>
        <v/>
      </c>
      <c r="AJ870" s="25"/>
      <c r="AK870" s="25"/>
      <c r="AL870" s="25"/>
      <c r="AM870" s="25"/>
      <c r="AN870" s="25"/>
      <c r="AO870" s="25"/>
      <c r="AP870" s="25"/>
      <c r="AQ870" s="25"/>
      <c r="AR870" s="25"/>
      <c r="AS870" s="25"/>
      <c r="AT870" s="25"/>
      <c r="AU870" s="25"/>
      <c r="AV870" s="43"/>
      <c r="AW870" s="43"/>
      <c r="AX870" s="114" t="s">
        <v>76</v>
      </c>
      <c r="AY870" s="43"/>
      <c r="AZ870" s="43"/>
      <c r="BA870" s="43"/>
      <c r="BB870" s="43"/>
    </row>
    <row r="871" spans="2:54" ht="12.75" customHeight="1">
      <c r="B871" s="320"/>
      <c r="C871" s="134"/>
      <c r="D871" s="98"/>
      <c r="E871" s="504"/>
      <c r="F871" s="306"/>
      <c r="G871" s="265"/>
      <c r="H871" s="266"/>
      <c r="I871" s="297"/>
      <c r="J871" s="298"/>
      <c r="K871" s="298"/>
      <c r="L871" s="298"/>
      <c r="M871" s="41"/>
      <c r="N871" s="21"/>
      <c r="O871" s="21"/>
      <c r="P871" s="21"/>
      <c r="Q871" s="326"/>
      <c r="R871" s="40"/>
      <c r="S871" s="84"/>
      <c r="T871" s="40"/>
      <c r="U871" s="42"/>
      <c r="V871" s="78"/>
      <c r="Z871" s="181"/>
      <c r="AA871" s="183"/>
      <c r="AC871" s="26"/>
      <c r="AD871" s="279"/>
      <c r="AE871" s="26"/>
      <c r="AF871" s="26"/>
      <c r="AG871" s="278" t="str">
        <f t="shared" si="122"/>
        <v/>
      </c>
      <c r="AH871" s="278" t="str">
        <f t="shared" si="123"/>
        <v/>
      </c>
      <c r="AJ871" s="25"/>
      <c r="AK871" s="25"/>
      <c r="AL871" s="25"/>
      <c r="AM871" s="25"/>
      <c r="AN871" s="25"/>
      <c r="AO871" s="25"/>
      <c r="AP871" s="25"/>
      <c r="AQ871" s="25"/>
      <c r="AR871" s="25"/>
      <c r="AS871" s="25"/>
      <c r="AT871" s="25"/>
      <c r="AU871" s="25"/>
      <c r="AV871" s="43"/>
      <c r="AW871" s="43"/>
      <c r="AX871" s="114" t="s">
        <v>76</v>
      </c>
      <c r="AY871" s="43"/>
      <c r="AZ871" s="43"/>
      <c r="BA871" s="43"/>
      <c r="BB871" s="43"/>
    </row>
    <row r="872" spans="2:54" ht="12.75" customHeight="1">
      <c r="B872" s="320"/>
      <c r="C872" s="134"/>
      <c r="D872" s="98"/>
      <c r="E872" s="504"/>
      <c r="F872" s="306"/>
      <c r="G872" s="265"/>
      <c r="H872" s="266"/>
      <c r="I872" s="297"/>
      <c r="J872" s="298"/>
      <c r="K872" s="298"/>
      <c r="L872" s="298"/>
      <c r="M872" s="41"/>
      <c r="N872" s="21"/>
      <c r="O872" s="21"/>
      <c r="P872" s="21"/>
      <c r="Q872" s="326"/>
      <c r="R872" s="40"/>
      <c r="S872" s="84"/>
      <c r="T872" s="40"/>
      <c r="U872" s="42"/>
      <c r="V872" s="78"/>
      <c r="Z872" s="181"/>
      <c r="AA872" s="183"/>
      <c r="AC872" s="26"/>
      <c r="AD872" s="279"/>
      <c r="AE872" s="26"/>
      <c r="AF872" s="26"/>
      <c r="AG872" s="278" t="str">
        <f t="shared" si="122"/>
        <v/>
      </c>
      <c r="AH872" s="278" t="str">
        <f t="shared" si="123"/>
        <v/>
      </c>
      <c r="AJ872" s="25"/>
      <c r="AK872" s="25"/>
      <c r="AL872" s="25"/>
      <c r="AM872" s="25"/>
      <c r="AN872" s="25"/>
      <c r="AO872" s="25"/>
      <c r="AP872" s="25"/>
      <c r="AQ872" s="25"/>
      <c r="AR872" s="25"/>
      <c r="AS872" s="25"/>
      <c r="AT872" s="25"/>
      <c r="AU872" s="25"/>
      <c r="AV872" s="43"/>
      <c r="AW872" s="43"/>
      <c r="AX872" s="114" t="s">
        <v>76</v>
      </c>
      <c r="AY872" s="43"/>
      <c r="AZ872" s="43"/>
      <c r="BA872" s="43"/>
      <c r="BB872" s="43"/>
    </row>
    <row r="873" spans="2:54" ht="12.75" customHeight="1">
      <c r="B873" s="320"/>
      <c r="C873" s="134"/>
      <c r="D873" s="98"/>
      <c r="E873" s="504"/>
      <c r="F873" s="306"/>
      <c r="G873" s="265"/>
      <c r="H873" s="266"/>
      <c r="I873" s="297"/>
      <c r="J873" s="298"/>
      <c r="K873" s="298"/>
      <c r="L873" s="298"/>
      <c r="M873" s="41"/>
      <c r="N873" s="21"/>
      <c r="O873" s="21"/>
      <c r="P873" s="21"/>
      <c r="Q873" s="326"/>
      <c r="R873" s="40"/>
      <c r="S873" s="84"/>
      <c r="T873" s="40"/>
      <c r="U873" s="42"/>
      <c r="V873" s="78"/>
      <c r="Z873" s="181"/>
      <c r="AA873" s="183"/>
      <c r="AC873" s="26"/>
      <c r="AD873" s="279"/>
      <c r="AE873" s="26"/>
      <c r="AF873" s="26"/>
      <c r="AG873" s="278" t="str">
        <f t="shared" si="122"/>
        <v/>
      </c>
      <c r="AH873" s="278" t="str">
        <f t="shared" si="123"/>
        <v/>
      </c>
      <c r="AJ873" s="25"/>
      <c r="AK873" s="25"/>
      <c r="AL873" s="25"/>
      <c r="AM873" s="25"/>
      <c r="AN873" s="25"/>
      <c r="AO873" s="25"/>
      <c r="AP873" s="25"/>
      <c r="AQ873" s="25"/>
      <c r="AR873" s="25"/>
      <c r="AS873" s="25"/>
      <c r="AT873" s="25"/>
      <c r="AU873" s="25"/>
      <c r="AV873" s="43"/>
      <c r="AW873" s="43"/>
      <c r="AX873" s="114" t="s">
        <v>76</v>
      </c>
      <c r="AY873" s="43"/>
      <c r="AZ873" s="43"/>
      <c r="BA873" s="43"/>
      <c r="BB873" s="43"/>
    </row>
    <row r="874" spans="2:54" ht="12.75" customHeight="1">
      <c r="B874" s="320"/>
      <c r="C874" s="134"/>
      <c r="D874" s="98"/>
      <c r="E874" s="504"/>
      <c r="F874" s="306"/>
      <c r="G874" s="265"/>
      <c r="H874" s="266"/>
      <c r="I874" s="297"/>
      <c r="J874" s="298"/>
      <c r="K874" s="298"/>
      <c r="L874" s="298"/>
      <c r="M874" s="41"/>
      <c r="N874" s="21"/>
      <c r="O874" s="21"/>
      <c r="P874" s="21"/>
      <c r="Q874" s="326"/>
      <c r="R874" s="40"/>
      <c r="S874" s="84"/>
      <c r="T874" s="40"/>
      <c r="U874" s="42"/>
      <c r="V874" s="78"/>
      <c r="Z874" s="181"/>
      <c r="AA874" s="183"/>
      <c r="AC874" s="26"/>
      <c r="AD874" s="279"/>
      <c r="AE874" s="26"/>
      <c r="AF874" s="26"/>
      <c r="AG874" s="278" t="str">
        <f t="shared" si="122"/>
        <v/>
      </c>
      <c r="AH874" s="278" t="str">
        <f t="shared" si="123"/>
        <v/>
      </c>
      <c r="AJ874" s="25"/>
      <c r="AK874" s="25"/>
      <c r="AL874" s="25"/>
      <c r="AM874" s="25"/>
      <c r="AN874" s="25"/>
      <c r="AO874" s="25"/>
      <c r="AP874" s="25"/>
      <c r="AQ874" s="25"/>
      <c r="AR874" s="25"/>
      <c r="AS874" s="25"/>
      <c r="AT874" s="25"/>
      <c r="AU874" s="25"/>
      <c r="AV874" s="43"/>
      <c r="AW874" s="43"/>
      <c r="AX874" s="114" t="s">
        <v>76</v>
      </c>
      <c r="AY874" s="43"/>
      <c r="AZ874" s="43"/>
      <c r="BA874" s="43"/>
      <c r="BB874" s="43"/>
    </row>
    <row r="875" spans="2:54" ht="12.75" customHeight="1">
      <c r="B875" s="320"/>
      <c r="C875" s="134"/>
      <c r="D875" s="98"/>
      <c r="E875" s="504"/>
      <c r="F875" s="306"/>
      <c r="G875" s="265"/>
      <c r="H875" s="266"/>
      <c r="I875" s="297"/>
      <c r="J875" s="298"/>
      <c r="K875" s="298"/>
      <c r="L875" s="298"/>
      <c r="M875" s="41"/>
      <c r="N875" s="21"/>
      <c r="O875" s="21"/>
      <c r="P875" s="21"/>
      <c r="Q875" s="326"/>
      <c r="R875" s="40"/>
      <c r="S875" s="84"/>
      <c r="T875" s="40"/>
      <c r="U875" s="42"/>
      <c r="V875" s="78"/>
      <c r="Z875" s="181"/>
      <c r="AA875" s="183"/>
      <c r="AC875" s="26"/>
      <c r="AD875" s="279"/>
      <c r="AE875" s="26"/>
      <c r="AF875" s="26"/>
      <c r="AG875" s="278" t="str">
        <f t="shared" si="122"/>
        <v/>
      </c>
      <c r="AH875" s="278" t="str">
        <f t="shared" si="123"/>
        <v/>
      </c>
      <c r="AJ875" s="25"/>
      <c r="AK875" s="25"/>
      <c r="AL875" s="25"/>
      <c r="AM875" s="25"/>
      <c r="AN875" s="25"/>
      <c r="AO875" s="25"/>
      <c r="AP875" s="25"/>
      <c r="AQ875" s="25"/>
      <c r="AR875" s="25"/>
      <c r="AS875" s="25"/>
      <c r="AT875" s="25"/>
      <c r="AU875" s="25"/>
      <c r="AV875" s="43"/>
      <c r="AW875" s="43"/>
      <c r="AX875" s="114" t="s">
        <v>76</v>
      </c>
      <c r="AY875" s="43"/>
      <c r="AZ875" s="43"/>
      <c r="BA875" s="43"/>
      <c r="BB875" s="43"/>
    </row>
    <row r="876" spans="2:54" ht="12.75" customHeight="1">
      <c r="B876" s="320"/>
      <c r="C876" s="134"/>
      <c r="D876" s="98"/>
      <c r="E876" s="504"/>
      <c r="F876" s="306"/>
      <c r="G876" s="265"/>
      <c r="H876" s="266"/>
      <c r="I876" s="297"/>
      <c r="J876" s="298"/>
      <c r="K876" s="298"/>
      <c r="L876" s="298"/>
      <c r="M876" s="41"/>
      <c r="N876" s="21"/>
      <c r="O876" s="21"/>
      <c r="P876" s="21"/>
      <c r="Q876" s="326"/>
      <c r="R876" s="40"/>
      <c r="S876" s="84"/>
      <c r="T876" s="40"/>
      <c r="U876" s="42"/>
      <c r="V876" s="78"/>
      <c r="Z876" s="181"/>
      <c r="AA876" s="183"/>
      <c r="AC876" s="26"/>
      <c r="AD876" s="279"/>
      <c r="AE876" s="26"/>
      <c r="AF876" s="26"/>
      <c r="AG876" s="278" t="str">
        <f t="shared" si="122"/>
        <v/>
      </c>
      <c r="AH876" s="278" t="str">
        <f t="shared" si="123"/>
        <v/>
      </c>
      <c r="AJ876" s="25"/>
      <c r="AK876" s="25"/>
      <c r="AL876" s="25"/>
      <c r="AM876" s="25"/>
      <c r="AN876" s="25"/>
      <c r="AO876" s="25"/>
      <c r="AP876" s="25"/>
      <c r="AQ876" s="25"/>
      <c r="AR876" s="25"/>
      <c r="AS876" s="25"/>
      <c r="AT876" s="25"/>
      <c r="AU876" s="25"/>
      <c r="AV876" s="43"/>
      <c r="AW876" s="43"/>
      <c r="AX876" s="114" t="s">
        <v>76</v>
      </c>
      <c r="AY876" s="43"/>
      <c r="AZ876" s="43"/>
      <c r="BA876" s="43"/>
      <c r="BB876" s="43"/>
    </row>
    <row r="877" spans="2:54" ht="12.75" customHeight="1">
      <c r="B877" s="320"/>
      <c r="C877" s="134"/>
      <c r="D877" s="98"/>
      <c r="E877" s="504"/>
      <c r="F877" s="306"/>
      <c r="G877" s="265"/>
      <c r="H877" s="266"/>
      <c r="I877" s="297"/>
      <c r="J877" s="298"/>
      <c r="K877" s="298"/>
      <c r="L877" s="298"/>
      <c r="M877" s="41"/>
      <c r="N877" s="21"/>
      <c r="O877" s="21"/>
      <c r="P877" s="21"/>
      <c r="Q877" s="326"/>
      <c r="R877" s="40"/>
      <c r="S877" s="84"/>
      <c r="T877" s="40"/>
      <c r="U877" s="42"/>
      <c r="V877" s="78"/>
      <c r="Z877" s="181"/>
      <c r="AA877" s="183"/>
      <c r="AC877" s="26"/>
      <c r="AD877" s="279"/>
      <c r="AE877" s="26"/>
      <c r="AF877" s="26"/>
      <c r="AG877" s="278" t="str">
        <f t="shared" si="122"/>
        <v/>
      </c>
      <c r="AH877" s="278" t="str">
        <f t="shared" si="123"/>
        <v/>
      </c>
      <c r="AJ877" s="25"/>
      <c r="AK877" s="25"/>
      <c r="AL877" s="25"/>
      <c r="AM877" s="25"/>
      <c r="AN877" s="25"/>
      <c r="AO877" s="25"/>
      <c r="AP877" s="25"/>
      <c r="AQ877" s="25"/>
      <c r="AR877" s="25"/>
      <c r="AS877" s="25"/>
      <c r="AT877" s="25"/>
      <c r="AU877" s="25"/>
      <c r="AV877" s="43"/>
      <c r="AW877" s="43"/>
      <c r="AX877" s="114" t="s">
        <v>76</v>
      </c>
      <c r="AY877" s="43"/>
      <c r="AZ877" s="43"/>
      <c r="BA877" s="43"/>
      <c r="BB877" s="43"/>
    </row>
    <row r="878" spans="2:54" ht="12.75" customHeight="1">
      <c r="B878" s="320"/>
      <c r="C878" s="134"/>
      <c r="D878" s="98"/>
      <c r="E878" s="504"/>
      <c r="F878" s="306"/>
      <c r="G878" s="265"/>
      <c r="H878" s="266"/>
      <c r="I878" s="297"/>
      <c r="J878" s="298"/>
      <c r="K878" s="298"/>
      <c r="L878" s="298"/>
      <c r="M878" s="41"/>
      <c r="N878" s="21"/>
      <c r="O878" s="21"/>
      <c r="P878" s="21"/>
      <c r="Q878" s="326"/>
      <c r="R878" s="40"/>
      <c r="S878" s="84"/>
      <c r="T878" s="40"/>
      <c r="U878" s="42"/>
      <c r="V878" s="78"/>
      <c r="Z878" s="181"/>
      <c r="AA878" s="183"/>
      <c r="AC878" s="26"/>
      <c r="AD878" s="279"/>
      <c r="AE878" s="26"/>
      <c r="AF878" s="26"/>
      <c r="AG878" s="278" t="str">
        <f t="shared" si="122"/>
        <v/>
      </c>
      <c r="AH878" s="278" t="str">
        <f t="shared" si="123"/>
        <v/>
      </c>
      <c r="AJ878" s="25"/>
      <c r="AK878" s="25"/>
      <c r="AL878" s="25"/>
      <c r="AM878" s="25"/>
      <c r="AN878" s="25"/>
      <c r="AO878" s="25"/>
      <c r="AP878" s="25"/>
      <c r="AQ878" s="25"/>
      <c r="AR878" s="25"/>
      <c r="AS878" s="25"/>
      <c r="AT878" s="25"/>
      <c r="AU878" s="25"/>
      <c r="AV878" s="43"/>
      <c r="AW878" s="43"/>
      <c r="AX878" s="114" t="s">
        <v>76</v>
      </c>
      <c r="AY878" s="43"/>
      <c r="AZ878" s="43"/>
      <c r="BA878" s="43"/>
      <c r="BB878" s="43"/>
    </row>
    <row r="879" spans="2:54" ht="12.75" customHeight="1">
      <c r="B879" s="320"/>
      <c r="C879" s="134"/>
      <c r="D879" s="98"/>
      <c r="E879" s="504"/>
      <c r="F879" s="306"/>
      <c r="G879" s="265"/>
      <c r="H879" s="266"/>
      <c r="I879" s="297"/>
      <c r="J879" s="298"/>
      <c r="K879" s="298"/>
      <c r="L879" s="298"/>
      <c r="M879" s="41"/>
      <c r="N879" s="21"/>
      <c r="O879" s="21"/>
      <c r="P879" s="21"/>
      <c r="Q879" s="326"/>
      <c r="R879" s="40"/>
      <c r="S879" s="84"/>
      <c r="T879" s="40"/>
      <c r="U879" s="42"/>
      <c r="V879" s="78"/>
      <c r="Z879" s="181"/>
      <c r="AA879" s="183"/>
      <c r="AC879" s="26"/>
      <c r="AD879" s="279"/>
      <c r="AE879" s="26"/>
      <c r="AF879" s="26"/>
      <c r="AG879" s="278" t="str">
        <f t="shared" si="122"/>
        <v/>
      </c>
      <c r="AH879" s="278" t="str">
        <f t="shared" si="123"/>
        <v/>
      </c>
      <c r="AJ879" s="25"/>
      <c r="AK879" s="25"/>
      <c r="AL879" s="25"/>
      <c r="AM879" s="25"/>
      <c r="AN879" s="25"/>
      <c r="AO879" s="25"/>
      <c r="AP879" s="25"/>
      <c r="AQ879" s="25"/>
      <c r="AR879" s="25"/>
      <c r="AS879" s="25"/>
      <c r="AT879" s="25"/>
      <c r="AU879" s="25"/>
      <c r="AV879" s="43"/>
      <c r="AW879" s="43"/>
      <c r="AX879" s="114" t="s">
        <v>76</v>
      </c>
      <c r="AY879" s="43"/>
      <c r="AZ879" s="43"/>
      <c r="BA879" s="43"/>
      <c r="BB879" s="43"/>
    </row>
    <row r="880" spans="2:54" ht="12.75" customHeight="1">
      <c r="B880" s="320"/>
      <c r="C880" s="134"/>
      <c r="D880" s="98"/>
      <c r="E880" s="504"/>
      <c r="F880" s="306"/>
      <c r="G880" s="265"/>
      <c r="H880" s="266"/>
      <c r="I880" s="297"/>
      <c r="J880" s="298"/>
      <c r="K880" s="298"/>
      <c r="L880" s="298"/>
      <c r="M880" s="41"/>
      <c r="N880" s="21"/>
      <c r="O880" s="21"/>
      <c r="P880" s="21"/>
      <c r="Q880" s="326"/>
      <c r="R880" s="40"/>
      <c r="S880" s="84"/>
      <c r="T880" s="40"/>
      <c r="U880" s="42"/>
      <c r="V880" s="78"/>
      <c r="Z880" s="181"/>
      <c r="AA880" s="183"/>
      <c r="AC880" s="26"/>
      <c r="AD880" s="279"/>
      <c r="AE880" s="26"/>
      <c r="AF880" s="26"/>
      <c r="AG880" s="278" t="str">
        <f t="shared" si="122"/>
        <v/>
      </c>
      <c r="AH880" s="278" t="str">
        <f t="shared" si="123"/>
        <v/>
      </c>
      <c r="AJ880" s="25"/>
      <c r="AK880" s="25"/>
      <c r="AL880" s="25"/>
      <c r="AM880" s="25"/>
      <c r="AN880" s="25"/>
      <c r="AO880" s="25"/>
      <c r="AP880" s="25"/>
      <c r="AQ880" s="25"/>
      <c r="AR880" s="25"/>
      <c r="AS880" s="25"/>
      <c r="AT880" s="25"/>
      <c r="AU880" s="25"/>
      <c r="AV880" s="43"/>
      <c r="AW880" s="43"/>
      <c r="AX880" s="114" t="s">
        <v>76</v>
      </c>
      <c r="AY880" s="43"/>
      <c r="AZ880" s="43"/>
      <c r="BA880" s="43"/>
      <c r="BB880" s="43"/>
    </row>
    <row r="881" spans="2:54" ht="12.75" customHeight="1">
      <c r="B881" s="320"/>
      <c r="C881" s="134"/>
      <c r="D881" s="98"/>
      <c r="E881" s="504"/>
      <c r="F881" s="306"/>
      <c r="G881" s="265"/>
      <c r="H881" s="266"/>
      <c r="I881" s="297"/>
      <c r="J881" s="298"/>
      <c r="K881" s="298"/>
      <c r="L881" s="298"/>
      <c r="M881" s="41"/>
      <c r="N881" s="21"/>
      <c r="O881" s="21"/>
      <c r="P881" s="21"/>
      <c r="Q881" s="326"/>
      <c r="R881" s="40"/>
      <c r="S881" s="84"/>
      <c r="T881" s="40"/>
      <c r="U881" s="42"/>
      <c r="V881" s="78"/>
      <c r="Z881" s="181"/>
      <c r="AA881" s="183"/>
      <c r="AC881" s="26"/>
      <c r="AD881" s="279"/>
      <c r="AE881" s="26"/>
      <c r="AF881" s="26"/>
      <c r="AG881" s="278" t="str">
        <f t="shared" si="122"/>
        <v/>
      </c>
      <c r="AH881" s="278" t="str">
        <f t="shared" si="123"/>
        <v/>
      </c>
      <c r="AJ881" s="25"/>
      <c r="AK881" s="25"/>
      <c r="AL881" s="25"/>
      <c r="AM881" s="25"/>
      <c r="AN881" s="25"/>
      <c r="AO881" s="25"/>
      <c r="AP881" s="25"/>
      <c r="AQ881" s="25"/>
      <c r="AR881" s="25"/>
      <c r="AS881" s="25"/>
      <c r="AT881" s="25"/>
      <c r="AU881" s="25"/>
      <c r="AV881" s="43"/>
      <c r="AW881" s="43"/>
      <c r="AX881" s="114" t="s">
        <v>76</v>
      </c>
      <c r="AY881" s="43"/>
      <c r="AZ881" s="43"/>
      <c r="BA881" s="43"/>
      <c r="BB881" s="43"/>
    </row>
    <row r="882" spans="2:54" ht="12.75" customHeight="1">
      <c r="B882" s="320"/>
      <c r="C882" s="134"/>
      <c r="D882" s="98"/>
      <c r="E882" s="504"/>
      <c r="F882" s="306"/>
      <c r="G882" s="265"/>
      <c r="H882" s="266"/>
      <c r="I882" s="297"/>
      <c r="J882" s="298"/>
      <c r="K882" s="298"/>
      <c r="L882" s="298"/>
      <c r="M882" s="41"/>
      <c r="N882" s="21"/>
      <c r="O882" s="21"/>
      <c r="P882" s="21"/>
      <c r="Q882" s="326"/>
      <c r="R882" s="40"/>
      <c r="S882" s="84"/>
      <c r="T882" s="40"/>
      <c r="U882" s="42"/>
      <c r="V882" s="78"/>
      <c r="Z882" s="181"/>
      <c r="AA882" s="183"/>
      <c r="AC882" s="26"/>
      <c r="AD882" s="279"/>
      <c r="AE882" s="26"/>
      <c r="AF882" s="26"/>
      <c r="AG882" s="278" t="str">
        <f t="shared" si="122"/>
        <v/>
      </c>
      <c r="AH882" s="278" t="str">
        <f t="shared" si="123"/>
        <v/>
      </c>
      <c r="AJ882" s="25"/>
      <c r="AK882" s="25"/>
      <c r="AL882" s="25"/>
      <c r="AM882" s="25"/>
      <c r="AN882" s="25"/>
      <c r="AO882" s="25"/>
      <c r="AP882" s="25"/>
      <c r="AQ882" s="25"/>
      <c r="AR882" s="25"/>
      <c r="AS882" s="25"/>
      <c r="AT882" s="25"/>
      <c r="AU882" s="25"/>
      <c r="AV882" s="43"/>
      <c r="AW882" s="43"/>
      <c r="AX882" s="114" t="s">
        <v>76</v>
      </c>
      <c r="AY882" s="43"/>
      <c r="AZ882" s="43"/>
      <c r="BA882" s="43"/>
      <c r="BB882" s="43"/>
    </row>
    <row r="883" spans="2:54" ht="12.75" customHeight="1">
      <c r="B883" s="320"/>
      <c r="C883" s="134"/>
      <c r="D883" s="98"/>
      <c r="E883" s="504"/>
      <c r="F883" s="306"/>
      <c r="G883" s="265"/>
      <c r="H883" s="266"/>
      <c r="I883" s="297"/>
      <c r="J883" s="298"/>
      <c r="K883" s="298"/>
      <c r="L883" s="298"/>
      <c r="M883" s="41"/>
      <c r="N883" s="21"/>
      <c r="O883" s="21"/>
      <c r="P883" s="21"/>
      <c r="Q883" s="326"/>
      <c r="R883" s="40"/>
      <c r="S883" s="84"/>
      <c r="T883" s="40"/>
      <c r="U883" s="42"/>
      <c r="V883" s="78"/>
      <c r="Z883" s="181"/>
      <c r="AA883" s="183"/>
      <c r="AC883" s="26"/>
      <c r="AD883" s="279"/>
      <c r="AE883" s="26"/>
      <c r="AF883" s="26"/>
      <c r="AG883" s="278" t="str">
        <f t="shared" si="122"/>
        <v/>
      </c>
      <c r="AH883" s="278" t="str">
        <f t="shared" si="123"/>
        <v/>
      </c>
      <c r="AJ883" s="25"/>
      <c r="AK883" s="25"/>
      <c r="AL883" s="25"/>
      <c r="AM883" s="25"/>
      <c r="AN883" s="25"/>
      <c r="AO883" s="25"/>
      <c r="AP883" s="25"/>
      <c r="AQ883" s="25"/>
      <c r="AR883" s="25"/>
      <c r="AS883" s="25"/>
      <c r="AT883" s="25"/>
      <c r="AU883" s="25"/>
      <c r="AV883" s="43"/>
      <c r="AW883" s="43"/>
      <c r="AX883" s="114" t="s">
        <v>76</v>
      </c>
      <c r="AY883" s="43"/>
      <c r="AZ883" s="43"/>
      <c r="BA883" s="43"/>
      <c r="BB883" s="43"/>
    </row>
    <row r="884" spans="2:54" ht="12.75" customHeight="1">
      <c r="B884" s="320"/>
      <c r="C884" s="134"/>
      <c r="D884" s="98"/>
      <c r="E884" s="504"/>
      <c r="F884" s="306"/>
      <c r="G884" s="265"/>
      <c r="H884" s="266"/>
      <c r="I884" s="297"/>
      <c r="J884" s="298"/>
      <c r="K884" s="298"/>
      <c r="L884" s="298"/>
      <c r="M884" s="41"/>
      <c r="N884" s="21"/>
      <c r="O884" s="21"/>
      <c r="P884" s="21"/>
      <c r="Q884" s="326"/>
      <c r="R884" s="40"/>
      <c r="S884" s="84"/>
      <c r="T884" s="40"/>
      <c r="U884" s="42"/>
      <c r="V884" s="78"/>
      <c r="Z884" s="181"/>
      <c r="AA884" s="183"/>
      <c r="AC884" s="26"/>
      <c r="AD884" s="279"/>
      <c r="AE884" s="26"/>
      <c r="AF884" s="26"/>
      <c r="AG884" s="278" t="str">
        <f t="shared" si="122"/>
        <v/>
      </c>
      <c r="AH884" s="278" t="str">
        <f t="shared" si="123"/>
        <v/>
      </c>
      <c r="AJ884" s="25"/>
      <c r="AK884" s="25"/>
      <c r="AL884" s="25"/>
      <c r="AM884" s="25"/>
      <c r="AN884" s="25"/>
      <c r="AO884" s="25"/>
      <c r="AP884" s="25"/>
      <c r="AQ884" s="25"/>
      <c r="AR884" s="25"/>
      <c r="AS884" s="25"/>
      <c r="AT884" s="25"/>
      <c r="AU884" s="25"/>
      <c r="AV884" s="43"/>
      <c r="AW884" s="43"/>
      <c r="AX884" s="114" t="s">
        <v>76</v>
      </c>
      <c r="AY884" s="43"/>
      <c r="AZ884" s="43"/>
      <c r="BA884" s="43"/>
      <c r="BB884" s="43"/>
    </row>
    <row r="885" spans="2:54" ht="12.75" customHeight="1">
      <c r="B885" s="320"/>
      <c r="C885" s="134"/>
      <c r="D885" s="98"/>
      <c r="E885" s="504"/>
      <c r="F885" s="306"/>
      <c r="G885" s="265"/>
      <c r="H885" s="266"/>
      <c r="I885" s="297"/>
      <c r="J885" s="298"/>
      <c r="K885" s="298"/>
      <c r="L885" s="298"/>
      <c r="M885" s="41"/>
      <c r="N885" s="21"/>
      <c r="O885" s="21"/>
      <c r="P885" s="21"/>
      <c r="Q885" s="326"/>
      <c r="R885" s="40"/>
      <c r="S885" s="84"/>
      <c r="T885" s="40"/>
      <c r="U885" s="42"/>
      <c r="V885" s="78"/>
      <c r="Z885" s="181"/>
      <c r="AA885" s="183"/>
      <c r="AC885" s="26"/>
      <c r="AD885" s="279"/>
      <c r="AE885" s="26"/>
      <c r="AF885" s="26"/>
      <c r="AG885" s="278" t="str">
        <f t="shared" si="122"/>
        <v/>
      </c>
      <c r="AH885" s="278" t="str">
        <f t="shared" si="123"/>
        <v/>
      </c>
      <c r="AJ885" s="25"/>
      <c r="AK885" s="25"/>
      <c r="AL885" s="25"/>
      <c r="AM885" s="25"/>
      <c r="AN885" s="25"/>
      <c r="AO885" s="25"/>
      <c r="AP885" s="25"/>
      <c r="AQ885" s="25"/>
      <c r="AR885" s="25"/>
      <c r="AS885" s="25"/>
      <c r="AT885" s="25"/>
      <c r="AU885" s="25"/>
      <c r="AV885" s="43"/>
      <c r="AW885" s="43"/>
      <c r="AX885" s="114" t="s">
        <v>76</v>
      </c>
      <c r="AY885" s="43"/>
      <c r="AZ885" s="43"/>
      <c r="BA885" s="43"/>
      <c r="BB885" s="43"/>
    </row>
    <row r="886" spans="2:54" ht="12.75" customHeight="1">
      <c r="B886" s="320"/>
      <c r="C886" s="134"/>
      <c r="D886" s="98"/>
      <c r="E886" s="504"/>
      <c r="F886" s="306"/>
      <c r="G886" s="265"/>
      <c r="H886" s="266"/>
      <c r="I886" s="297"/>
      <c r="J886" s="298"/>
      <c r="K886" s="298"/>
      <c r="L886" s="298"/>
      <c r="M886" s="41"/>
      <c r="N886" s="21"/>
      <c r="O886" s="21"/>
      <c r="P886" s="21"/>
      <c r="Q886" s="326"/>
      <c r="R886" s="40"/>
      <c r="S886" s="84"/>
      <c r="T886" s="40"/>
      <c r="U886" s="42"/>
      <c r="V886" s="78"/>
      <c r="Z886" s="181"/>
      <c r="AA886" s="183"/>
      <c r="AC886" s="26"/>
      <c r="AD886" s="279"/>
      <c r="AE886" s="26"/>
      <c r="AF886" s="26"/>
      <c r="AG886" s="278" t="str">
        <f t="shared" si="122"/>
        <v/>
      </c>
      <c r="AH886" s="278" t="str">
        <f t="shared" si="123"/>
        <v/>
      </c>
      <c r="AJ886" s="25"/>
      <c r="AK886" s="25"/>
      <c r="AL886" s="25"/>
      <c r="AM886" s="25"/>
      <c r="AN886" s="25"/>
      <c r="AO886" s="25"/>
      <c r="AP886" s="25"/>
      <c r="AQ886" s="25"/>
      <c r="AR886" s="25"/>
      <c r="AS886" s="25"/>
      <c r="AT886" s="25"/>
      <c r="AU886" s="25"/>
      <c r="AV886" s="43"/>
      <c r="AW886" s="43"/>
      <c r="AX886" s="114" t="s">
        <v>76</v>
      </c>
      <c r="AY886" s="43"/>
      <c r="AZ886" s="43"/>
      <c r="BA886" s="43"/>
      <c r="BB886" s="43"/>
    </row>
    <row r="887" spans="2:54" ht="12.75" customHeight="1">
      <c r="B887" s="320"/>
      <c r="C887" s="134"/>
      <c r="D887" s="98"/>
      <c r="E887" s="504"/>
      <c r="F887" s="306"/>
      <c r="G887" s="265"/>
      <c r="H887" s="266"/>
      <c r="I887" s="297"/>
      <c r="J887" s="298"/>
      <c r="K887" s="298"/>
      <c r="L887" s="298"/>
      <c r="M887" s="41"/>
      <c r="N887" s="21"/>
      <c r="O887" s="21"/>
      <c r="P887" s="21"/>
      <c r="Q887" s="326"/>
      <c r="R887" s="40"/>
      <c r="S887" s="84"/>
      <c r="T887" s="40"/>
      <c r="U887" s="42"/>
      <c r="V887" s="78"/>
      <c r="Z887" s="181"/>
      <c r="AA887" s="183"/>
      <c r="AC887" s="26"/>
      <c r="AD887" s="279"/>
      <c r="AE887" s="26"/>
      <c r="AF887" s="26"/>
      <c r="AG887" s="278" t="str">
        <f t="shared" si="122"/>
        <v/>
      </c>
      <c r="AH887" s="278" t="str">
        <f t="shared" si="123"/>
        <v/>
      </c>
      <c r="AJ887" s="25"/>
      <c r="AK887" s="25"/>
      <c r="AL887" s="25"/>
      <c r="AM887" s="25"/>
      <c r="AN887" s="25"/>
      <c r="AO887" s="25"/>
      <c r="AP887" s="25"/>
      <c r="AQ887" s="25"/>
      <c r="AR887" s="25"/>
      <c r="AS887" s="25"/>
      <c r="AT887" s="25"/>
      <c r="AU887" s="25"/>
      <c r="AV887" s="43"/>
      <c r="AW887" s="43"/>
      <c r="AX887" s="114" t="s">
        <v>76</v>
      </c>
      <c r="AY887" s="43"/>
      <c r="AZ887" s="43"/>
      <c r="BA887" s="43"/>
      <c r="BB887" s="43"/>
    </row>
    <row r="888" spans="2:54" ht="12.75" customHeight="1">
      <c r="B888" s="320"/>
      <c r="C888" s="134"/>
      <c r="D888" s="98"/>
      <c r="E888" s="504"/>
      <c r="F888" s="306"/>
      <c r="G888" s="265"/>
      <c r="H888" s="266"/>
      <c r="I888" s="297"/>
      <c r="J888" s="298"/>
      <c r="K888" s="298"/>
      <c r="L888" s="298"/>
      <c r="M888" s="41"/>
      <c r="N888" s="21"/>
      <c r="O888" s="21"/>
      <c r="P888" s="21"/>
      <c r="Q888" s="326"/>
      <c r="R888" s="40"/>
      <c r="S888" s="84"/>
      <c r="T888" s="40"/>
      <c r="U888" s="42"/>
      <c r="V888" s="78"/>
      <c r="Z888" s="181"/>
      <c r="AA888" s="183"/>
      <c r="AC888" s="26"/>
      <c r="AD888" s="279"/>
      <c r="AE888" s="26"/>
      <c r="AF888" s="26"/>
      <c r="AG888" s="278" t="str">
        <f t="shared" si="122"/>
        <v/>
      </c>
      <c r="AH888" s="278" t="str">
        <f t="shared" si="123"/>
        <v/>
      </c>
      <c r="AJ888" s="25"/>
      <c r="AK888" s="25"/>
      <c r="AL888" s="25"/>
      <c r="AM888" s="25"/>
      <c r="AN888" s="25"/>
      <c r="AO888" s="25"/>
      <c r="AP888" s="25"/>
      <c r="AQ888" s="25"/>
      <c r="AR888" s="25"/>
      <c r="AS888" s="25"/>
      <c r="AT888" s="25"/>
      <c r="AU888" s="25"/>
      <c r="AV888" s="43"/>
      <c r="AW888" s="43"/>
      <c r="AX888" s="114" t="s">
        <v>76</v>
      </c>
      <c r="AY888" s="43"/>
      <c r="AZ888" s="43"/>
      <c r="BA888" s="43"/>
      <c r="BB888" s="43"/>
    </row>
    <row r="889" spans="2:54" ht="12.75" customHeight="1">
      <c r="B889" s="320"/>
      <c r="C889" s="134"/>
      <c r="D889" s="98"/>
      <c r="E889" s="504"/>
      <c r="F889" s="306"/>
      <c r="G889" s="265"/>
      <c r="H889" s="266"/>
      <c r="I889" s="297"/>
      <c r="J889" s="298"/>
      <c r="K889" s="298"/>
      <c r="L889" s="298"/>
      <c r="M889" s="41"/>
      <c r="N889" s="21"/>
      <c r="O889" s="21"/>
      <c r="P889" s="21"/>
      <c r="Q889" s="326"/>
      <c r="R889" s="40"/>
      <c r="S889" s="84"/>
      <c r="T889" s="40"/>
      <c r="U889" s="42"/>
      <c r="V889" s="78"/>
      <c r="Z889" s="181"/>
      <c r="AA889" s="183"/>
      <c r="AC889" s="26"/>
      <c r="AD889" s="279"/>
      <c r="AE889" s="26"/>
      <c r="AF889" s="26"/>
      <c r="AG889" s="278" t="str">
        <f t="shared" si="122"/>
        <v/>
      </c>
      <c r="AH889" s="278" t="str">
        <f t="shared" si="123"/>
        <v/>
      </c>
      <c r="AJ889" s="25"/>
      <c r="AK889" s="25"/>
      <c r="AL889" s="25"/>
      <c r="AM889" s="25"/>
      <c r="AN889" s="25"/>
      <c r="AO889" s="25"/>
      <c r="AP889" s="25"/>
      <c r="AQ889" s="25"/>
      <c r="AR889" s="25"/>
      <c r="AS889" s="25"/>
      <c r="AT889" s="25"/>
      <c r="AU889" s="25"/>
      <c r="AV889" s="43"/>
      <c r="AW889" s="43"/>
      <c r="AX889" s="114" t="s">
        <v>76</v>
      </c>
      <c r="AY889" s="43"/>
      <c r="AZ889" s="43"/>
      <c r="BA889" s="43"/>
      <c r="BB889" s="43"/>
    </row>
    <row r="890" spans="2:54" ht="12.75" customHeight="1">
      <c r="B890" s="320"/>
      <c r="C890" s="134"/>
      <c r="D890" s="98"/>
      <c r="E890" s="504"/>
      <c r="F890" s="306"/>
      <c r="G890" s="265"/>
      <c r="H890" s="266"/>
      <c r="I890" s="297"/>
      <c r="J890" s="298"/>
      <c r="K890" s="298"/>
      <c r="L890" s="298"/>
      <c r="M890" s="41"/>
      <c r="N890" s="21"/>
      <c r="O890" s="21"/>
      <c r="P890" s="21"/>
      <c r="Q890" s="326"/>
      <c r="R890" s="40"/>
      <c r="S890" s="84"/>
      <c r="T890" s="40"/>
      <c r="U890" s="42"/>
      <c r="V890" s="78"/>
      <c r="Z890" s="181"/>
      <c r="AA890" s="183"/>
      <c r="AC890" s="26"/>
      <c r="AD890" s="279"/>
      <c r="AE890" s="26"/>
      <c r="AF890" s="26"/>
      <c r="AG890" s="278" t="str">
        <f t="shared" si="122"/>
        <v/>
      </c>
      <c r="AH890" s="278" t="str">
        <f t="shared" si="123"/>
        <v/>
      </c>
      <c r="AJ890" s="25"/>
      <c r="AK890" s="25"/>
      <c r="AL890" s="25"/>
      <c r="AM890" s="25"/>
      <c r="AN890" s="25"/>
      <c r="AO890" s="25"/>
      <c r="AP890" s="25"/>
      <c r="AQ890" s="25"/>
      <c r="AR890" s="25"/>
      <c r="AS890" s="25"/>
      <c r="AT890" s="25"/>
      <c r="AU890" s="25"/>
      <c r="AV890" s="43"/>
      <c r="AW890" s="43"/>
      <c r="AX890" s="114" t="s">
        <v>76</v>
      </c>
      <c r="AY890" s="43"/>
      <c r="AZ890" s="43"/>
      <c r="BA890" s="43"/>
      <c r="BB890" s="43"/>
    </row>
    <row r="891" spans="2:54" ht="12.75" customHeight="1">
      <c r="B891" s="320"/>
      <c r="C891" s="134"/>
      <c r="D891" s="98"/>
      <c r="E891" s="504"/>
      <c r="F891" s="306"/>
      <c r="G891" s="265"/>
      <c r="H891" s="266"/>
      <c r="I891" s="297"/>
      <c r="J891" s="298"/>
      <c r="K891" s="298"/>
      <c r="L891" s="298"/>
      <c r="M891" s="41"/>
      <c r="N891" s="21"/>
      <c r="O891" s="21"/>
      <c r="P891" s="21"/>
      <c r="Q891" s="326"/>
      <c r="R891" s="40"/>
      <c r="S891" s="84"/>
      <c r="T891" s="40"/>
      <c r="U891" s="42"/>
      <c r="V891" s="78"/>
      <c r="Z891" s="181"/>
      <c r="AA891" s="183"/>
      <c r="AC891" s="26"/>
      <c r="AD891" s="279"/>
      <c r="AE891" s="26"/>
      <c r="AF891" s="26"/>
      <c r="AG891" s="278" t="str">
        <f t="shared" si="122"/>
        <v/>
      </c>
      <c r="AH891" s="278" t="str">
        <f t="shared" si="123"/>
        <v/>
      </c>
      <c r="AJ891" s="25"/>
      <c r="AK891" s="25"/>
      <c r="AL891" s="25"/>
      <c r="AM891" s="25"/>
      <c r="AN891" s="25"/>
      <c r="AO891" s="25"/>
      <c r="AP891" s="25"/>
      <c r="AQ891" s="25"/>
      <c r="AR891" s="25"/>
      <c r="AS891" s="25"/>
      <c r="AT891" s="25"/>
      <c r="AU891" s="25"/>
      <c r="AV891" s="43"/>
      <c r="AW891" s="43"/>
      <c r="AX891" s="114" t="s">
        <v>76</v>
      </c>
      <c r="AY891" s="43"/>
      <c r="AZ891" s="43"/>
      <c r="BA891" s="43"/>
      <c r="BB891" s="43"/>
    </row>
    <row r="892" spans="2:54" ht="12.75" customHeight="1">
      <c r="B892" s="320"/>
      <c r="C892" s="134"/>
      <c r="D892" s="98"/>
      <c r="E892" s="504"/>
      <c r="F892" s="306"/>
      <c r="G892" s="265"/>
      <c r="H892" s="266"/>
      <c r="I892" s="297"/>
      <c r="J892" s="298"/>
      <c r="K892" s="298"/>
      <c r="L892" s="298"/>
      <c r="M892" s="41"/>
      <c r="N892" s="21"/>
      <c r="O892" s="21"/>
      <c r="P892" s="21"/>
      <c r="Q892" s="326"/>
      <c r="R892" s="40"/>
      <c r="S892" s="84"/>
      <c r="T892" s="40"/>
      <c r="U892" s="42"/>
      <c r="V892" s="78"/>
      <c r="Z892" s="181"/>
      <c r="AA892" s="183"/>
      <c r="AC892" s="26"/>
      <c r="AD892" s="279"/>
      <c r="AE892" s="26"/>
      <c r="AF892" s="26"/>
      <c r="AG892" s="278" t="str">
        <f t="shared" si="122"/>
        <v/>
      </c>
      <c r="AH892" s="278" t="str">
        <f t="shared" si="123"/>
        <v/>
      </c>
      <c r="AJ892" s="25"/>
      <c r="AK892" s="25"/>
      <c r="AL892" s="25"/>
      <c r="AM892" s="25"/>
      <c r="AN892" s="25"/>
      <c r="AO892" s="25"/>
      <c r="AP892" s="25"/>
      <c r="AQ892" s="25"/>
      <c r="AR892" s="25"/>
      <c r="AS892" s="25"/>
      <c r="AT892" s="25"/>
      <c r="AU892" s="25"/>
      <c r="AV892" s="43"/>
      <c r="AW892" s="43"/>
      <c r="AX892" s="114" t="s">
        <v>76</v>
      </c>
      <c r="AY892" s="43"/>
      <c r="AZ892" s="43"/>
      <c r="BA892" s="43"/>
      <c r="BB892" s="43"/>
    </row>
    <row r="893" spans="2:54" ht="12.75" customHeight="1">
      <c r="B893" s="320"/>
      <c r="C893" s="134"/>
      <c r="D893" s="98"/>
      <c r="E893" s="504"/>
      <c r="F893" s="306"/>
      <c r="G893" s="265"/>
      <c r="H893" s="266"/>
      <c r="I893" s="297"/>
      <c r="J893" s="298"/>
      <c r="K893" s="298"/>
      <c r="L893" s="298"/>
      <c r="M893" s="41"/>
      <c r="N893" s="21"/>
      <c r="O893" s="21"/>
      <c r="P893" s="21"/>
      <c r="Q893" s="326"/>
      <c r="R893" s="40"/>
      <c r="S893" s="84"/>
      <c r="T893" s="40"/>
      <c r="U893" s="42"/>
      <c r="V893" s="78"/>
      <c r="Z893" s="181"/>
      <c r="AA893" s="183"/>
      <c r="AC893" s="26"/>
      <c r="AD893" s="279"/>
      <c r="AE893" s="26"/>
      <c r="AF893" s="26"/>
      <c r="AG893" s="278" t="str">
        <f t="shared" si="122"/>
        <v/>
      </c>
      <c r="AH893" s="278" t="str">
        <f t="shared" si="123"/>
        <v/>
      </c>
      <c r="AJ893" s="25"/>
      <c r="AK893" s="25"/>
      <c r="AL893" s="25"/>
      <c r="AM893" s="25"/>
      <c r="AN893" s="25"/>
      <c r="AO893" s="25"/>
      <c r="AP893" s="25"/>
      <c r="AQ893" s="25"/>
      <c r="AR893" s="25"/>
      <c r="AS893" s="25"/>
      <c r="AT893" s="25"/>
      <c r="AU893" s="25"/>
      <c r="AV893" s="43"/>
      <c r="AW893" s="43"/>
      <c r="AX893" s="114" t="s">
        <v>76</v>
      </c>
      <c r="AY893" s="43"/>
      <c r="AZ893" s="43"/>
      <c r="BA893" s="43"/>
      <c r="BB893" s="43"/>
    </row>
    <row r="894" spans="2:54" ht="12.75" customHeight="1">
      <c r="B894" s="320"/>
      <c r="C894" s="134"/>
      <c r="D894" s="98"/>
      <c r="E894" s="504"/>
      <c r="F894" s="306"/>
      <c r="G894" s="265"/>
      <c r="H894" s="266"/>
      <c r="I894" s="297"/>
      <c r="J894" s="298"/>
      <c r="K894" s="298"/>
      <c r="L894" s="298"/>
      <c r="M894" s="41"/>
      <c r="N894" s="21"/>
      <c r="O894" s="21"/>
      <c r="P894" s="21"/>
      <c r="Q894" s="326"/>
      <c r="R894" s="40"/>
      <c r="S894" s="84"/>
      <c r="T894" s="40"/>
      <c r="U894" s="42"/>
      <c r="V894" s="78"/>
      <c r="Z894" s="181"/>
      <c r="AA894" s="183"/>
      <c r="AC894" s="26"/>
      <c r="AD894" s="279"/>
      <c r="AE894" s="26"/>
      <c r="AF894" s="26"/>
      <c r="AG894" s="278" t="str">
        <f t="shared" si="122"/>
        <v/>
      </c>
      <c r="AH894" s="278" t="str">
        <f t="shared" si="123"/>
        <v/>
      </c>
      <c r="AJ894" s="25"/>
      <c r="AK894" s="25"/>
      <c r="AL894" s="25"/>
      <c r="AM894" s="25"/>
      <c r="AN894" s="25"/>
      <c r="AO894" s="25"/>
      <c r="AP894" s="25"/>
      <c r="AQ894" s="25"/>
      <c r="AR894" s="25"/>
      <c r="AS894" s="25"/>
      <c r="AT894" s="25"/>
      <c r="AU894" s="25"/>
      <c r="AV894" s="43"/>
      <c r="AW894" s="43"/>
      <c r="AX894" s="114" t="s">
        <v>76</v>
      </c>
      <c r="AY894" s="43"/>
      <c r="AZ894" s="43"/>
      <c r="BA894" s="43"/>
      <c r="BB894" s="43"/>
    </row>
    <row r="895" spans="2:54" ht="12.75" customHeight="1">
      <c r="B895" s="320"/>
      <c r="C895" s="134"/>
      <c r="D895" s="98"/>
      <c r="E895" s="504"/>
      <c r="F895" s="306"/>
      <c r="G895" s="265"/>
      <c r="H895" s="266"/>
      <c r="I895" s="297"/>
      <c r="J895" s="298"/>
      <c r="K895" s="298"/>
      <c r="L895" s="298"/>
      <c r="M895" s="41"/>
      <c r="N895" s="21"/>
      <c r="O895" s="21"/>
      <c r="P895" s="21"/>
      <c r="Q895" s="326"/>
      <c r="R895" s="40"/>
      <c r="S895" s="84"/>
      <c r="T895" s="40"/>
      <c r="U895" s="42"/>
      <c r="V895" s="78"/>
      <c r="Z895" s="181"/>
      <c r="AA895" s="183"/>
      <c r="AC895" s="26"/>
      <c r="AD895" s="279"/>
      <c r="AE895" s="26"/>
      <c r="AF895" s="26"/>
      <c r="AG895" s="278" t="str">
        <f t="shared" si="122"/>
        <v/>
      </c>
      <c r="AH895" s="278" t="str">
        <f t="shared" si="123"/>
        <v/>
      </c>
      <c r="AJ895" s="25"/>
      <c r="AK895" s="25"/>
      <c r="AL895" s="25"/>
      <c r="AM895" s="25"/>
      <c r="AN895" s="25"/>
      <c r="AO895" s="25"/>
      <c r="AP895" s="25"/>
      <c r="AQ895" s="25"/>
      <c r="AR895" s="25"/>
      <c r="AS895" s="25"/>
      <c r="AT895" s="25"/>
      <c r="AU895" s="25"/>
      <c r="AV895" s="43"/>
      <c r="AW895" s="43"/>
      <c r="AX895" s="114" t="s">
        <v>76</v>
      </c>
      <c r="AY895" s="43"/>
      <c r="AZ895" s="43"/>
      <c r="BA895" s="43"/>
      <c r="BB895" s="43"/>
    </row>
    <row r="896" spans="2:54" ht="12.75" customHeight="1">
      <c r="B896" s="320"/>
      <c r="C896" s="134"/>
      <c r="D896" s="98"/>
      <c r="E896" s="504"/>
      <c r="F896" s="306"/>
      <c r="G896" s="265"/>
      <c r="H896" s="266"/>
      <c r="I896" s="297"/>
      <c r="J896" s="298"/>
      <c r="K896" s="298"/>
      <c r="L896" s="298"/>
      <c r="M896" s="41"/>
      <c r="N896" s="21"/>
      <c r="O896" s="21"/>
      <c r="P896" s="21"/>
      <c r="Q896" s="326"/>
      <c r="R896" s="40"/>
      <c r="S896" s="84"/>
      <c r="T896" s="40"/>
      <c r="U896" s="42"/>
      <c r="V896" s="78"/>
      <c r="Z896" s="181"/>
      <c r="AA896" s="183"/>
      <c r="AC896" s="26"/>
      <c r="AD896" s="279"/>
      <c r="AE896" s="26"/>
      <c r="AF896" s="26"/>
      <c r="AG896" s="278" t="str">
        <f t="shared" si="122"/>
        <v/>
      </c>
      <c r="AH896" s="278" t="str">
        <f t="shared" si="123"/>
        <v/>
      </c>
      <c r="AJ896" s="25"/>
      <c r="AK896" s="25"/>
      <c r="AL896" s="25"/>
      <c r="AM896" s="25"/>
      <c r="AN896" s="25"/>
      <c r="AO896" s="25"/>
      <c r="AP896" s="25"/>
      <c r="AQ896" s="25"/>
      <c r="AR896" s="25"/>
      <c r="AS896" s="25"/>
      <c r="AT896" s="25"/>
      <c r="AU896" s="25"/>
      <c r="AV896" s="43"/>
      <c r="AW896" s="43"/>
      <c r="AX896" s="114" t="s">
        <v>76</v>
      </c>
      <c r="AY896" s="43"/>
      <c r="AZ896" s="43"/>
      <c r="BA896" s="43"/>
      <c r="BB896" s="43"/>
    </row>
    <row r="897" spans="2:54" ht="12.75" customHeight="1">
      <c r="B897" s="320"/>
      <c r="C897" s="134"/>
      <c r="D897" s="98"/>
      <c r="E897" s="504"/>
      <c r="F897" s="306"/>
      <c r="G897" s="265"/>
      <c r="H897" s="266"/>
      <c r="I897" s="297"/>
      <c r="J897" s="298"/>
      <c r="K897" s="298"/>
      <c r="L897" s="298"/>
      <c r="M897" s="41"/>
      <c r="N897" s="21"/>
      <c r="O897" s="21"/>
      <c r="P897" s="21"/>
      <c r="Q897" s="326"/>
      <c r="R897" s="40"/>
      <c r="S897" s="84"/>
      <c r="T897" s="40"/>
      <c r="U897" s="42"/>
      <c r="V897" s="78"/>
      <c r="Z897" s="181"/>
      <c r="AA897" s="183"/>
      <c r="AC897" s="26"/>
      <c r="AD897" s="279"/>
      <c r="AE897" s="26"/>
      <c r="AF897" s="26"/>
      <c r="AG897" s="278" t="str">
        <f t="shared" si="122"/>
        <v/>
      </c>
      <c r="AH897" s="278" t="str">
        <f t="shared" si="123"/>
        <v/>
      </c>
      <c r="AJ897" s="25"/>
      <c r="AK897" s="25"/>
      <c r="AL897" s="25"/>
      <c r="AM897" s="25"/>
      <c r="AN897" s="25"/>
      <c r="AO897" s="25"/>
      <c r="AP897" s="25"/>
      <c r="AQ897" s="25"/>
      <c r="AR897" s="25"/>
      <c r="AS897" s="25"/>
      <c r="AT897" s="25"/>
      <c r="AU897" s="25"/>
      <c r="AV897" s="43"/>
      <c r="AW897" s="43"/>
      <c r="AX897" s="114" t="s">
        <v>76</v>
      </c>
      <c r="AY897" s="43"/>
      <c r="AZ897" s="43"/>
      <c r="BA897" s="43"/>
      <c r="BB897" s="43"/>
    </row>
    <row r="898" spans="2:54" ht="12.75" customHeight="1">
      <c r="B898" s="320"/>
      <c r="C898" s="134"/>
      <c r="D898" s="98"/>
      <c r="E898" s="504"/>
      <c r="F898" s="306"/>
      <c r="G898" s="265"/>
      <c r="H898" s="266"/>
      <c r="I898" s="297"/>
      <c r="J898" s="298"/>
      <c r="K898" s="298"/>
      <c r="L898" s="298"/>
      <c r="M898" s="41"/>
      <c r="N898" s="21"/>
      <c r="O898" s="21"/>
      <c r="P898" s="21"/>
      <c r="Q898" s="326"/>
      <c r="R898" s="40"/>
      <c r="S898" s="84"/>
      <c r="T898" s="40"/>
      <c r="U898" s="42"/>
      <c r="V898" s="78"/>
      <c r="Z898" s="181"/>
      <c r="AA898" s="183"/>
      <c r="AC898" s="26"/>
      <c r="AD898" s="279"/>
      <c r="AE898" s="26"/>
      <c r="AF898" s="26"/>
      <c r="AG898" s="278" t="str">
        <f t="shared" si="122"/>
        <v/>
      </c>
      <c r="AH898" s="278" t="str">
        <f t="shared" si="123"/>
        <v/>
      </c>
      <c r="AJ898" s="25"/>
      <c r="AK898" s="25"/>
      <c r="AL898" s="25"/>
      <c r="AM898" s="25"/>
      <c r="AN898" s="25"/>
      <c r="AO898" s="25"/>
      <c r="AP898" s="25"/>
      <c r="AQ898" s="25"/>
      <c r="AR898" s="25"/>
      <c r="AS898" s="25"/>
      <c r="AT898" s="25"/>
      <c r="AU898" s="25"/>
      <c r="AV898" s="43"/>
      <c r="AW898" s="43"/>
      <c r="AX898" s="114" t="s">
        <v>76</v>
      </c>
      <c r="AY898" s="43"/>
      <c r="AZ898" s="43"/>
      <c r="BA898" s="43"/>
      <c r="BB898" s="43"/>
    </row>
    <row r="899" spans="2:54" ht="12.75" customHeight="1">
      <c r="B899" s="320"/>
      <c r="C899" s="134"/>
      <c r="D899" s="98"/>
      <c r="E899" s="504"/>
      <c r="F899" s="306"/>
      <c r="G899" s="265"/>
      <c r="H899" s="266"/>
      <c r="I899" s="297"/>
      <c r="J899" s="298"/>
      <c r="K899" s="298"/>
      <c r="L899" s="298"/>
      <c r="M899" s="41"/>
      <c r="N899" s="21"/>
      <c r="O899" s="21"/>
      <c r="P899" s="21"/>
      <c r="Q899" s="326"/>
      <c r="R899" s="40"/>
      <c r="S899" s="84"/>
      <c r="T899" s="40"/>
      <c r="U899" s="42"/>
      <c r="V899" s="78"/>
      <c r="Z899" s="181"/>
      <c r="AA899" s="183"/>
      <c r="AC899" s="26"/>
      <c r="AD899" s="279"/>
      <c r="AE899" s="26"/>
      <c r="AF899" s="26"/>
      <c r="AG899" s="278" t="str">
        <f t="shared" si="122"/>
        <v/>
      </c>
      <c r="AH899" s="278" t="str">
        <f t="shared" si="123"/>
        <v/>
      </c>
      <c r="AJ899" s="25"/>
      <c r="AK899" s="25"/>
      <c r="AL899" s="25"/>
      <c r="AM899" s="25"/>
      <c r="AN899" s="25"/>
      <c r="AO899" s="25"/>
      <c r="AP899" s="25"/>
      <c r="AQ899" s="25"/>
      <c r="AR899" s="25"/>
      <c r="AS899" s="25"/>
      <c r="AT899" s="25"/>
      <c r="AU899" s="25"/>
      <c r="AV899" s="43"/>
      <c r="AW899" s="43"/>
      <c r="AX899" s="114" t="s">
        <v>76</v>
      </c>
      <c r="AY899" s="43"/>
      <c r="AZ899" s="43"/>
      <c r="BA899" s="43"/>
      <c r="BB899" s="43"/>
    </row>
    <row r="900" spans="2:54" ht="12.75" customHeight="1">
      <c r="B900" s="320"/>
      <c r="C900" s="134"/>
      <c r="D900" s="98"/>
      <c r="E900" s="504"/>
      <c r="F900" s="306"/>
      <c r="G900" s="265"/>
      <c r="H900" s="266"/>
      <c r="I900" s="297"/>
      <c r="J900" s="298"/>
      <c r="K900" s="298"/>
      <c r="L900" s="298"/>
      <c r="M900" s="41"/>
      <c r="N900" s="21"/>
      <c r="O900" s="21"/>
      <c r="P900" s="21"/>
      <c r="Q900" s="326"/>
      <c r="R900" s="40"/>
      <c r="S900" s="84"/>
      <c r="T900" s="40"/>
      <c r="U900" s="42"/>
      <c r="V900" s="78"/>
      <c r="Z900" s="181"/>
      <c r="AA900" s="183"/>
      <c r="AC900" s="26"/>
      <c r="AD900" s="279"/>
      <c r="AE900" s="26"/>
      <c r="AF900" s="26"/>
      <c r="AG900" s="278" t="str">
        <f t="shared" si="122"/>
        <v/>
      </c>
      <c r="AH900" s="278" t="str">
        <f t="shared" si="123"/>
        <v/>
      </c>
      <c r="AJ900" s="25"/>
      <c r="AK900" s="25"/>
      <c r="AL900" s="25"/>
      <c r="AM900" s="25"/>
      <c r="AN900" s="25"/>
      <c r="AO900" s="25"/>
      <c r="AP900" s="25"/>
      <c r="AQ900" s="25"/>
      <c r="AR900" s="25"/>
      <c r="AS900" s="25"/>
      <c r="AT900" s="25"/>
      <c r="AU900" s="25"/>
      <c r="AV900" s="43"/>
      <c r="AW900" s="43"/>
      <c r="AX900" s="114" t="s">
        <v>76</v>
      </c>
      <c r="AY900" s="43"/>
      <c r="AZ900" s="43"/>
      <c r="BA900" s="43"/>
      <c r="BB900" s="43"/>
    </row>
    <row r="901" spans="2:54" ht="12.75" customHeight="1">
      <c r="B901" s="320"/>
      <c r="C901" s="134"/>
      <c r="D901" s="98"/>
      <c r="E901" s="504"/>
      <c r="F901" s="306"/>
      <c r="G901" s="265"/>
      <c r="H901" s="266"/>
      <c r="I901" s="297"/>
      <c r="J901" s="298"/>
      <c r="K901" s="298"/>
      <c r="L901" s="298"/>
      <c r="M901" s="41"/>
      <c r="N901" s="21"/>
      <c r="O901" s="21"/>
      <c r="P901" s="21"/>
      <c r="Q901" s="326"/>
      <c r="R901" s="40"/>
      <c r="S901" s="84"/>
      <c r="T901" s="40"/>
      <c r="U901" s="42"/>
      <c r="V901" s="78"/>
      <c r="Z901" s="181"/>
      <c r="AA901" s="183"/>
      <c r="AC901" s="26"/>
      <c r="AD901" s="279"/>
      <c r="AE901" s="26"/>
      <c r="AF901" s="26"/>
      <c r="AG901" s="278" t="str">
        <f t="shared" si="122"/>
        <v/>
      </c>
      <c r="AH901" s="278" t="str">
        <f t="shared" si="123"/>
        <v/>
      </c>
      <c r="AJ901" s="25"/>
      <c r="AK901" s="25"/>
      <c r="AL901" s="25"/>
      <c r="AM901" s="25"/>
      <c r="AN901" s="25"/>
      <c r="AO901" s="25"/>
      <c r="AP901" s="25"/>
      <c r="AQ901" s="25"/>
      <c r="AR901" s="25"/>
      <c r="AS901" s="25"/>
      <c r="AT901" s="25"/>
      <c r="AU901" s="25"/>
      <c r="AV901" s="43"/>
      <c r="AW901" s="43"/>
      <c r="AX901" s="114" t="s">
        <v>76</v>
      </c>
      <c r="AY901" s="43"/>
      <c r="AZ901" s="43"/>
      <c r="BA901" s="43"/>
      <c r="BB901" s="43"/>
    </row>
    <row r="902" spans="2:54" ht="12.75" customHeight="1">
      <c r="B902" s="320"/>
      <c r="C902" s="134"/>
      <c r="D902" s="98"/>
      <c r="E902" s="504"/>
      <c r="F902" s="306"/>
      <c r="G902" s="265"/>
      <c r="H902" s="266"/>
      <c r="I902" s="297"/>
      <c r="J902" s="298"/>
      <c r="K902" s="298"/>
      <c r="L902" s="298"/>
      <c r="M902" s="41"/>
      <c r="N902" s="21"/>
      <c r="O902" s="21"/>
      <c r="P902" s="21"/>
      <c r="Q902" s="326"/>
      <c r="R902" s="40"/>
      <c r="S902" s="84"/>
      <c r="T902" s="40"/>
      <c r="U902" s="42"/>
      <c r="V902" s="78"/>
      <c r="Z902" s="181"/>
      <c r="AA902" s="183"/>
      <c r="AC902" s="26"/>
      <c r="AD902" s="279"/>
      <c r="AE902" s="26"/>
      <c r="AF902" s="26"/>
      <c r="AG902" s="278" t="str">
        <f t="shared" ref="AG902:AG965" si="124">IF(AE902="","",AE902*AltBounce)</f>
        <v/>
      </c>
      <c r="AH902" s="278" t="str">
        <f t="shared" ref="AH902:AH965" si="125">IF(AA902="","",AE902*(1/AltBounce))</f>
        <v/>
      </c>
      <c r="AJ902" s="25"/>
      <c r="AK902" s="25"/>
      <c r="AL902" s="25"/>
      <c r="AM902" s="25"/>
      <c r="AN902" s="25"/>
      <c r="AO902" s="25"/>
      <c r="AP902" s="25"/>
      <c r="AQ902" s="25"/>
      <c r="AR902" s="25"/>
      <c r="AS902" s="25"/>
      <c r="AT902" s="25"/>
      <c r="AU902" s="25"/>
      <c r="AV902" s="43"/>
      <c r="AW902" s="43"/>
      <c r="AX902" s="114" t="s">
        <v>76</v>
      </c>
      <c r="AY902" s="43"/>
      <c r="AZ902" s="43"/>
      <c r="BA902" s="43"/>
      <c r="BB902" s="43"/>
    </row>
    <row r="903" spans="2:54" ht="12.75" customHeight="1">
      <c r="B903" s="320"/>
      <c r="C903" s="134"/>
      <c r="D903" s="98"/>
      <c r="E903" s="504"/>
      <c r="F903" s="306"/>
      <c r="G903" s="265"/>
      <c r="H903" s="266"/>
      <c r="I903" s="297"/>
      <c r="J903" s="298"/>
      <c r="K903" s="298"/>
      <c r="L903" s="298"/>
      <c r="M903" s="41"/>
      <c r="N903" s="21"/>
      <c r="O903" s="21"/>
      <c r="P903" s="21"/>
      <c r="Q903" s="326"/>
      <c r="R903" s="40"/>
      <c r="S903" s="84"/>
      <c r="T903" s="40"/>
      <c r="U903" s="42"/>
      <c r="V903" s="78"/>
      <c r="Z903" s="181"/>
      <c r="AA903" s="183"/>
      <c r="AC903" s="26"/>
      <c r="AD903" s="279"/>
      <c r="AE903" s="26"/>
      <c r="AF903" s="26"/>
      <c r="AG903" s="278" t="str">
        <f t="shared" si="124"/>
        <v/>
      </c>
      <c r="AH903" s="278" t="str">
        <f t="shared" si="125"/>
        <v/>
      </c>
      <c r="AJ903" s="25"/>
      <c r="AK903" s="25"/>
      <c r="AL903" s="25"/>
      <c r="AM903" s="25"/>
      <c r="AN903" s="25"/>
      <c r="AO903" s="25"/>
      <c r="AP903" s="25"/>
      <c r="AQ903" s="25"/>
      <c r="AR903" s="25"/>
      <c r="AS903" s="25"/>
      <c r="AT903" s="25"/>
      <c r="AU903" s="25"/>
      <c r="AV903" s="43"/>
      <c r="AW903" s="43"/>
      <c r="AX903" s="114" t="s">
        <v>76</v>
      </c>
      <c r="AY903" s="43"/>
      <c r="AZ903" s="43"/>
      <c r="BA903" s="43"/>
      <c r="BB903" s="43"/>
    </row>
    <row r="904" spans="2:54" ht="12.75" customHeight="1">
      <c r="B904" s="320"/>
      <c r="C904" s="134"/>
      <c r="D904" s="98"/>
      <c r="E904" s="504"/>
      <c r="F904" s="306"/>
      <c r="G904" s="265"/>
      <c r="H904" s="266"/>
      <c r="I904" s="297"/>
      <c r="J904" s="298"/>
      <c r="K904" s="298"/>
      <c r="L904" s="298"/>
      <c r="M904" s="41"/>
      <c r="N904" s="21"/>
      <c r="O904" s="21"/>
      <c r="P904" s="21"/>
      <c r="Q904" s="326"/>
      <c r="R904" s="40"/>
      <c r="S904" s="84"/>
      <c r="T904" s="40"/>
      <c r="U904" s="42"/>
      <c r="V904" s="78"/>
      <c r="Z904" s="181"/>
      <c r="AA904" s="183"/>
      <c r="AC904" s="26"/>
      <c r="AD904" s="279"/>
      <c r="AE904" s="26"/>
      <c r="AF904" s="26"/>
      <c r="AG904" s="278" t="str">
        <f t="shared" si="124"/>
        <v/>
      </c>
      <c r="AH904" s="278" t="str">
        <f t="shared" si="125"/>
        <v/>
      </c>
      <c r="AJ904" s="25"/>
      <c r="AK904" s="25"/>
      <c r="AL904" s="25"/>
      <c r="AM904" s="25"/>
      <c r="AN904" s="25"/>
      <c r="AO904" s="25"/>
      <c r="AP904" s="25"/>
      <c r="AQ904" s="25"/>
      <c r="AR904" s="25"/>
      <c r="AS904" s="25"/>
      <c r="AT904" s="25"/>
      <c r="AU904" s="25"/>
      <c r="AV904" s="43"/>
      <c r="AW904" s="43"/>
      <c r="AX904" s="114" t="s">
        <v>76</v>
      </c>
      <c r="AY904" s="43"/>
      <c r="AZ904" s="43"/>
      <c r="BA904" s="43"/>
      <c r="BB904" s="43"/>
    </row>
    <row r="905" spans="2:54" ht="12.75" customHeight="1">
      <c r="B905" s="320"/>
      <c r="C905" s="134"/>
      <c r="D905" s="98"/>
      <c r="E905" s="504"/>
      <c r="F905" s="306"/>
      <c r="G905" s="265"/>
      <c r="H905" s="266"/>
      <c r="I905" s="297"/>
      <c r="J905" s="298"/>
      <c r="K905" s="298"/>
      <c r="L905" s="298"/>
      <c r="M905" s="41"/>
      <c r="N905" s="21"/>
      <c r="O905" s="21"/>
      <c r="P905" s="21"/>
      <c r="Q905" s="326"/>
      <c r="R905" s="40"/>
      <c r="S905" s="84"/>
      <c r="T905" s="40"/>
      <c r="U905" s="42"/>
      <c r="V905" s="78"/>
      <c r="Z905" s="181"/>
      <c r="AA905" s="183"/>
      <c r="AC905" s="26"/>
      <c r="AD905" s="279"/>
      <c r="AE905" s="26"/>
      <c r="AF905" s="26"/>
      <c r="AG905" s="278" t="str">
        <f t="shared" si="124"/>
        <v/>
      </c>
      <c r="AH905" s="278" t="str">
        <f t="shared" si="125"/>
        <v/>
      </c>
      <c r="AJ905" s="25"/>
      <c r="AK905" s="25"/>
      <c r="AL905" s="25"/>
      <c r="AM905" s="25"/>
      <c r="AN905" s="25"/>
      <c r="AO905" s="25"/>
      <c r="AP905" s="25"/>
      <c r="AQ905" s="25"/>
      <c r="AR905" s="25"/>
      <c r="AS905" s="25"/>
      <c r="AT905" s="25"/>
      <c r="AU905" s="25"/>
      <c r="AV905" s="43"/>
      <c r="AW905" s="43"/>
      <c r="AX905" s="114" t="s">
        <v>76</v>
      </c>
      <c r="AY905" s="43"/>
      <c r="AZ905" s="43"/>
      <c r="BA905" s="43"/>
      <c r="BB905" s="43"/>
    </row>
    <row r="906" spans="2:54" ht="12.75" customHeight="1">
      <c r="B906" s="320"/>
      <c r="C906" s="134"/>
      <c r="D906" s="98"/>
      <c r="E906" s="504"/>
      <c r="F906" s="306"/>
      <c r="G906" s="265"/>
      <c r="H906" s="266"/>
      <c r="I906" s="297"/>
      <c r="J906" s="298"/>
      <c r="K906" s="298"/>
      <c r="L906" s="298"/>
      <c r="M906" s="41"/>
      <c r="N906" s="21"/>
      <c r="O906" s="21"/>
      <c r="P906" s="21"/>
      <c r="Q906" s="326"/>
      <c r="R906" s="40"/>
      <c r="S906" s="84"/>
      <c r="T906" s="40"/>
      <c r="U906" s="42"/>
      <c r="V906" s="78"/>
      <c r="Z906" s="181"/>
      <c r="AA906" s="183"/>
      <c r="AC906" s="26"/>
      <c r="AD906" s="279"/>
      <c r="AE906" s="26"/>
      <c r="AF906" s="26"/>
      <c r="AG906" s="278" t="str">
        <f t="shared" si="124"/>
        <v/>
      </c>
      <c r="AH906" s="278" t="str">
        <f t="shared" si="125"/>
        <v/>
      </c>
      <c r="AJ906" s="25"/>
      <c r="AK906" s="25"/>
      <c r="AL906" s="25"/>
      <c r="AM906" s="25"/>
      <c r="AN906" s="25"/>
      <c r="AO906" s="25"/>
      <c r="AP906" s="25"/>
      <c r="AQ906" s="25"/>
      <c r="AR906" s="25"/>
      <c r="AS906" s="25"/>
      <c r="AT906" s="25"/>
      <c r="AU906" s="25"/>
      <c r="AV906" s="43"/>
      <c r="AW906" s="43"/>
      <c r="AX906" s="114" t="s">
        <v>76</v>
      </c>
      <c r="AY906" s="43"/>
      <c r="AZ906" s="43"/>
      <c r="BA906" s="43"/>
      <c r="BB906" s="43"/>
    </row>
    <row r="907" spans="2:54" ht="12.75" customHeight="1">
      <c r="B907" s="320"/>
      <c r="C907" s="134"/>
      <c r="D907" s="98"/>
      <c r="E907" s="504"/>
      <c r="F907" s="306"/>
      <c r="G907" s="265"/>
      <c r="H907" s="266"/>
      <c r="I907" s="297"/>
      <c r="J907" s="298"/>
      <c r="K907" s="298"/>
      <c r="L907" s="298"/>
      <c r="M907" s="41"/>
      <c r="N907" s="21"/>
      <c r="O907" s="21"/>
      <c r="P907" s="21"/>
      <c r="Q907" s="326"/>
      <c r="R907" s="40"/>
      <c r="S907" s="84"/>
      <c r="T907" s="40"/>
      <c r="U907" s="42"/>
      <c r="V907" s="78"/>
      <c r="Z907" s="181"/>
      <c r="AA907" s="183"/>
      <c r="AC907" s="26"/>
      <c r="AD907" s="279"/>
      <c r="AE907" s="26"/>
      <c r="AF907" s="26"/>
      <c r="AG907" s="278" t="str">
        <f t="shared" si="124"/>
        <v/>
      </c>
      <c r="AH907" s="278" t="str">
        <f t="shared" si="125"/>
        <v/>
      </c>
      <c r="AJ907" s="25"/>
      <c r="AK907" s="25"/>
      <c r="AL907" s="25"/>
      <c r="AM907" s="25"/>
      <c r="AN907" s="25"/>
      <c r="AO907" s="25"/>
      <c r="AP907" s="25"/>
      <c r="AQ907" s="25"/>
      <c r="AR907" s="25"/>
      <c r="AS907" s="25"/>
      <c r="AT907" s="25"/>
      <c r="AU907" s="25"/>
      <c r="AV907" s="43"/>
      <c r="AW907" s="43"/>
      <c r="AX907" s="114" t="s">
        <v>76</v>
      </c>
      <c r="AY907" s="43"/>
      <c r="AZ907" s="43"/>
      <c r="BA907" s="43"/>
      <c r="BB907" s="43"/>
    </row>
    <row r="908" spans="2:54" ht="12.75" customHeight="1">
      <c r="B908" s="320"/>
      <c r="C908" s="134"/>
      <c r="D908" s="98"/>
      <c r="E908" s="504"/>
      <c r="F908" s="306"/>
      <c r="G908" s="265"/>
      <c r="H908" s="266"/>
      <c r="I908" s="297"/>
      <c r="J908" s="298"/>
      <c r="K908" s="298"/>
      <c r="L908" s="298"/>
      <c r="M908" s="41"/>
      <c r="N908" s="21"/>
      <c r="O908" s="21"/>
      <c r="P908" s="21"/>
      <c r="Q908" s="326"/>
      <c r="R908" s="40"/>
      <c r="S908" s="84"/>
      <c r="T908" s="40"/>
      <c r="U908" s="42"/>
      <c r="V908" s="78"/>
      <c r="Z908" s="181"/>
      <c r="AA908" s="183"/>
      <c r="AC908" s="26"/>
      <c r="AD908" s="279"/>
      <c r="AE908" s="26"/>
      <c r="AF908" s="26"/>
      <c r="AG908" s="278" t="str">
        <f t="shared" si="124"/>
        <v/>
      </c>
      <c r="AH908" s="278" t="str">
        <f t="shared" si="125"/>
        <v/>
      </c>
      <c r="AJ908" s="25"/>
      <c r="AK908" s="25"/>
      <c r="AL908" s="25"/>
      <c r="AM908" s="25"/>
      <c r="AN908" s="25"/>
      <c r="AO908" s="25"/>
      <c r="AP908" s="25"/>
      <c r="AQ908" s="25"/>
      <c r="AR908" s="25"/>
      <c r="AS908" s="25"/>
      <c r="AT908" s="25"/>
      <c r="AU908" s="25"/>
      <c r="AV908" s="43"/>
      <c r="AW908" s="43"/>
      <c r="AX908" s="114" t="s">
        <v>76</v>
      </c>
      <c r="AY908" s="43"/>
      <c r="AZ908" s="43"/>
      <c r="BA908" s="43"/>
      <c r="BB908" s="43"/>
    </row>
    <row r="909" spans="2:54" ht="12.75" customHeight="1">
      <c r="B909" s="320"/>
      <c r="C909" s="134"/>
      <c r="D909" s="98"/>
      <c r="E909" s="504"/>
      <c r="F909" s="306"/>
      <c r="G909" s="265"/>
      <c r="H909" s="266"/>
      <c r="I909" s="297"/>
      <c r="J909" s="298"/>
      <c r="K909" s="298"/>
      <c r="L909" s="298"/>
      <c r="M909" s="41"/>
      <c r="N909" s="21"/>
      <c r="O909" s="21"/>
      <c r="P909" s="21"/>
      <c r="Q909" s="326"/>
      <c r="R909" s="40"/>
      <c r="S909" s="84"/>
      <c r="T909" s="40"/>
      <c r="U909" s="42"/>
      <c r="V909" s="78"/>
      <c r="Z909" s="181"/>
      <c r="AA909" s="183"/>
      <c r="AC909" s="26"/>
      <c r="AD909" s="279"/>
      <c r="AE909" s="26"/>
      <c r="AF909" s="26"/>
      <c r="AG909" s="278" t="str">
        <f t="shared" si="124"/>
        <v/>
      </c>
      <c r="AH909" s="278" t="str">
        <f t="shared" si="125"/>
        <v/>
      </c>
      <c r="AJ909" s="25"/>
      <c r="AK909" s="25"/>
      <c r="AL909" s="25"/>
      <c r="AM909" s="25"/>
      <c r="AN909" s="25"/>
      <c r="AO909" s="25"/>
      <c r="AP909" s="25"/>
      <c r="AQ909" s="25"/>
      <c r="AR909" s="25"/>
      <c r="AS909" s="25"/>
      <c r="AT909" s="25"/>
      <c r="AU909" s="25"/>
      <c r="AV909" s="43"/>
      <c r="AW909" s="43"/>
      <c r="AX909" s="114" t="s">
        <v>76</v>
      </c>
      <c r="AY909" s="43"/>
      <c r="AZ909" s="43"/>
      <c r="BA909" s="43"/>
      <c r="BB909" s="43"/>
    </row>
    <row r="910" spans="2:54" ht="12.75" customHeight="1">
      <c r="B910" s="320"/>
      <c r="C910" s="134"/>
      <c r="D910" s="98"/>
      <c r="E910" s="504"/>
      <c r="F910" s="306"/>
      <c r="G910" s="265"/>
      <c r="H910" s="266"/>
      <c r="I910" s="297"/>
      <c r="J910" s="298"/>
      <c r="K910" s="298"/>
      <c r="L910" s="298"/>
      <c r="M910" s="41"/>
      <c r="N910" s="21"/>
      <c r="O910" s="21"/>
      <c r="P910" s="21"/>
      <c r="Q910" s="326"/>
      <c r="R910" s="40"/>
      <c r="S910" s="84"/>
      <c r="T910" s="40"/>
      <c r="U910" s="42"/>
      <c r="V910" s="78"/>
      <c r="Z910" s="181"/>
      <c r="AA910" s="183"/>
      <c r="AC910" s="26"/>
      <c r="AD910" s="279"/>
      <c r="AE910" s="26"/>
      <c r="AF910" s="26"/>
      <c r="AG910" s="278" t="str">
        <f t="shared" si="124"/>
        <v/>
      </c>
      <c r="AH910" s="278" t="str">
        <f t="shared" si="125"/>
        <v/>
      </c>
      <c r="AJ910" s="25"/>
      <c r="AK910" s="25"/>
      <c r="AL910" s="25"/>
      <c r="AM910" s="25"/>
      <c r="AN910" s="25"/>
      <c r="AO910" s="25"/>
      <c r="AP910" s="25"/>
      <c r="AQ910" s="25"/>
      <c r="AR910" s="25"/>
      <c r="AS910" s="25"/>
      <c r="AT910" s="25"/>
      <c r="AU910" s="25"/>
      <c r="AV910" s="43"/>
      <c r="AW910" s="43"/>
      <c r="AX910" s="114" t="s">
        <v>76</v>
      </c>
      <c r="AY910" s="43"/>
      <c r="AZ910" s="43"/>
      <c r="BA910" s="43"/>
      <c r="BB910" s="43"/>
    </row>
    <row r="911" spans="2:54" ht="12.75" customHeight="1">
      <c r="B911" s="320"/>
      <c r="C911" s="134"/>
      <c r="D911" s="98"/>
      <c r="E911" s="504"/>
      <c r="F911" s="306"/>
      <c r="G911" s="265"/>
      <c r="H911" s="266"/>
      <c r="I911" s="297"/>
      <c r="J911" s="298"/>
      <c r="K911" s="298"/>
      <c r="L911" s="298"/>
      <c r="M911" s="41"/>
      <c r="N911" s="21"/>
      <c r="O911" s="21"/>
      <c r="P911" s="21"/>
      <c r="Q911" s="326"/>
      <c r="R911" s="40"/>
      <c r="S911" s="84"/>
      <c r="T911" s="40"/>
      <c r="U911" s="42"/>
      <c r="V911" s="78"/>
      <c r="Z911" s="181"/>
      <c r="AA911" s="183"/>
      <c r="AC911" s="26"/>
      <c r="AD911" s="279"/>
      <c r="AE911" s="26"/>
      <c r="AF911" s="26"/>
      <c r="AG911" s="278" t="str">
        <f t="shared" si="124"/>
        <v/>
      </c>
      <c r="AH911" s="278" t="str">
        <f t="shared" si="125"/>
        <v/>
      </c>
      <c r="AJ911" s="25"/>
      <c r="AK911" s="25"/>
      <c r="AL911" s="25"/>
      <c r="AM911" s="25"/>
      <c r="AN911" s="25"/>
      <c r="AO911" s="25"/>
      <c r="AP911" s="25"/>
      <c r="AQ911" s="25"/>
      <c r="AR911" s="25"/>
      <c r="AS911" s="25"/>
      <c r="AT911" s="25"/>
      <c r="AU911" s="25"/>
      <c r="AV911" s="43"/>
      <c r="AW911" s="43"/>
      <c r="AX911" s="114" t="s">
        <v>76</v>
      </c>
      <c r="AY911" s="43"/>
      <c r="AZ911" s="43"/>
      <c r="BA911" s="43"/>
      <c r="BB911" s="43"/>
    </row>
    <row r="912" spans="2:54" ht="12.75" customHeight="1">
      <c r="B912" s="320"/>
      <c r="C912" s="134"/>
      <c r="D912" s="98"/>
      <c r="E912" s="504"/>
      <c r="F912" s="306"/>
      <c r="G912" s="265"/>
      <c r="H912" s="266"/>
      <c r="I912" s="297"/>
      <c r="J912" s="298"/>
      <c r="K912" s="298"/>
      <c r="L912" s="298"/>
      <c r="M912" s="41"/>
      <c r="N912" s="21"/>
      <c r="O912" s="21"/>
      <c r="P912" s="21"/>
      <c r="Q912" s="326"/>
      <c r="R912" s="40"/>
      <c r="S912" s="84"/>
      <c r="T912" s="40"/>
      <c r="U912" s="42"/>
      <c r="V912" s="78"/>
      <c r="Z912" s="181"/>
      <c r="AA912" s="183"/>
      <c r="AC912" s="26"/>
      <c r="AD912" s="279"/>
      <c r="AE912" s="26"/>
      <c r="AF912" s="26"/>
      <c r="AG912" s="278" t="str">
        <f t="shared" si="124"/>
        <v/>
      </c>
      <c r="AH912" s="278" t="str">
        <f t="shared" si="125"/>
        <v/>
      </c>
      <c r="AJ912" s="25"/>
      <c r="AK912" s="25"/>
      <c r="AL912" s="25"/>
      <c r="AM912" s="25"/>
      <c r="AN912" s="25"/>
      <c r="AO912" s="25"/>
      <c r="AP912" s="25"/>
      <c r="AQ912" s="25"/>
      <c r="AR912" s="25"/>
      <c r="AS912" s="25"/>
      <c r="AT912" s="25"/>
      <c r="AU912" s="25"/>
      <c r="AV912" s="43"/>
      <c r="AW912" s="43"/>
      <c r="AX912" s="114" t="s">
        <v>76</v>
      </c>
      <c r="AY912" s="43"/>
      <c r="AZ912" s="43"/>
      <c r="BA912" s="43"/>
      <c r="BB912" s="43"/>
    </row>
    <row r="913" spans="2:54" ht="12.75" customHeight="1">
      <c r="B913" s="320"/>
      <c r="C913" s="134"/>
      <c r="D913" s="98"/>
      <c r="E913" s="504"/>
      <c r="F913" s="306"/>
      <c r="G913" s="265"/>
      <c r="H913" s="266"/>
      <c r="I913" s="297"/>
      <c r="J913" s="298"/>
      <c r="K913" s="298"/>
      <c r="L913" s="298"/>
      <c r="M913" s="41"/>
      <c r="N913" s="21"/>
      <c r="O913" s="21"/>
      <c r="P913" s="21"/>
      <c r="Q913" s="326"/>
      <c r="R913" s="40"/>
      <c r="S913" s="84"/>
      <c r="T913" s="40"/>
      <c r="U913" s="42"/>
      <c r="V913" s="78"/>
      <c r="Z913" s="181"/>
      <c r="AA913" s="183"/>
      <c r="AC913" s="26"/>
      <c r="AD913" s="279"/>
      <c r="AE913" s="26"/>
      <c r="AF913" s="26"/>
      <c r="AG913" s="278" t="str">
        <f t="shared" si="124"/>
        <v/>
      </c>
      <c r="AH913" s="278" t="str">
        <f t="shared" si="125"/>
        <v/>
      </c>
      <c r="AJ913" s="25"/>
      <c r="AK913" s="25"/>
      <c r="AL913" s="25"/>
      <c r="AM913" s="25"/>
      <c r="AN913" s="25"/>
      <c r="AO913" s="25"/>
      <c r="AP913" s="25"/>
      <c r="AQ913" s="25"/>
      <c r="AR913" s="25"/>
      <c r="AS913" s="25"/>
      <c r="AT913" s="25"/>
      <c r="AU913" s="25"/>
      <c r="AV913" s="43"/>
      <c r="AW913" s="43"/>
      <c r="AX913" s="114" t="s">
        <v>76</v>
      </c>
      <c r="AY913" s="43"/>
      <c r="AZ913" s="43"/>
      <c r="BA913" s="43"/>
      <c r="BB913" s="43"/>
    </row>
    <row r="914" spans="2:54" ht="12.75" customHeight="1">
      <c r="B914" s="320"/>
      <c r="C914" s="134"/>
      <c r="D914" s="98"/>
      <c r="E914" s="504"/>
      <c r="F914" s="306"/>
      <c r="G914" s="265"/>
      <c r="H914" s="266"/>
      <c r="I914" s="297"/>
      <c r="J914" s="298"/>
      <c r="K914" s="298"/>
      <c r="L914" s="298"/>
      <c r="M914" s="41"/>
      <c r="N914" s="21"/>
      <c r="O914" s="21"/>
      <c r="P914" s="21"/>
      <c r="Q914" s="326"/>
      <c r="R914" s="40"/>
      <c r="S914" s="84"/>
      <c r="T914" s="40"/>
      <c r="U914" s="42"/>
      <c r="V914" s="78"/>
      <c r="Z914" s="181"/>
      <c r="AA914" s="183"/>
      <c r="AC914" s="26"/>
      <c r="AD914" s="279"/>
      <c r="AE914" s="26"/>
      <c r="AF914" s="26"/>
      <c r="AG914" s="278" t="str">
        <f t="shared" si="124"/>
        <v/>
      </c>
      <c r="AH914" s="278" t="str">
        <f t="shared" si="125"/>
        <v/>
      </c>
      <c r="AJ914" s="25"/>
      <c r="AK914" s="25"/>
      <c r="AL914" s="25"/>
      <c r="AM914" s="25"/>
      <c r="AN914" s="25"/>
      <c r="AO914" s="25"/>
      <c r="AP914" s="25"/>
      <c r="AQ914" s="25"/>
      <c r="AR914" s="25"/>
      <c r="AS914" s="25"/>
      <c r="AT914" s="25"/>
      <c r="AU914" s="25"/>
      <c r="AV914" s="43"/>
      <c r="AW914" s="43"/>
      <c r="AX914" s="114" t="s">
        <v>76</v>
      </c>
      <c r="AY914" s="43"/>
      <c r="AZ914" s="43"/>
      <c r="BA914" s="43"/>
      <c r="BB914" s="43"/>
    </row>
    <row r="915" spans="2:54" ht="12.75" customHeight="1">
      <c r="B915" s="320"/>
      <c r="C915" s="134"/>
      <c r="D915" s="98"/>
      <c r="E915" s="504"/>
      <c r="F915" s="306"/>
      <c r="G915" s="265"/>
      <c r="H915" s="266"/>
      <c r="I915" s="297"/>
      <c r="J915" s="298"/>
      <c r="K915" s="298"/>
      <c r="L915" s="298"/>
      <c r="M915" s="41"/>
      <c r="N915" s="21"/>
      <c r="O915" s="21"/>
      <c r="P915" s="21"/>
      <c r="Q915" s="326"/>
      <c r="R915" s="40"/>
      <c r="S915" s="84"/>
      <c r="T915" s="40"/>
      <c r="U915" s="42"/>
      <c r="V915" s="78"/>
      <c r="Z915" s="181"/>
      <c r="AA915" s="183"/>
      <c r="AC915" s="26"/>
      <c r="AD915" s="279"/>
      <c r="AE915" s="26"/>
      <c r="AF915" s="26"/>
      <c r="AG915" s="278" t="str">
        <f t="shared" si="124"/>
        <v/>
      </c>
      <c r="AH915" s="278" t="str">
        <f t="shared" si="125"/>
        <v/>
      </c>
      <c r="AJ915" s="25"/>
      <c r="AK915" s="25"/>
      <c r="AL915" s="25"/>
      <c r="AM915" s="25"/>
      <c r="AN915" s="25"/>
      <c r="AO915" s="25"/>
      <c r="AP915" s="25"/>
      <c r="AQ915" s="25"/>
      <c r="AR915" s="25"/>
      <c r="AS915" s="25"/>
      <c r="AT915" s="25"/>
      <c r="AU915" s="25"/>
      <c r="AV915" s="43"/>
      <c r="AW915" s="43"/>
      <c r="AX915" s="114" t="s">
        <v>76</v>
      </c>
      <c r="AY915" s="43"/>
      <c r="AZ915" s="43"/>
      <c r="BA915" s="43"/>
      <c r="BB915" s="43"/>
    </row>
    <row r="916" spans="2:54" ht="12.75" customHeight="1">
      <c r="B916" s="320"/>
      <c r="C916" s="134"/>
      <c r="D916" s="98"/>
      <c r="E916" s="504"/>
      <c r="F916" s="306"/>
      <c r="G916" s="265"/>
      <c r="H916" s="266"/>
      <c r="I916" s="297"/>
      <c r="J916" s="298"/>
      <c r="K916" s="298"/>
      <c r="L916" s="298"/>
      <c r="M916" s="41"/>
      <c r="N916" s="21"/>
      <c r="O916" s="21"/>
      <c r="P916" s="21"/>
      <c r="Q916" s="326"/>
      <c r="R916" s="40"/>
      <c r="S916" s="84"/>
      <c r="T916" s="40"/>
      <c r="U916" s="42"/>
      <c r="V916" s="78"/>
      <c r="Z916" s="181"/>
      <c r="AA916" s="183"/>
      <c r="AC916" s="26"/>
      <c r="AD916" s="279"/>
      <c r="AE916" s="26"/>
      <c r="AF916" s="26"/>
      <c r="AG916" s="278" t="str">
        <f t="shared" si="124"/>
        <v/>
      </c>
      <c r="AH916" s="278" t="str">
        <f t="shared" si="125"/>
        <v/>
      </c>
      <c r="AJ916" s="25"/>
      <c r="AK916" s="25"/>
      <c r="AL916" s="25"/>
      <c r="AM916" s="25"/>
      <c r="AN916" s="25"/>
      <c r="AO916" s="25"/>
      <c r="AP916" s="25"/>
      <c r="AQ916" s="25"/>
      <c r="AR916" s="25"/>
      <c r="AS916" s="25"/>
      <c r="AT916" s="25"/>
      <c r="AU916" s="25"/>
      <c r="AV916" s="43"/>
      <c r="AW916" s="43"/>
      <c r="AX916" s="114" t="s">
        <v>76</v>
      </c>
      <c r="AY916" s="43"/>
      <c r="AZ916" s="43"/>
      <c r="BA916" s="43"/>
      <c r="BB916" s="43"/>
    </row>
    <row r="917" spans="2:54" ht="12.75" customHeight="1">
      <c r="B917" s="320"/>
      <c r="C917" s="134"/>
      <c r="D917" s="98"/>
      <c r="E917" s="504"/>
      <c r="F917" s="306"/>
      <c r="G917" s="265"/>
      <c r="H917" s="266"/>
      <c r="I917" s="297"/>
      <c r="J917" s="298"/>
      <c r="K917" s="298"/>
      <c r="L917" s="298"/>
      <c r="M917" s="41"/>
      <c r="N917" s="21"/>
      <c r="O917" s="21"/>
      <c r="P917" s="21"/>
      <c r="Q917" s="326"/>
      <c r="R917" s="40"/>
      <c r="S917" s="84"/>
      <c r="T917" s="40"/>
      <c r="U917" s="42"/>
      <c r="V917" s="78"/>
      <c r="Z917" s="181"/>
      <c r="AA917" s="183"/>
      <c r="AC917" s="26"/>
      <c r="AD917" s="279"/>
      <c r="AE917" s="26"/>
      <c r="AF917" s="26"/>
      <c r="AG917" s="278" t="str">
        <f t="shared" si="124"/>
        <v/>
      </c>
      <c r="AH917" s="278" t="str">
        <f t="shared" si="125"/>
        <v/>
      </c>
      <c r="AJ917" s="25"/>
      <c r="AK917" s="25"/>
      <c r="AL917" s="25"/>
      <c r="AM917" s="25"/>
      <c r="AN917" s="25"/>
      <c r="AO917" s="25"/>
      <c r="AP917" s="25"/>
      <c r="AQ917" s="25"/>
      <c r="AR917" s="25"/>
      <c r="AS917" s="25"/>
      <c r="AT917" s="25"/>
      <c r="AU917" s="25"/>
      <c r="AV917" s="43"/>
      <c r="AW917" s="43"/>
      <c r="AX917" s="114" t="s">
        <v>76</v>
      </c>
      <c r="AY917" s="43"/>
      <c r="AZ917" s="43"/>
      <c r="BA917" s="43"/>
      <c r="BB917" s="43"/>
    </row>
    <row r="918" spans="2:54" ht="12.75" customHeight="1">
      <c r="B918" s="320"/>
      <c r="C918" s="134"/>
      <c r="D918" s="98"/>
      <c r="E918" s="504"/>
      <c r="F918" s="306"/>
      <c r="G918" s="265"/>
      <c r="H918" s="266"/>
      <c r="I918" s="297"/>
      <c r="J918" s="298"/>
      <c r="K918" s="298"/>
      <c r="L918" s="298"/>
      <c r="M918" s="41"/>
      <c r="N918" s="21"/>
      <c r="O918" s="21"/>
      <c r="P918" s="21"/>
      <c r="Q918" s="326"/>
      <c r="R918" s="40"/>
      <c r="S918" s="84"/>
      <c r="T918" s="40"/>
      <c r="U918" s="42"/>
      <c r="V918" s="78"/>
      <c r="Z918" s="181"/>
      <c r="AA918" s="183"/>
      <c r="AC918" s="26"/>
      <c r="AD918" s="279"/>
      <c r="AE918" s="26"/>
      <c r="AF918" s="26"/>
      <c r="AG918" s="278" t="str">
        <f t="shared" si="124"/>
        <v/>
      </c>
      <c r="AH918" s="278" t="str">
        <f t="shared" si="125"/>
        <v/>
      </c>
      <c r="AJ918" s="25"/>
      <c r="AK918" s="25"/>
      <c r="AL918" s="25"/>
      <c r="AM918" s="25"/>
      <c r="AN918" s="25"/>
      <c r="AO918" s="25"/>
      <c r="AP918" s="25"/>
      <c r="AQ918" s="25"/>
      <c r="AR918" s="25"/>
      <c r="AS918" s="25"/>
      <c r="AT918" s="25"/>
      <c r="AU918" s="25"/>
      <c r="AV918" s="43"/>
      <c r="AW918" s="43"/>
      <c r="AX918" s="114" t="s">
        <v>76</v>
      </c>
      <c r="AY918" s="43"/>
      <c r="AZ918" s="43"/>
      <c r="BA918" s="43"/>
      <c r="BB918" s="43"/>
    </row>
    <row r="919" spans="2:54" ht="12.75" customHeight="1">
      <c r="B919" s="320"/>
      <c r="C919" s="134"/>
      <c r="D919" s="98"/>
      <c r="E919" s="504"/>
      <c r="F919" s="306"/>
      <c r="G919" s="265"/>
      <c r="H919" s="266"/>
      <c r="I919" s="297"/>
      <c r="J919" s="298"/>
      <c r="K919" s="298"/>
      <c r="L919" s="298"/>
      <c r="M919" s="41"/>
      <c r="N919" s="21"/>
      <c r="O919" s="21"/>
      <c r="P919" s="21"/>
      <c r="Q919" s="326"/>
      <c r="R919" s="40"/>
      <c r="S919" s="84"/>
      <c r="T919" s="40"/>
      <c r="U919" s="42"/>
      <c r="V919" s="78"/>
      <c r="Z919" s="181"/>
      <c r="AA919" s="183"/>
      <c r="AC919" s="26"/>
      <c r="AD919" s="279"/>
      <c r="AE919" s="26"/>
      <c r="AF919" s="26"/>
      <c r="AG919" s="278" t="str">
        <f t="shared" si="124"/>
        <v/>
      </c>
      <c r="AH919" s="278" t="str">
        <f t="shared" si="125"/>
        <v/>
      </c>
      <c r="AJ919" s="25"/>
      <c r="AK919" s="25"/>
      <c r="AL919" s="25"/>
      <c r="AM919" s="25"/>
      <c r="AN919" s="25"/>
      <c r="AO919" s="25"/>
      <c r="AP919" s="25"/>
      <c r="AQ919" s="25"/>
      <c r="AR919" s="25"/>
      <c r="AS919" s="25"/>
      <c r="AT919" s="25"/>
      <c r="AU919" s="25"/>
      <c r="AV919" s="43"/>
      <c r="AW919" s="43"/>
      <c r="AX919" s="114" t="s">
        <v>76</v>
      </c>
      <c r="AY919" s="43"/>
      <c r="AZ919" s="43"/>
      <c r="BA919" s="43"/>
      <c r="BB919" s="43"/>
    </row>
    <row r="920" spans="2:54" ht="12.75" customHeight="1">
      <c r="B920" s="320"/>
      <c r="C920" s="134"/>
      <c r="D920" s="98"/>
      <c r="E920" s="504"/>
      <c r="F920" s="306"/>
      <c r="G920" s="265"/>
      <c r="H920" s="266"/>
      <c r="I920" s="297"/>
      <c r="J920" s="298"/>
      <c r="K920" s="298"/>
      <c r="L920" s="298"/>
      <c r="M920" s="41"/>
      <c r="N920" s="21"/>
      <c r="O920" s="21"/>
      <c r="P920" s="21"/>
      <c r="Q920" s="326"/>
      <c r="R920" s="40"/>
      <c r="S920" s="84"/>
      <c r="T920" s="40"/>
      <c r="U920" s="42"/>
      <c r="V920" s="78"/>
      <c r="Z920" s="181"/>
      <c r="AA920" s="183"/>
      <c r="AC920" s="26"/>
      <c r="AD920" s="279"/>
      <c r="AE920" s="26"/>
      <c r="AF920" s="26"/>
      <c r="AG920" s="278" t="str">
        <f t="shared" si="124"/>
        <v/>
      </c>
      <c r="AH920" s="278" t="str">
        <f t="shared" si="125"/>
        <v/>
      </c>
      <c r="AJ920" s="25"/>
      <c r="AK920" s="25"/>
      <c r="AL920" s="25"/>
      <c r="AM920" s="25"/>
      <c r="AN920" s="25"/>
      <c r="AO920" s="25"/>
      <c r="AP920" s="25"/>
      <c r="AQ920" s="25"/>
      <c r="AR920" s="25"/>
      <c r="AS920" s="25"/>
      <c r="AT920" s="25"/>
      <c r="AU920" s="25"/>
      <c r="AV920" s="43"/>
      <c r="AW920" s="43"/>
      <c r="AX920" s="114" t="s">
        <v>76</v>
      </c>
      <c r="AY920" s="43"/>
      <c r="AZ920" s="43"/>
      <c r="BA920" s="43"/>
      <c r="BB920" s="43"/>
    </row>
    <row r="921" spans="2:54" ht="12.75" customHeight="1">
      <c r="B921" s="320"/>
      <c r="C921" s="134"/>
      <c r="D921" s="98"/>
      <c r="E921" s="504"/>
      <c r="F921" s="306"/>
      <c r="G921" s="265"/>
      <c r="H921" s="266"/>
      <c r="I921" s="297"/>
      <c r="J921" s="298"/>
      <c r="K921" s="298"/>
      <c r="L921" s="298"/>
      <c r="M921" s="41"/>
      <c r="N921" s="21"/>
      <c r="O921" s="21"/>
      <c r="P921" s="21"/>
      <c r="Q921" s="326"/>
      <c r="R921" s="40"/>
      <c r="S921" s="84"/>
      <c r="T921" s="40"/>
      <c r="U921" s="42"/>
      <c r="V921" s="78"/>
      <c r="Z921" s="181"/>
      <c r="AA921" s="183"/>
      <c r="AC921" s="26"/>
      <c r="AD921" s="279"/>
      <c r="AE921" s="26"/>
      <c r="AF921" s="26"/>
      <c r="AG921" s="278" t="str">
        <f t="shared" si="124"/>
        <v/>
      </c>
      <c r="AH921" s="278" t="str">
        <f t="shared" si="125"/>
        <v/>
      </c>
      <c r="AJ921" s="25"/>
      <c r="AK921" s="25"/>
      <c r="AL921" s="25"/>
      <c r="AM921" s="25"/>
      <c r="AN921" s="25"/>
      <c r="AO921" s="25"/>
      <c r="AP921" s="25"/>
      <c r="AQ921" s="25"/>
      <c r="AR921" s="25"/>
      <c r="AS921" s="25"/>
      <c r="AT921" s="25"/>
      <c r="AU921" s="25"/>
      <c r="AV921" s="43"/>
      <c r="AW921" s="43"/>
      <c r="AX921" s="114" t="s">
        <v>76</v>
      </c>
      <c r="AY921" s="43"/>
      <c r="AZ921" s="43"/>
      <c r="BA921" s="43"/>
      <c r="BB921" s="43"/>
    </row>
    <row r="922" spans="2:54" ht="12.75" customHeight="1">
      <c r="B922" s="320"/>
      <c r="C922" s="134"/>
      <c r="D922" s="98"/>
      <c r="E922" s="504"/>
      <c r="F922" s="306"/>
      <c r="G922" s="265"/>
      <c r="H922" s="266"/>
      <c r="I922" s="297"/>
      <c r="J922" s="298"/>
      <c r="K922" s="298"/>
      <c r="L922" s="298"/>
      <c r="M922" s="41"/>
      <c r="N922" s="21"/>
      <c r="O922" s="21"/>
      <c r="P922" s="21"/>
      <c r="Q922" s="326"/>
      <c r="R922" s="40"/>
      <c r="S922" s="84"/>
      <c r="T922" s="40"/>
      <c r="U922" s="42"/>
      <c r="V922" s="78"/>
      <c r="Z922" s="181"/>
      <c r="AA922" s="183"/>
      <c r="AC922" s="26"/>
      <c r="AD922" s="279"/>
      <c r="AE922" s="26"/>
      <c r="AF922" s="26"/>
      <c r="AG922" s="278" t="str">
        <f t="shared" si="124"/>
        <v/>
      </c>
      <c r="AH922" s="278" t="str">
        <f t="shared" si="125"/>
        <v/>
      </c>
      <c r="AJ922" s="25"/>
      <c r="AK922" s="25"/>
      <c r="AL922" s="25"/>
      <c r="AM922" s="25"/>
      <c r="AN922" s="25"/>
      <c r="AO922" s="25"/>
      <c r="AP922" s="25"/>
      <c r="AQ922" s="25"/>
      <c r="AR922" s="25"/>
      <c r="AS922" s="25"/>
      <c r="AT922" s="25"/>
      <c r="AU922" s="25"/>
      <c r="AV922" s="43"/>
      <c r="AW922" s="43"/>
      <c r="AX922" s="114" t="s">
        <v>76</v>
      </c>
      <c r="AY922" s="43"/>
      <c r="AZ922" s="43"/>
      <c r="BA922" s="43"/>
      <c r="BB922" s="43"/>
    </row>
    <row r="923" spans="2:54" ht="12.75" customHeight="1">
      <c r="B923" s="320"/>
      <c r="C923" s="134"/>
      <c r="D923" s="98"/>
      <c r="E923" s="504"/>
      <c r="F923" s="306"/>
      <c r="G923" s="265"/>
      <c r="H923" s="266"/>
      <c r="I923" s="297"/>
      <c r="J923" s="298"/>
      <c r="K923" s="298"/>
      <c r="L923" s="298"/>
      <c r="M923" s="41"/>
      <c r="N923" s="21"/>
      <c r="O923" s="21"/>
      <c r="P923" s="21"/>
      <c r="Q923" s="326"/>
      <c r="R923" s="40"/>
      <c r="S923" s="84"/>
      <c r="T923" s="40"/>
      <c r="U923" s="42"/>
      <c r="V923" s="78"/>
      <c r="Z923" s="181"/>
      <c r="AA923" s="183"/>
      <c r="AC923" s="26"/>
      <c r="AD923" s="279"/>
      <c r="AE923" s="26"/>
      <c r="AF923" s="26"/>
      <c r="AG923" s="278" t="str">
        <f t="shared" si="124"/>
        <v/>
      </c>
      <c r="AH923" s="278" t="str">
        <f t="shared" si="125"/>
        <v/>
      </c>
      <c r="AJ923" s="25"/>
      <c r="AK923" s="25"/>
      <c r="AL923" s="25"/>
      <c r="AM923" s="25"/>
      <c r="AN923" s="25"/>
      <c r="AO923" s="25"/>
      <c r="AP923" s="25"/>
      <c r="AQ923" s="25"/>
      <c r="AR923" s="25"/>
      <c r="AS923" s="25"/>
      <c r="AT923" s="25"/>
      <c r="AU923" s="25"/>
      <c r="AV923" s="43"/>
      <c r="AW923" s="43"/>
      <c r="AX923" s="114" t="s">
        <v>76</v>
      </c>
      <c r="AY923" s="43"/>
      <c r="AZ923" s="43"/>
      <c r="BA923" s="43"/>
      <c r="BB923" s="43"/>
    </row>
    <row r="924" spans="2:54" ht="12.75" customHeight="1">
      <c r="B924" s="320"/>
      <c r="C924" s="134"/>
      <c r="D924" s="98"/>
      <c r="E924" s="504"/>
      <c r="F924" s="306"/>
      <c r="G924" s="265"/>
      <c r="H924" s="266"/>
      <c r="I924" s="297"/>
      <c r="J924" s="298"/>
      <c r="K924" s="298"/>
      <c r="L924" s="298"/>
      <c r="M924" s="41"/>
      <c r="N924" s="21"/>
      <c r="O924" s="21"/>
      <c r="P924" s="21"/>
      <c r="Q924" s="326"/>
      <c r="R924" s="40"/>
      <c r="S924" s="84"/>
      <c r="T924" s="40"/>
      <c r="U924" s="42"/>
      <c r="V924" s="78"/>
      <c r="Z924" s="181"/>
      <c r="AA924" s="183"/>
      <c r="AC924" s="26"/>
      <c r="AD924" s="279"/>
      <c r="AE924" s="26"/>
      <c r="AF924" s="26"/>
      <c r="AG924" s="278" t="str">
        <f t="shared" si="124"/>
        <v/>
      </c>
      <c r="AH924" s="278" t="str">
        <f t="shared" si="125"/>
        <v/>
      </c>
      <c r="AJ924" s="25"/>
      <c r="AK924" s="25"/>
      <c r="AL924" s="25"/>
      <c r="AM924" s="25"/>
      <c r="AN924" s="25"/>
      <c r="AO924" s="25"/>
      <c r="AP924" s="25"/>
      <c r="AQ924" s="25"/>
      <c r="AR924" s="25"/>
      <c r="AS924" s="25"/>
      <c r="AT924" s="25"/>
      <c r="AU924" s="25"/>
      <c r="AV924" s="43"/>
      <c r="AW924" s="43"/>
      <c r="AX924" s="114" t="s">
        <v>76</v>
      </c>
      <c r="AY924" s="43"/>
      <c r="AZ924" s="43"/>
      <c r="BA924" s="43"/>
      <c r="BB924" s="43"/>
    </row>
    <row r="925" spans="2:54" ht="12.75" customHeight="1">
      <c r="B925" s="320"/>
      <c r="C925" s="134"/>
      <c r="D925" s="98"/>
      <c r="E925" s="504"/>
      <c r="F925" s="306"/>
      <c r="G925" s="265"/>
      <c r="H925" s="266"/>
      <c r="I925" s="297"/>
      <c r="J925" s="298"/>
      <c r="K925" s="298"/>
      <c r="L925" s="298"/>
      <c r="M925" s="41"/>
      <c r="N925" s="21"/>
      <c r="O925" s="21"/>
      <c r="P925" s="21"/>
      <c r="Q925" s="326"/>
      <c r="R925" s="40"/>
      <c r="S925" s="84"/>
      <c r="T925" s="40"/>
      <c r="U925" s="42"/>
      <c r="V925" s="78"/>
      <c r="Z925" s="181"/>
      <c r="AA925" s="183"/>
      <c r="AC925" s="26"/>
      <c r="AD925" s="279"/>
      <c r="AE925" s="26"/>
      <c r="AF925" s="26"/>
      <c r="AG925" s="278" t="str">
        <f t="shared" si="124"/>
        <v/>
      </c>
      <c r="AH925" s="278" t="str">
        <f t="shared" si="125"/>
        <v/>
      </c>
      <c r="AJ925" s="25"/>
      <c r="AK925" s="25"/>
      <c r="AL925" s="25"/>
      <c r="AM925" s="25"/>
      <c r="AN925" s="25"/>
      <c r="AO925" s="25"/>
      <c r="AP925" s="25"/>
      <c r="AQ925" s="25"/>
      <c r="AR925" s="25"/>
      <c r="AS925" s="25"/>
      <c r="AT925" s="25"/>
      <c r="AU925" s="25"/>
      <c r="AV925" s="43"/>
      <c r="AW925" s="43"/>
      <c r="AX925" s="114" t="s">
        <v>76</v>
      </c>
      <c r="AY925" s="43"/>
      <c r="AZ925" s="43"/>
      <c r="BA925" s="43"/>
      <c r="BB925" s="43"/>
    </row>
    <row r="926" spans="2:54" ht="12.75" customHeight="1">
      <c r="B926" s="320"/>
      <c r="C926" s="134"/>
      <c r="D926" s="98"/>
      <c r="E926" s="504"/>
      <c r="F926" s="306"/>
      <c r="G926" s="265"/>
      <c r="H926" s="266"/>
      <c r="I926" s="297"/>
      <c r="J926" s="298"/>
      <c r="K926" s="298"/>
      <c r="L926" s="298"/>
      <c r="M926" s="41"/>
      <c r="N926" s="21"/>
      <c r="O926" s="21"/>
      <c r="P926" s="21"/>
      <c r="Q926" s="326"/>
      <c r="R926" s="40"/>
      <c r="S926" s="84"/>
      <c r="T926" s="40"/>
      <c r="U926" s="42"/>
      <c r="V926" s="78"/>
      <c r="Z926" s="181"/>
      <c r="AA926" s="183"/>
      <c r="AC926" s="26"/>
      <c r="AD926" s="279"/>
      <c r="AE926" s="26"/>
      <c r="AF926" s="26"/>
      <c r="AG926" s="278" t="str">
        <f t="shared" si="124"/>
        <v/>
      </c>
      <c r="AH926" s="278" t="str">
        <f t="shared" si="125"/>
        <v/>
      </c>
      <c r="AJ926" s="25"/>
      <c r="AK926" s="25"/>
      <c r="AL926" s="25"/>
      <c r="AM926" s="25"/>
      <c r="AN926" s="25"/>
      <c r="AO926" s="25"/>
      <c r="AP926" s="25"/>
      <c r="AQ926" s="25"/>
      <c r="AR926" s="25"/>
      <c r="AS926" s="25"/>
      <c r="AT926" s="25"/>
      <c r="AU926" s="25"/>
      <c r="AV926" s="43"/>
      <c r="AW926" s="43"/>
      <c r="AX926" s="114" t="s">
        <v>76</v>
      </c>
      <c r="AY926" s="43"/>
      <c r="AZ926" s="43"/>
      <c r="BA926" s="43"/>
      <c r="BB926" s="43"/>
    </row>
    <row r="927" spans="2:54" ht="12.75" customHeight="1">
      <c r="B927" s="320"/>
      <c r="C927" s="134"/>
      <c r="D927" s="98"/>
      <c r="E927" s="504"/>
      <c r="F927" s="306"/>
      <c r="G927" s="265"/>
      <c r="H927" s="266"/>
      <c r="I927" s="297"/>
      <c r="J927" s="298"/>
      <c r="K927" s="298"/>
      <c r="L927" s="298"/>
      <c r="M927" s="41"/>
      <c r="N927" s="21"/>
      <c r="O927" s="21"/>
      <c r="P927" s="21"/>
      <c r="Q927" s="326"/>
      <c r="R927" s="40"/>
      <c r="S927" s="84"/>
      <c r="T927" s="40"/>
      <c r="U927" s="42"/>
      <c r="V927" s="78"/>
      <c r="Z927" s="181"/>
      <c r="AA927" s="183"/>
      <c r="AC927" s="26"/>
      <c r="AD927" s="279"/>
      <c r="AE927" s="26"/>
      <c r="AF927" s="26"/>
      <c r="AG927" s="278" t="str">
        <f t="shared" si="124"/>
        <v/>
      </c>
      <c r="AH927" s="278" t="str">
        <f t="shared" si="125"/>
        <v/>
      </c>
      <c r="AJ927" s="25"/>
      <c r="AK927" s="25"/>
      <c r="AL927" s="25"/>
      <c r="AM927" s="25"/>
      <c r="AN927" s="25"/>
      <c r="AO927" s="25"/>
      <c r="AP927" s="25"/>
      <c r="AQ927" s="25"/>
      <c r="AR927" s="25"/>
      <c r="AS927" s="25"/>
      <c r="AT927" s="25"/>
      <c r="AU927" s="25"/>
      <c r="AV927" s="43"/>
      <c r="AW927" s="43"/>
      <c r="AX927" s="114" t="s">
        <v>76</v>
      </c>
      <c r="AY927" s="43"/>
      <c r="AZ927" s="43"/>
      <c r="BA927" s="43"/>
      <c r="BB927" s="43"/>
    </row>
    <row r="928" spans="2:54" ht="12.75" customHeight="1">
      <c r="B928" s="320"/>
      <c r="C928" s="134"/>
      <c r="D928" s="98"/>
      <c r="E928" s="504"/>
      <c r="F928" s="306"/>
      <c r="G928" s="265"/>
      <c r="H928" s="266"/>
      <c r="I928" s="297"/>
      <c r="J928" s="298"/>
      <c r="K928" s="298"/>
      <c r="L928" s="298"/>
      <c r="M928" s="41"/>
      <c r="N928" s="21"/>
      <c r="O928" s="21"/>
      <c r="P928" s="21"/>
      <c r="Q928" s="326"/>
      <c r="R928" s="40"/>
      <c r="S928" s="84"/>
      <c r="T928" s="40"/>
      <c r="U928" s="42"/>
      <c r="V928" s="78"/>
      <c r="Z928" s="181"/>
      <c r="AA928" s="183"/>
      <c r="AC928" s="26"/>
      <c r="AD928" s="279"/>
      <c r="AE928" s="26"/>
      <c r="AF928" s="26"/>
      <c r="AG928" s="278" t="str">
        <f t="shared" si="124"/>
        <v/>
      </c>
      <c r="AH928" s="278" t="str">
        <f t="shared" si="125"/>
        <v/>
      </c>
      <c r="AJ928" s="25"/>
      <c r="AK928" s="25"/>
      <c r="AL928" s="25"/>
      <c r="AM928" s="25"/>
      <c r="AN928" s="25"/>
      <c r="AO928" s="25"/>
      <c r="AP928" s="25"/>
      <c r="AQ928" s="25"/>
      <c r="AR928" s="25"/>
      <c r="AS928" s="25"/>
      <c r="AT928" s="25"/>
      <c r="AU928" s="25"/>
      <c r="AV928" s="43"/>
      <c r="AW928" s="43"/>
      <c r="AX928" s="114" t="s">
        <v>76</v>
      </c>
      <c r="AY928" s="43"/>
      <c r="AZ928" s="43"/>
      <c r="BA928" s="43"/>
      <c r="BB928" s="43"/>
    </row>
    <row r="929" spans="2:54" ht="12.75" customHeight="1">
      <c r="B929" s="320"/>
      <c r="C929" s="134"/>
      <c r="D929" s="98"/>
      <c r="E929" s="504"/>
      <c r="F929" s="306"/>
      <c r="G929" s="265"/>
      <c r="H929" s="266"/>
      <c r="I929" s="297"/>
      <c r="J929" s="298"/>
      <c r="K929" s="298"/>
      <c r="L929" s="298"/>
      <c r="M929" s="41"/>
      <c r="N929" s="21"/>
      <c r="O929" s="21"/>
      <c r="P929" s="21"/>
      <c r="Q929" s="326"/>
      <c r="R929" s="40"/>
      <c r="S929" s="84"/>
      <c r="T929" s="40"/>
      <c r="U929" s="42"/>
      <c r="V929" s="78"/>
      <c r="Z929" s="181"/>
      <c r="AA929" s="183"/>
      <c r="AC929" s="26"/>
      <c r="AD929" s="279"/>
      <c r="AE929" s="26"/>
      <c r="AF929" s="26"/>
      <c r="AG929" s="278" t="str">
        <f t="shared" si="124"/>
        <v/>
      </c>
      <c r="AH929" s="278" t="str">
        <f t="shared" si="125"/>
        <v/>
      </c>
      <c r="AJ929" s="25"/>
      <c r="AK929" s="25"/>
      <c r="AL929" s="25"/>
      <c r="AM929" s="25"/>
      <c r="AN929" s="25"/>
      <c r="AO929" s="25"/>
      <c r="AP929" s="25"/>
      <c r="AQ929" s="25"/>
      <c r="AR929" s="25"/>
      <c r="AS929" s="25"/>
      <c r="AT929" s="25"/>
      <c r="AU929" s="25"/>
      <c r="AV929" s="43"/>
      <c r="AW929" s="43"/>
      <c r="AX929" s="114" t="s">
        <v>76</v>
      </c>
      <c r="AY929" s="43"/>
      <c r="AZ929" s="43"/>
      <c r="BA929" s="43"/>
      <c r="BB929" s="43"/>
    </row>
    <row r="930" spans="2:54" ht="12.75" customHeight="1">
      <c r="B930" s="320"/>
      <c r="C930" s="134"/>
      <c r="D930" s="98"/>
      <c r="E930" s="504"/>
      <c r="F930" s="306"/>
      <c r="G930" s="265"/>
      <c r="H930" s="266"/>
      <c r="I930" s="297"/>
      <c r="J930" s="298"/>
      <c r="K930" s="298"/>
      <c r="L930" s="298"/>
      <c r="M930" s="41"/>
      <c r="N930" s="21"/>
      <c r="O930" s="21"/>
      <c r="P930" s="21"/>
      <c r="Q930" s="326"/>
      <c r="R930" s="40"/>
      <c r="S930" s="84"/>
      <c r="T930" s="40"/>
      <c r="U930" s="42"/>
      <c r="V930" s="78"/>
      <c r="Z930" s="181"/>
      <c r="AA930" s="183"/>
      <c r="AC930" s="26"/>
      <c r="AD930" s="279"/>
      <c r="AE930" s="26"/>
      <c r="AF930" s="26"/>
      <c r="AG930" s="278" t="str">
        <f t="shared" si="124"/>
        <v/>
      </c>
      <c r="AH930" s="278" t="str">
        <f t="shared" si="125"/>
        <v/>
      </c>
      <c r="AJ930" s="25"/>
      <c r="AK930" s="25"/>
      <c r="AL930" s="25"/>
      <c r="AM930" s="25"/>
      <c r="AN930" s="25"/>
      <c r="AO930" s="25"/>
      <c r="AP930" s="25"/>
      <c r="AQ930" s="25"/>
      <c r="AR930" s="25"/>
      <c r="AS930" s="25"/>
      <c r="AT930" s="25"/>
      <c r="AU930" s="25"/>
      <c r="AV930" s="43"/>
      <c r="AW930" s="43"/>
      <c r="AX930" s="114" t="s">
        <v>76</v>
      </c>
      <c r="AY930" s="43"/>
      <c r="AZ930" s="43"/>
      <c r="BA930" s="43"/>
      <c r="BB930" s="43"/>
    </row>
    <row r="931" spans="2:54" ht="12.75" customHeight="1">
      <c r="B931" s="320"/>
      <c r="C931" s="134"/>
      <c r="D931" s="98"/>
      <c r="E931" s="504"/>
      <c r="F931" s="306"/>
      <c r="G931" s="265"/>
      <c r="H931" s="266"/>
      <c r="I931" s="297"/>
      <c r="J931" s="298"/>
      <c r="K931" s="298"/>
      <c r="L931" s="298"/>
      <c r="M931" s="41"/>
      <c r="N931" s="21"/>
      <c r="O931" s="21"/>
      <c r="P931" s="21"/>
      <c r="Q931" s="326"/>
      <c r="R931" s="40"/>
      <c r="S931" s="84"/>
      <c r="T931" s="40"/>
      <c r="U931" s="42"/>
      <c r="V931" s="78"/>
      <c r="Z931" s="181"/>
      <c r="AA931" s="183"/>
      <c r="AC931" s="26"/>
      <c r="AD931" s="279"/>
      <c r="AE931" s="26"/>
      <c r="AF931" s="26"/>
      <c r="AG931" s="278" t="str">
        <f t="shared" si="124"/>
        <v/>
      </c>
      <c r="AH931" s="278" t="str">
        <f t="shared" si="125"/>
        <v/>
      </c>
      <c r="AJ931" s="25"/>
      <c r="AK931" s="25"/>
      <c r="AL931" s="25"/>
      <c r="AM931" s="25"/>
      <c r="AN931" s="25"/>
      <c r="AO931" s="25"/>
      <c r="AP931" s="25"/>
      <c r="AQ931" s="25"/>
      <c r="AR931" s="25"/>
      <c r="AS931" s="25"/>
      <c r="AT931" s="25"/>
      <c r="AU931" s="25"/>
      <c r="AV931" s="43"/>
      <c r="AW931" s="43"/>
      <c r="AX931" s="114" t="s">
        <v>76</v>
      </c>
      <c r="AY931" s="43"/>
      <c r="AZ931" s="43"/>
      <c r="BA931" s="43"/>
      <c r="BB931" s="43"/>
    </row>
    <row r="932" spans="2:54" ht="12.75" customHeight="1">
      <c r="B932" s="320"/>
      <c r="C932" s="134"/>
      <c r="D932" s="98"/>
      <c r="E932" s="504"/>
      <c r="F932" s="306"/>
      <c r="G932" s="265"/>
      <c r="H932" s="266"/>
      <c r="I932" s="297"/>
      <c r="J932" s="298"/>
      <c r="K932" s="298"/>
      <c r="L932" s="298"/>
      <c r="M932" s="41"/>
      <c r="N932" s="21"/>
      <c r="O932" s="21"/>
      <c r="P932" s="21"/>
      <c r="Q932" s="326"/>
      <c r="R932" s="40"/>
      <c r="S932" s="84"/>
      <c r="T932" s="40"/>
      <c r="U932" s="42"/>
      <c r="V932" s="78"/>
      <c r="Z932" s="181"/>
      <c r="AA932" s="183"/>
      <c r="AC932" s="26"/>
      <c r="AD932" s="279"/>
      <c r="AE932" s="26"/>
      <c r="AF932" s="26"/>
      <c r="AG932" s="278" t="str">
        <f t="shared" si="124"/>
        <v/>
      </c>
      <c r="AH932" s="278" t="str">
        <f t="shared" si="125"/>
        <v/>
      </c>
      <c r="AJ932" s="25"/>
      <c r="AK932" s="25"/>
      <c r="AL932" s="25"/>
      <c r="AM932" s="25"/>
      <c r="AN932" s="25"/>
      <c r="AO932" s="25"/>
      <c r="AP932" s="25"/>
      <c r="AQ932" s="25"/>
      <c r="AR932" s="25"/>
      <c r="AS932" s="25"/>
      <c r="AT932" s="25"/>
      <c r="AU932" s="25"/>
      <c r="AV932" s="43"/>
      <c r="AW932" s="43"/>
      <c r="AX932" s="114" t="s">
        <v>76</v>
      </c>
      <c r="AY932" s="43"/>
      <c r="AZ932" s="43"/>
      <c r="BA932" s="43"/>
      <c r="BB932" s="43"/>
    </row>
    <row r="933" spans="2:54" ht="12.75" customHeight="1">
      <c r="B933" s="320"/>
      <c r="C933" s="134"/>
      <c r="D933" s="98"/>
      <c r="E933" s="504"/>
      <c r="F933" s="306"/>
      <c r="G933" s="265"/>
      <c r="H933" s="266"/>
      <c r="I933" s="297"/>
      <c r="J933" s="298"/>
      <c r="K933" s="298"/>
      <c r="L933" s="298"/>
      <c r="M933" s="41"/>
      <c r="N933" s="21"/>
      <c r="O933" s="21"/>
      <c r="P933" s="21"/>
      <c r="Q933" s="326"/>
      <c r="R933" s="40"/>
      <c r="S933" s="84"/>
      <c r="T933" s="40"/>
      <c r="U933" s="42"/>
      <c r="V933" s="78"/>
      <c r="Z933" s="181"/>
      <c r="AA933" s="183"/>
      <c r="AC933" s="26"/>
      <c r="AD933" s="279"/>
      <c r="AE933" s="26"/>
      <c r="AF933" s="26"/>
      <c r="AG933" s="278" t="str">
        <f t="shared" si="124"/>
        <v/>
      </c>
      <c r="AH933" s="278" t="str">
        <f t="shared" si="125"/>
        <v/>
      </c>
      <c r="AJ933" s="25"/>
      <c r="AK933" s="25"/>
      <c r="AL933" s="25"/>
      <c r="AM933" s="25"/>
      <c r="AN933" s="25"/>
      <c r="AO933" s="25"/>
      <c r="AP933" s="25"/>
      <c r="AQ933" s="25"/>
      <c r="AR933" s="25"/>
      <c r="AS933" s="25"/>
      <c r="AT933" s="25"/>
      <c r="AU933" s="25"/>
      <c r="AV933" s="43"/>
      <c r="AW933" s="43"/>
      <c r="AX933" s="114" t="s">
        <v>76</v>
      </c>
      <c r="AY933" s="43"/>
      <c r="AZ933" s="43"/>
      <c r="BA933" s="43"/>
      <c r="BB933" s="43"/>
    </row>
    <row r="934" spans="2:54" ht="12.75" customHeight="1">
      <c r="B934" s="320"/>
      <c r="C934" s="134"/>
      <c r="D934" s="98"/>
      <c r="E934" s="504"/>
      <c r="F934" s="306"/>
      <c r="G934" s="265"/>
      <c r="H934" s="266"/>
      <c r="I934" s="297"/>
      <c r="J934" s="298"/>
      <c r="K934" s="298"/>
      <c r="L934" s="298"/>
      <c r="M934" s="41"/>
      <c r="N934" s="21"/>
      <c r="O934" s="21"/>
      <c r="P934" s="21"/>
      <c r="Q934" s="326"/>
      <c r="R934" s="40"/>
      <c r="S934" s="84"/>
      <c r="T934" s="40"/>
      <c r="U934" s="42"/>
      <c r="V934" s="78"/>
      <c r="Z934" s="181"/>
      <c r="AA934" s="183"/>
      <c r="AC934" s="26"/>
      <c r="AD934" s="279"/>
      <c r="AE934" s="26"/>
      <c r="AF934" s="26"/>
      <c r="AG934" s="278" t="str">
        <f t="shared" si="124"/>
        <v/>
      </c>
      <c r="AH934" s="278" t="str">
        <f t="shared" si="125"/>
        <v/>
      </c>
      <c r="AJ934" s="25"/>
      <c r="AK934" s="25"/>
      <c r="AL934" s="25"/>
      <c r="AM934" s="25"/>
      <c r="AN934" s="25"/>
      <c r="AO934" s="25"/>
      <c r="AP934" s="25"/>
      <c r="AQ934" s="25"/>
      <c r="AR934" s="25"/>
      <c r="AS934" s="25"/>
      <c r="AT934" s="25"/>
      <c r="AU934" s="25"/>
      <c r="AV934" s="43"/>
      <c r="AW934" s="43"/>
      <c r="AX934" s="114" t="s">
        <v>76</v>
      </c>
      <c r="AY934" s="43"/>
      <c r="AZ934" s="43"/>
      <c r="BA934" s="43"/>
      <c r="BB934" s="43"/>
    </row>
    <row r="935" spans="2:54" ht="12.75" customHeight="1">
      <c r="B935" s="320"/>
      <c r="C935" s="134"/>
      <c r="D935" s="98"/>
      <c r="E935" s="504"/>
      <c r="F935" s="306"/>
      <c r="G935" s="265"/>
      <c r="H935" s="266"/>
      <c r="I935" s="297"/>
      <c r="J935" s="298"/>
      <c r="K935" s="298"/>
      <c r="L935" s="298"/>
      <c r="M935" s="41"/>
      <c r="N935" s="21"/>
      <c r="O935" s="21"/>
      <c r="P935" s="21"/>
      <c r="Q935" s="326"/>
      <c r="R935" s="40"/>
      <c r="S935" s="84"/>
      <c r="T935" s="40"/>
      <c r="U935" s="42"/>
      <c r="V935" s="78"/>
      <c r="Z935" s="181"/>
      <c r="AA935" s="183"/>
      <c r="AC935" s="26"/>
      <c r="AD935" s="279"/>
      <c r="AE935" s="26"/>
      <c r="AF935" s="26"/>
      <c r="AG935" s="278" t="str">
        <f t="shared" si="124"/>
        <v/>
      </c>
      <c r="AH935" s="278" t="str">
        <f t="shared" si="125"/>
        <v/>
      </c>
      <c r="AJ935" s="25"/>
      <c r="AK935" s="25"/>
      <c r="AL935" s="25"/>
      <c r="AM935" s="25"/>
      <c r="AN935" s="25"/>
      <c r="AO935" s="25"/>
      <c r="AP935" s="25"/>
      <c r="AQ935" s="25"/>
      <c r="AR935" s="25"/>
      <c r="AS935" s="25"/>
      <c r="AT935" s="25"/>
      <c r="AU935" s="25"/>
      <c r="AV935" s="43"/>
      <c r="AW935" s="43"/>
      <c r="AX935" s="114" t="s">
        <v>76</v>
      </c>
      <c r="AY935" s="43"/>
      <c r="AZ935" s="43"/>
      <c r="BA935" s="43"/>
      <c r="BB935" s="43"/>
    </row>
    <row r="936" spans="2:54" ht="12.75" customHeight="1">
      <c r="B936" s="320"/>
      <c r="C936" s="134"/>
      <c r="D936" s="98"/>
      <c r="E936" s="504"/>
      <c r="F936" s="306"/>
      <c r="G936" s="265"/>
      <c r="H936" s="266"/>
      <c r="I936" s="297"/>
      <c r="J936" s="298"/>
      <c r="K936" s="298"/>
      <c r="L936" s="298"/>
      <c r="M936" s="41"/>
      <c r="N936" s="21"/>
      <c r="O936" s="21"/>
      <c r="P936" s="21"/>
      <c r="Q936" s="326"/>
      <c r="R936" s="40"/>
      <c r="S936" s="84"/>
      <c r="T936" s="40"/>
      <c r="U936" s="42"/>
      <c r="V936" s="78"/>
      <c r="Z936" s="181"/>
      <c r="AA936" s="183"/>
      <c r="AC936" s="26"/>
      <c r="AD936" s="279"/>
      <c r="AE936" s="26"/>
      <c r="AF936" s="26"/>
      <c r="AG936" s="278" t="str">
        <f t="shared" si="124"/>
        <v/>
      </c>
      <c r="AH936" s="278" t="str">
        <f t="shared" si="125"/>
        <v/>
      </c>
      <c r="AJ936" s="25"/>
      <c r="AK936" s="25"/>
      <c r="AL936" s="25"/>
      <c r="AM936" s="25"/>
      <c r="AN936" s="25"/>
      <c r="AO936" s="25"/>
      <c r="AP936" s="25"/>
      <c r="AQ936" s="25"/>
      <c r="AR936" s="25"/>
      <c r="AS936" s="25"/>
      <c r="AT936" s="25"/>
      <c r="AU936" s="25"/>
      <c r="AV936" s="43"/>
      <c r="AW936" s="43"/>
      <c r="AX936" s="114" t="s">
        <v>76</v>
      </c>
      <c r="AY936" s="43"/>
      <c r="AZ936" s="43"/>
      <c r="BA936" s="43"/>
      <c r="BB936" s="43"/>
    </row>
    <row r="937" spans="2:54" ht="12.75" customHeight="1">
      <c r="B937" s="320"/>
      <c r="C937" s="134"/>
      <c r="D937" s="98"/>
      <c r="E937" s="504"/>
      <c r="F937" s="306"/>
      <c r="G937" s="265"/>
      <c r="H937" s="266"/>
      <c r="I937" s="297"/>
      <c r="J937" s="298"/>
      <c r="K937" s="298"/>
      <c r="L937" s="298"/>
      <c r="M937" s="41"/>
      <c r="N937" s="21"/>
      <c r="O937" s="21"/>
      <c r="P937" s="21"/>
      <c r="Q937" s="326"/>
      <c r="R937" s="40"/>
      <c r="S937" s="84"/>
      <c r="T937" s="40"/>
      <c r="U937" s="42"/>
      <c r="V937" s="78"/>
      <c r="Z937" s="181"/>
      <c r="AA937" s="183"/>
      <c r="AC937" s="26"/>
      <c r="AD937" s="279"/>
      <c r="AE937" s="26"/>
      <c r="AF937" s="26"/>
      <c r="AG937" s="278" t="str">
        <f t="shared" si="124"/>
        <v/>
      </c>
      <c r="AH937" s="278" t="str">
        <f t="shared" si="125"/>
        <v/>
      </c>
      <c r="AJ937" s="25"/>
      <c r="AK937" s="25"/>
      <c r="AL937" s="25"/>
      <c r="AM937" s="25"/>
      <c r="AN937" s="25"/>
      <c r="AO937" s="25"/>
      <c r="AP937" s="25"/>
      <c r="AQ937" s="25"/>
      <c r="AR937" s="25"/>
      <c r="AS937" s="25"/>
      <c r="AT937" s="25"/>
      <c r="AU937" s="25"/>
      <c r="AV937" s="43"/>
      <c r="AW937" s="43"/>
      <c r="AX937" s="114" t="s">
        <v>76</v>
      </c>
      <c r="AY937" s="43"/>
      <c r="AZ937" s="43"/>
      <c r="BA937" s="43"/>
      <c r="BB937" s="43"/>
    </row>
    <row r="938" spans="2:54" ht="12.75" customHeight="1">
      <c r="B938" s="320"/>
      <c r="C938" s="134"/>
      <c r="D938" s="98"/>
      <c r="E938" s="504"/>
      <c r="F938" s="306"/>
      <c r="G938" s="265"/>
      <c r="H938" s="266"/>
      <c r="I938" s="297"/>
      <c r="J938" s="298"/>
      <c r="K938" s="298"/>
      <c r="L938" s="298"/>
      <c r="M938" s="41"/>
      <c r="N938" s="21"/>
      <c r="O938" s="21"/>
      <c r="P938" s="21"/>
      <c r="Q938" s="326"/>
      <c r="R938" s="40"/>
      <c r="S938" s="84"/>
      <c r="T938" s="40"/>
      <c r="U938" s="42"/>
      <c r="V938" s="78"/>
      <c r="Z938" s="181"/>
      <c r="AA938" s="183"/>
      <c r="AC938" s="26"/>
      <c r="AD938" s="279"/>
      <c r="AE938" s="26"/>
      <c r="AF938" s="26"/>
      <c r="AG938" s="278" t="str">
        <f t="shared" si="124"/>
        <v/>
      </c>
      <c r="AH938" s="278" t="str">
        <f t="shared" si="125"/>
        <v/>
      </c>
      <c r="AJ938" s="25"/>
      <c r="AK938" s="25"/>
      <c r="AL938" s="25"/>
      <c r="AM938" s="25"/>
      <c r="AN938" s="25"/>
      <c r="AO938" s="25"/>
      <c r="AP938" s="25"/>
      <c r="AQ938" s="25"/>
      <c r="AR938" s="25"/>
      <c r="AS938" s="25"/>
      <c r="AT938" s="25"/>
      <c r="AU938" s="25"/>
      <c r="AV938" s="43"/>
      <c r="AW938" s="43"/>
      <c r="AX938" s="114" t="s">
        <v>76</v>
      </c>
      <c r="AY938" s="43"/>
      <c r="AZ938" s="43"/>
      <c r="BA938" s="43"/>
      <c r="BB938" s="43"/>
    </row>
    <row r="939" spans="2:54" ht="12.75" customHeight="1">
      <c r="B939" s="320"/>
      <c r="C939" s="134"/>
      <c r="D939" s="98"/>
      <c r="E939" s="504"/>
      <c r="F939" s="306"/>
      <c r="G939" s="265"/>
      <c r="H939" s="266"/>
      <c r="I939" s="297"/>
      <c r="J939" s="298"/>
      <c r="K939" s="298"/>
      <c r="L939" s="298"/>
      <c r="M939" s="41"/>
      <c r="N939" s="21"/>
      <c r="O939" s="21"/>
      <c r="P939" s="21"/>
      <c r="Q939" s="326"/>
      <c r="R939" s="40"/>
      <c r="S939" s="84"/>
      <c r="T939" s="40"/>
      <c r="U939" s="42"/>
      <c r="V939" s="78"/>
      <c r="Z939" s="181"/>
      <c r="AA939" s="183"/>
      <c r="AC939" s="26"/>
      <c r="AD939" s="279"/>
      <c r="AE939" s="26"/>
      <c r="AF939" s="26"/>
      <c r="AG939" s="278" t="str">
        <f t="shared" si="124"/>
        <v/>
      </c>
      <c r="AH939" s="278" t="str">
        <f t="shared" si="125"/>
        <v/>
      </c>
      <c r="AJ939" s="25"/>
      <c r="AK939" s="25"/>
      <c r="AL939" s="25"/>
      <c r="AM939" s="25"/>
      <c r="AN939" s="25"/>
      <c r="AO939" s="25"/>
      <c r="AP939" s="25"/>
      <c r="AQ939" s="25"/>
      <c r="AR939" s="25"/>
      <c r="AS939" s="25"/>
      <c r="AT939" s="25"/>
      <c r="AU939" s="25"/>
      <c r="AV939" s="43"/>
      <c r="AW939" s="43"/>
      <c r="AX939" s="114" t="s">
        <v>76</v>
      </c>
      <c r="AY939" s="43"/>
      <c r="AZ939" s="43"/>
      <c r="BA939" s="43"/>
      <c r="BB939" s="43"/>
    </row>
    <row r="940" spans="2:54" ht="12.75" customHeight="1">
      <c r="B940" s="320"/>
      <c r="C940" s="134"/>
      <c r="D940" s="98"/>
      <c r="E940" s="504"/>
      <c r="F940" s="306"/>
      <c r="G940" s="265"/>
      <c r="H940" s="266"/>
      <c r="I940" s="297"/>
      <c r="J940" s="298"/>
      <c r="K940" s="298"/>
      <c r="L940" s="298"/>
      <c r="M940" s="41"/>
      <c r="N940" s="21"/>
      <c r="O940" s="21"/>
      <c r="P940" s="21"/>
      <c r="Q940" s="326"/>
      <c r="R940" s="40"/>
      <c r="S940" s="84"/>
      <c r="T940" s="40"/>
      <c r="U940" s="42"/>
      <c r="V940" s="78"/>
      <c r="Z940" s="181"/>
      <c r="AA940" s="183"/>
      <c r="AC940" s="26"/>
      <c r="AD940" s="279"/>
      <c r="AE940" s="26"/>
      <c r="AF940" s="26"/>
      <c r="AG940" s="278" t="str">
        <f t="shared" si="124"/>
        <v/>
      </c>
      <c r="AH940" s="278" t="str">
        <f t="shared" si="125"/>
        <v/>
      </c>
      <c r="AJ940" s="25"/>
      <c r="AK940" s="25"/>
      <c r="AL940" s="25"/>
      <c r="AM940" s="25"/>
      <c r="AN940" s="25"/>
      <c r="AO940" s="25"/>
      <c r="AP940" s="25"/>
      <c r="AQ940" s="25"/>
      <c r="AR940" s="25"/>
      <c r="AS940" s="25"/>
      <c r="AT940" s="25"/>
      <c r="AU940" s="25"/>
      <c r="AV940" s="43"/>
      <c r="AW940" s="43"/>
      <c r="AX940" s="114" t="s">
        <v>76</v>
      </c>
      <c r="AY940" s="43"/>
      <c r="AZ940" s="43"/>
      <c r="BA940" s="43"/>
      <c r="BB940" s="43"/>
    </row>
    <row r="941" spans="2:54" ht="12.75" customHeight="1">
      <c r="B941" s="320"/>
      <c r="C941" s="134"/>
      <c r="D941" s="98"/>
      <c r="E941" s="504"/>
      <c r="F941" s="306"/>
      <c r="G941" s="265"/>
      <c r="H941" s="266"/>
      <c r="I941" s="297"/>
      <c r="J941" s="298"/>
      <c r="K941" s="298"/>
      <c r="L941" s="298"/>
      <c r="M941" s="41"/>
      <c r="N941" s="21"/>
      <c r="O941" s="21"/>
      <c r="P941" s="21"/>
      <c r="Q941" s="326"/>
      <c r="R941" s="40"/>
      <c r="S941" s="84"/>
      <c r="T941" s="40"/>
      <c r="U941" s="42"/>
      <c r="V941" s="78"/>
      <c r="Z941" s="181"/>
      <c r="AA941" s="183"/>
      <c r="AC941" s="26"/>
      <c r="AD941" s="279"/>
      <c r="AE941" s="26"/>
      <c r="AF941" s="26"/>
      <c r="AG941" s="278" t="str">
        <f t="shared" si="124"/>
        <v/>
      </c>
      <c r="AH941" s="278" t="str">
        <f t="shared" si="125"/>
        <v/>
      </c>
      <c r="AJ941" s="25"/>
      <c r="AK941" s="25"/>
      <c r="AL941" s="25"/>
      <c r="AM941" s="25"/>
      <c r="AN941" s="25"/>
      <c r="AO941" s="25"/>
      <c r="AP941" s="25"/>
      <c r="AQ941" s="25"/>
      <c r="AR941" s="25"/>
      <c r="AS941" s="25"/>
      <c r="AT941" s="25"/>
      <c r="AU941" s="25"/>
      <c r="AV941" s="43"/>
      <c r="AW941" s="43"/>
      <c r="AX941" s="114" t="s">
        <v>76</v>
      </c>
      <c r="AY941" s="43"/>
      <c r="AZ941" s="43"/>
      <c r="BA941" s="43"/>
      <c r="BB941" s="43"/>
    </row>
    <row r="942" spans="2:54" ht="12.75" customHeight="1">
      <c r="B942" s="320"/>
      <c r="C942" s="134"/>
      <c r="D942" s="98"/>
      <c r="E942" s="504"/>
      <c r="F942" s="306"/>
      <c r="G942" s="265"/>
      <c r="H942" s="266"/>
      <c r="I942" s="297"/>
      <c r="J942" s="298"/>
      <c r="K942" s="298"/>
      <c r="L942" s="298"/>
      <c r="M942" s="41"/>
      <c r="N942" s="21"/>
      <c r="O942" s="21"/>
      <c r="P942" s="21"/>
      <c r="Q942" s="326"/>
      <c r="R942" s="40"/>
      <c r="S942" s="84"/>
      <c r="T942" s="40"/>
      <c r="U942" s="42"/>
      <c r="V942" s="78"/>
      <c r="Z942" s="181"/>
      <c r="AA942" s="183"/>
      <c r="AC942" s="26"/>
      <c r="AD942" s="279"/>
      <c r="AE942" s="26"/>
      <c r="AF942" s="26"/>
      <c r="AG942" s="278" t="str">
        <f t="shared" si="124"/>
        <v/>
      </c>
      <c r="AH942" s="278" t="str">
        <f t="shared" si="125"/>
        <v/>
      </c>
      <c r="AJ942" s="25"/>
      <c r="AK942" s="25"/>
      <c r="AL942" s="25"/>
      <c r="AM942" s="25"/>
      <c r="AN942" s="25"/>
      <c r="AO942" s="25"/>
      <c r="AP942" s="25"/>
      <c r="AQ942" s="25"/>
      <c r="AR942" s="25"/>
      <c r="AS942" s="25"/>
      <c r="AT942" s="25"/>
      <c r="AU942" s="25"/>
      <c r="AV942" s="43"/>
      <c r="AW942" s="43"/>
      <c r="AX942" s="114" t="s">
        <v>76</v>
      </c>
      <c r="AY942" s="43"/>
      <c r="AZ942" s="43"/>
      <c r="BA942" s="43"/>
      <c r="BB942" s="43"/>
    </row>
    <row r="943" spans="2:54" ht="12.75" customHeight="1">
      <c r="B943" s="320"/>
      <c r="C943" s="134"/>
      <c r="D943" s="98"/>
      <c r="E943" s="504"/>
      <c r="F943" s="306"/>
      <c r="G943" s="265"/>
      <c r="H943" s="266"/>
      <c r="I943" s="297"/>
      <c r="J943" s="298"/>
      <c r="K943" s="298"/>
      <c r="L943" s="298"/>
      <c r="M943" s="41"/>
      <c r="N943" s="21"/>
      <c r="O943" s="21"/>
      <c r="P943" s="21"/>
      <c r="Q943" s="326"/>
      <c r="R943" s="40"/>
      <c r="S943" s="84"/>
      <c r="T943" s="40"/>
      <c r="U943" s="42"/>
      <c r="V943" s="78"/>
      <c r="Z943" s="181"/>
      <c r="AA943" s="183"/>
      <c r="AC943" s="26"/>
      <c r="AD943" s="279"/>
      <c r="AE943" s="26"/>
      <c r="AF943" s="26"/>
      <c r="AG943" s="278" t="str">
        <f t="shared" si="124"/>
        <v/>
      </c>
      <c r="AH943" s="278" t="str">
        <f t="shared" si="125"/>
        <v/>
      </c>
      <c r="AJ943" s="25"/>
      <c r="AK943" s="25"/>
      <c r="AL943" s="25"/>
      <c r="AM943" s="25"/>
      <c r="AN943" s="25"/>
      <c r="AO943" s="25"/>
      <c r="AP943" s="25"/>
      <c r="AQ943" s="25"/>
      <c r="AR943" s="25"/>
      <c r="AS943" s="25"/>
      <c r="AT943" s="25"/>
      <c r="AU943" s="25"/>
      <c r="AV943" s="43"/>
      <c r="AW943" s="43"/>
      <c r="AX943" s="114" t="s">
        <v>76</v>
      </c>
      <c r="AY943" s="43"/>
      <c r="AZ943" s="43"/>
      <c r="BA943" s="43"/>
      <c r="BB943" s="43"/>
    </row>
    <row r="944" spans="2:54" ht="12.75" customHeight="1">
      <c r="B944" s="320"/>
      <c r="C944" s="134"/>
      <c r="D944" s="98"/>
      <c r="E944" s="504"/>
      <c r="F944" s="306"/>
      <c r="G944" s="265"/>
      <c r="H944" s="266"/>
      <c r="I944" s="297"/>
      <c r="J944" s="298"/>
      <c r="K944" s="298"/>
      <c r="L944" s="298"/>
      <c r="M944" s="41"/>
      <c r="N944" s="21"/>
      <c r="O944" s="21"/>
      <c r="P944" s="21"/>
      <c r="Q944" s="326"/>
      <c r="R944" s="40"/>
      <c r="S944" s="84"/>
      <c r="T944" s="40"/>
      <c r="U944" s="42"/>
      <c r="V944" s="78"/>
      <c r="Z944" s="181"/>
      <c r="AA944" s="183"/>
      <c r="AC944" s="26"/>
      <c r="AD944" s="279"/>
      <c r="AE944" s="26"/>
      <c r="AF944" s="26"/>
      <c r="AG944" s="278" t="str">
        <f t="shared" si="124"/>
        <v/>
      </c>
      <c r="AH944" s="278" t="str">
        <f t="shared" si="125"/>
        <v/>
      </c>
      <c r="AJ944" s="25"/>
      <c r="AK944" s="25"/>
      <c r="AL944" s="25"/>
      <c r="AM944" s="25"/>
      <c r="AN944" s="25"/>
      <c r="AO944" s="25"/>
      <c r="AP944" s="25"/>
      <c r="AQ944" s="25"/>
      <c r="AR944" s="25"/>
      <c r="AS944" s="25"/>
      <c r="AT944" s="25"/>
      <c r="AU944" s="25"/>
      <c r="AV944" s="43"/>
      <c r="AW944" s="43"/>
      <c r="AX944" s="114" t="s">
        <v>76</v>
      </c>
      <c r="AY944" s="43"/>
      <c r="AZ944" s="43"/>
      <c r="BA944" s="43"/>
      <c r="BB944" s="43"/>
    </row>
    <row r="945" spans="2:54" ht="12.75" customHeight="1">
      <c r="B945" s="320"/>
      <c r="C945" s="134"/>
      <c r="D945" s="98"/>
      <c r="E945" s="504"/>
      <c r="F945" s="306"/>
      <c r="G945" s="265"/>
      <c r="H945" s="266"/>
      <c r="I945" s="297"/>
      <c r="J945" s="298"/>
      <c r="K945" s="298"/>
      <c r="L945" s="298"/>
      <c r="M945" s="41"/>
      <c r="N945" s="21"/>
      <c r="O945" s="21"/>
      <c r="P945" s="21"/>
      <c r="Q945" s="326"/>
      <c r="R945" s="40"/>
      <c r="S945" s="84"/>
      <c r="T945" s="40"/>
      <c r="U945" s="42"/>
      <c r="V945" s="78"/>
      <c r="Z945" s="181"/>
      <c r="AA945" s="183"/>
      <c r="AC945" s="26"/>
      <c r="AD945" s="279"/>
      <c r="AE945" s="26"/>
      <c r="AF945" s="26"/>
      <c r="AG945" s="278" t="str">
        <f t="shared" si="124"/>
        <v/>
      </c>
      <c r="AH945" s="278" t="str">
        <f t="shared" si="125"/>
        <v/>
      </c>
      <c r="AJ945" s="25"/>
      <c r="AK945" s="25"/>
      <c r="AL945" s="25"/>
      <c r="AM945" s="25"/>
      <c r="AN945" s="25"/>
      <c r="AO945" s="25"/>
      <c r="AP945" s="25"/>
      <c r="AQ945" s="25"/>
      <c r="AR945" s="25"/>
      <c r="AS945" s="25"/>
      <c r="AT945" s="25"/>
      <c r="AU945" s="25"/>
      <c r="AV945" s="43"/>
      <c r="AW945" s="43"/>
      <c r="AX945" s="114" t="s">
        <v>76</v>
      </c>
      <c r="AY945" s="43"/>
      <c r="AZ945" s="43"/>
      <c r="BA945" s="43"/>
      <c r="BB945" s="43"/>
    </row>
    <row r="946" spans="2:54" ht="12.75" customHeight="1">
      <c r="B946" s="320"/>
      <c r="C946" s="134"/>
      <c r="D946" s="98"/>
      <c r="E946" s="504"/>
      <c r="F946" s="306"/>
      <c r="G946" s="265"/>
      <c r="H946" s="266"/>
      <c r="I946" s="297"/>
      <c r="J946" s="298"/>
      <c r="K946" s="298"/>
      <c r="L946" s="298"/>
      <c r="M946" s="41"/>
      <c r="N946" s="21"/>
      <c r="O946" s="21"/>
      <c r="P946" s="21"/>
      <c r="Q946" s="326"/>
      <c r="R946" s="40"/>
      <c r="S946" s="84"/>
      <c r="T946" s="40"/>
      <c r="U946" s="42"/>
      <c r="V946" s="78"/>
      <c r="Z946" s="181"/>
      <c r="AA946" s="183"/>
      <c r="AC946" s="26"/>
      <c r="AD946" s="279"/>
      <c r="AE946" s="26"/>
      <c r="AF946" s="26"/>
      <c r="AG946" s="278" t="str">
        <f t="shared" si="124"/>
        <v/>
      </c>
      <c r="AH946" s="278" t="str">
        <f t="shared" si="125"/>
        <v/>
      </c>
      <c r="AJ946" s="25"/>
      <c r="AK946" s="25"/>
      <c r="AL946" s="25"/>
      <c r="AM946" s="25"/>
      <c r="AN946" s="25"/>
      <c r="AO946" s="25"/>
      <c r="AP946" s="25"/>
      <c r="AQ946" s="25"/>
      <c r="AR946" s="25"/>
      <c r="AS946" s="25"/>
      <c r="AT946" s="25"/>
      <c r="AU946" s="25"/>
      <c r="AV946" s="43"/>
      <c r="AW946" s="43"/>
      <c r="AX946" s="114" t="s">
        <v>76</v>
      </c>
      <c r="AY946" s="43"/>
      <c r="AZ946" s="43"/>
      <c r="BA946" s="43"/>
      <c r="BB946" s="43"/>
    </row>
    <row r="947" spans="2:54" ht="12.75" customHeight="1">
      <c r="B947" s="320"/>
      <c r="C947" s="134"/>
      <c r="D947" s="98"/>
      <c r="E947" s="504"/>
      <c r="F947" s="306"/>
      <c r="G947" s="265"/>
      <c r="H947" s="266"/>
      <c r="I947" s="297"/>
      <c r="J947" s="298"/>
      <c r="K947" s="298"/>
      <c r="L947" s="298"/>
      <c r="M947" s="41"/>
      <c r="N947" s="21"/>
      <c r="O947" s="21"/>
      <c r="P947" s="21"/>
      <c r="Q947" s="326"/>
      <c r="R947" s="40"/>
      <c r="S947" s="84"/>
      <c r="T947" s="40"/>
      <c r="U947" s="42"/>
      <c r="V947" s="78"/>
      <c r="Z947" s="181"/>
      <c r="AA947" s="183"/>
      <c r="AC947" s="26"/>
      <c r="AD947" s="279"/>
      <c r="AE947" s="26"/>
      <c r="AF947" s="26"/>
      <c r="AG947" s="278" t="str">
        <f t="shared" si="124"/>
        <v/>
      </c>
      <c r="AH947" s="278" t="str">
        <f t="shared" si="125"/>
        <v/>
      </c>
      <c r="AJ947" s="25"/>
      <c r="AK947" s="25"/>
      <c r="AL947" s="25"/>
      <c r="AM947" s="25"/>
      <c r="AN947" s="25"/>
      <c r="AO947" s="25"/>
      <c r="AP947" s="25"/>
      <c r="AQ947" s="25"/>
      <c r="AR947" s="25"/>
      <c r="AS947" s="25"/>
      <c r="AT947" s="25"/>
      <c r="AU947" s="25"/>
      <c r="AV947" s="43"/>
      <c r="AW947" s="43"/>
      <c r="AX947" s="114" t="s">
        <v>76</v>
      </c>
      <c r="AY947" s="43"/>
      <c r="AZ947" s="43"/>
      <c r="BA947" s="43"/>
      <c r="BB947" s="43"/>
    </row>
    <row r="948" spans="2:54" ht="12.75" customHeight="1">
      <c r="B948" s="320"/>
      <c r="C948" s="134"/>
      <c r="D948" s="98"/>
      <c r="E948" s="504"/>
      <c r="F948" s="306"/>
      <c r="G948" s="265"/>
      <c r="H948" s="266"/>
      <c r="I948" s="297"/>
      <c r="J948" s="298"/>
      <c r="K948" s="298"/>
      <c r="L948" s="298"/>
      <c r="M948" s="41"/>
      <c r="N948" s="21"/>
      <c r="O948" s="21"/>
      <c r="P948" s="21"/>
      <c r="Q948" s="326"/>
      <c r="R948" s="40"/>
      <c r="S948" s="84"/>
      <c r="T948" s="40"/>
      <c r="U948" s="42"/>
      <c r="V948" s="78"/>
      <c r="Z948" s="181"/>
      <c r="AA948" s="183"/>
      <c r="AC948" s="26"/>
      <c r="AD948" s="279"/>
      <c r="AE948" s="26"/>
      <c r="AF948" s="26"/>
      <c r="AG948" s="278" t="str">
        <f t="shared" si="124"/>
        <v/>
      </c>
      <c r="AH948" s="278" t="str">
        <f t="shared" si="125"/>
        <v/>
      </c>
      <c r="AJ948" s="25"/>
      <c r="AK948" s="25"/>
      <c r="AL948" s="25"/>
      <c r="AM948" s="25"/>
      <c r="AN948" s="25"/>
      <c r="AO948" s="25"/>
      <c r="AP948" s="25"/>
      <c r="AQ948" s="25"/>
      <c r="AR948" s="25"/>
      <c r="AS948" s="25"/>
      <c r="AT948" s="25"/>
      <c r="AU948" s="25"/>
      <c r="AV948" s="43"/>
      <c r="AW948" s="43"/>
      <c r="AX948" s="114" t="s">
        <v>76</v>
      </c>
      <c r="AY948" s="43"/>
      <c r="AZ948" s="43"/>
      <c r="BA948" s="43"/>
      <c r="BB948" s="43"/>
    </row>
    <row r="949" spans="2:54" ht="12.75" customHeight="1">
      <c r="B949" s="320"/>
      <c r="C949" s="134"/>
      <c r="D949" s="98"/>
      <c r="E949" s="504"/>
      <c r="F949" s="306"/>
      <c r="G949" s="265"/>
      <c r="H949" s="266"/>
      <c r="I949" s="297"/>
      <c r="J949" s="298"/>
      <c r="K949" s="298"/>
      <c r="L949" s="298"/>
      <c r="M949" s="41"/>
      <c r="N949" s="21"/>
      <c r="O949" s="21"/>
      <c r="P949" s="21"/>
      <c r="Q949" s="326"/>
      <c r="R949" s="40"/>
      <c r="S949" s="84"/>
      <c r="T949" s="40"/>
      <c r="U949" s="42"/>
      <c r="V949" s="78"/>
      <c r="Z949" s="181"/>
      <c r="AA949" s="183"/>
      <c r="AC949" s="26"/>
      <c r="AD949" s="279"/>
      <c r="AE949" s="26"/>
      <c r="AF949" s="26"/>
      <c r="AG949" s="278" t="str">
        <f t="shared" si="124"/>
        <v/>
      </c>
      <c r="AH949" s="278" t="str">
        <f t="shared" si="125"/>
        <v/>
      </c>
      <c r="AJ949" s="25"/>
      <c r="AK949" s="25"/>
      <c r="AL949" s="25"/>
      <c r="AM949" s="25"/>
      <c r="AN949" s="25"/>
      <c r="AO949" s="25"/>
      <c r="AP949" s="25"/>
      <c r="AQ949" s="25"/>
      <c r="AR949" s="25"/>
      <c r="AS949" s="25"/>
      <c r="AT949" s="25"/>
      <c r="AU949" s="25"/>
      <c r="AV949" s="43"/>
      <c r="AW949" s="43"/>
      <c r="AX949" s="114" t="s">
        <v>76</v>
      </c>
      <c r="AY949" s="43"/>
      <c r="AZ949" s="43"/>
      <c r="BA949" s="43"/>
      <c r="BB949" s="43"/>
    </row>
    <row r="950" spans="2:54" ht="12.75" customHeight="1">
      <c r="B950" s="320"/>
      <c r="C950" s="134"/>
      <c r="D950" s="98"/>
      <c r="E950" s="504"/>
      <c r="F950" s="306"/>
      <c r="G950" s="265"/>
      <c r="H950" s="266"/>
      <c r="I950" s="297"/>
      <c r="J950" s="298"/>
      <c r="K950" s="298"/>
      <c r="L950" s="298"/>
      <c r="M950" s="41"/>
      <c r="N950" s="21"/>
      <c r="O950" s="21"/>
      <c r="P950" s="21"/>
      <c r="Q950" s="326"/>
      <c r="R950" s="40"/>
      <c r="S950" s="84"/>
      <c r="T950" s="40"/>
      <c r="U950" s="42"/>
      <c r="V950" s="78"/>
      <c r="Z950" s="181"/>
      <c r="AA950" s="183"/>
      <c r="AC950" s="26"/>
      <c r="AD950" s="279"/>
      <c r="AE950" s="26"/>
      <c r="AF950" s="26"/>
      <c r="AG950" s="278" t="str">
        <f t="shared" si="124"/>
        <v/>
      </c>
      <c r="AH950" s="278" t="str">
        <f t="shared" si="125"/>
        <v/>
      </c>
      <c r="AJ950" s="25"/>
      <c r="AK950" s="25"/>
      <c r="AL950" s="25"/>
      <c r="AM950" s="25"/>
      <c r="AN950" s="25"/>
      <c r="AO950" s="25"/>
      <c r="AP950" s="25"/>
      <c r="AQ950" s="25"/>
      <c r="AR950" s="25"/>
      <c r="AS950" s="25"/>
      <c r="AT950" s="25"/>
      <c r="AU950" s="25"/>
      <c r="AV950" s="43"/>
      <c r="AW950" s="43"/>
      <c r="AX950" s="114" t="s">
        <v>76</v>
      </c>
      <c r="AY950" s="43"/>
      <c r="AZ950" s="43"/>
      <c r="BA950" s="43"/>
      <c r="BB950" s="43"/>
    </row>
    <row r="951" spans="2:54" ht="12.75" customHeight="1">
      <c r="B951" s="320"/>
      <c r="C951" s="134"/>
      <c r="D951" s="98"/>
      <c r="E951" s="504"/>
      <c r="F951" s="306"/>
      <c r="G951" s="265"/>
      <c r="H951" s="266"/>
      <c r="I951" s="297"/>
      <c r="J951" s="298"/>
      <c r="K951" s="298"/>
      <c r="L951" s="298"/>
      <c r="M951" s="41"/>
      <c r="N951" s="21"/>
      <c r="O951" s="21"/>
      <c r="P951" s="21"/>
      <c r="Q951" s="326"/>
      <c r="R951" s="40"/>
      <c r="S951" s="84"/>
      <c r="T951" s="40"/>
      <c r="U951" s="42"/>
      <c r="V951" s="78"/>
      <c r="Z951" s="181"/>
      <c r="AA951" s="183"/>
      <c r="AC951" s="26"/>
      <c r="AD951" s="279"/>
      <c r="AE951" s="26"/>
      <c r="AF951" s="26"/>
      <c r="AG951" s="278" t="str">
        <f t="shared" si="124"/>
        <v/>
      </c>
      <c r="AH951" s="278" t="str">
        <f t="shared" si="125"/>
        <v/>
      </c>
      <c r="AJ951" s="25"/>
      <c r="AK951" s="25"/>
      <c r="AL951" s="25"/>
      <c r="AM951" s="25"/>
      <c r="AN951" s="25"/>
      <c r="AO951" s="25"/>
      <c r="AP951" s="25"/>
      <c r="AQ951" s="25"/>
      <c r="AR951" s="25"/>
      <c r="AS951" s="25"/>
      <c r="AT951" s="25"/>
      <c r="AU951" s="25"/>
      <c r="AV951" s="43"/>
      <c r="AW951" s="43"/>
      <c r="AX951" s="114" t="s">
        <v>76</v>
      </c>
      <c r="AY951" s="43"/>
      <c r="AZ951" s="43"/>
      <c r="BA951" s="43"/>
      <c r="BB951" s="43"/>
    </row>
    <row r="952" spans="2:54" ht="12.75" customHeight="1">
      <c r="B952" s="320"/>
      <c r="C952" s="134"/>
      <c r="D952" s="98"/>
      <c r="E952" s="504"/>
      <c r="F952" s="306"/>
      <c r="G952" s="265"/>
      <c r="H952" s="266"/>
      <c r="I952" s="297"/>
      <c r="J952" s="298"/>
      <c r="K952" s="298"/>
      <c r="L952" s="298"/>
      <c r="M952" s="41"/>
      <c r="N952" s="21"/>
      <c r="O952" s="21"/>
      <c r="P952" s="21"/>
      <c r="Q952" s="326"/>
      <c r="R952" s="40"/>
      <c r="S952" s="84"/>
      <c r="T952" s="40"/>
      <c r="U952" s="42"/>
      <c r="V952" s="78"/>
      <c r="Z952" s="181"/>
      <c r="AA952" s="183"/>
      <c r="AC952" s="26"/>
      <c r="AD952" s="279"/>
      <c r="AE952" s="26"/>
      <c r="AF952" s="26"/>
      <c r="AG952" s="278" t="str">
        <f t="shared" si="124"/>
        <v/>
      </c>
      <c r="AH952" s="278" t="str">
        <f t="shared" si="125"/>
        <v/>
      </c>
      <c r="AJ952" s="25"/>
      <c r="AK952" s="25"/>
      <c r="AL952" s="25"/>
      <c r="AM952" s="25"/>
      <c r="AN952" s="25"/>
      <c r="AO952" s="25"/>
      <c r="AP952" s="25"/>
      <c r="AQ952" s="25"/>
      <c r="AR952" s="25"/>
      <c r="AS952" s="25"/>
      <c r="AT952" s="25"/>
      <c r="AU952" s="25"/>
      <c r="AV952" s="43"/>
      <c r="AW952" s="43"/>
      <c r="AX952" s="114" t="s">
        <v>76</v>
      </c>
      <c r="AY952" s="43"/>
      <c r="AZ952" s="43"/>
      <c r="BA952" s="43"/>
      <c r="BB952" s="43"/>
    </row>
    <row r="953" spans="2:54" ht="12.75" customHeight="1">
      <c r="B953" s="320"/>
      <c r="C953" s="134"/>
      <c r="D953" s="98"/>
      <c r="E953" s="504"/>
      <c r="F953" s="306"/>
      <c r="G953" s="265"/>
      <c r="H953" s="266"/>
      <c r="I953" s="297"/>
      <c r="J953" s="298"/>
      <c r="K953" s="298"/>
      <c r="L953" s="298"/>
      <c r="M953" s="41"/>
      <c r="N953" s="21"/>
      <c r="O953" s="21"/>
      <c r="P953" s="21"/>
      <c r="Q953" s="326"/>
      <c r="R953" s="40"/>
      <c r="S953" s="84"/>
      <c r="T953" s="40"/>
      <c r="U953" s="42"/>
      <c r="V953" s="78"/>
      <c r="Z953" s="181"/>
      <c r="AA953" s="183"/>
      <c r="AC953" s="26"/>
      <c r="AD953" s="279"/>
      <c r="AE953" s="26"/>
      <c r="AF953" s="26"/>
      <c r="AG953" s="278" t="str">
        <f t="shared" si="124"/>
        <v/>
      </c>
      <c r="AH953" s="278" t="str">
        <f t="shared" si="125"/>
        <v/>
      </c>
      <c r="AJ953" s="25"/>
      <c r="AK953" s="25"/>
      <c r="AL953" s="25"/>
      <c r="AM953" s="25"/>
      <c r="AN953" s="25"/>
      <c r="AO953" s="25"/>
      <c r="AP953" s="25"/>
      <c r="AQ953" s="25"/>
      <c r="AR953" s="25"/>
      <c r="AS953" s="25"/>
      <c r="AT953" s="25"/>
      <c r="AU953" s="25"/>
      <c r="AV953" s="43"/>
      <c r="AW953" s="43"/>
      <c r="AX953" s="114" t="s">
        <v>76</v>
      </c>
      <c r="AY953" s="43"/>
      <c r="AZ953" s="43"/>
      <c r="BA953" s="43"/>
      <c r="BB953" s="43"/>
    </row>
    <row r="954" spans="2:54" ht="12.75" customHeight="1">
      <c r="B954" s="320"/>
      <c r="C954" s="134"/>
      <c r="D954" s="98"/>
      <c r="E954" s="504"/>
      <c r="F954" s="306"/>
      <c r="G954" s="265"/>
      <c r="H954" s="266"/>
      <c r="I954" s="297"/>
      <c r="J954" s="298"/>
      <c r="K954" s="298"/>
      <c r="L954" s="298"/>
      <c r="M954" s="41"/>
      <c r="N954" s="21"/>
      <c r="O954" s="21"/>
      <c r="P954" s="21"/>
      <c r="Q954" s="326"/>
      <c r="R954" s="40"/>
      <c r="S954" s="84"/>
      <c r="T954" s="40"/>
      <c r="U954" s="42"/>
      <c r="V954" s="78"/>
      <c r="Z954" s="181"/>
      <c r="AA954" s="183"/>
      <c r="AC954" s="26"/>
      <c r="AD954" s="279"/>
      <c r="AE954" s="26"/>
      <c r="AF954" s="26"/>
      <c r="AG954" s="278" t="str">
        <f t="shared" si="124"/>
        <v/>
      </c>
      <c r="AH954" s="278" t="str">
        <f t="shared" si="125"/>
        <v/>
      </c>
      <c r="AJ954" s="25"/>
      <c r="AK954" s="25"/>
      <c r="AL954" s="25"/>
      <c r="AM954" s="25"/>
      <c r="AN954" s="25"/>
      <c r="AO954" s="25"/>
      <c r="AP954" s="25"/>
      <c r="AQ954" s="25"/>
      <c r="AR954" s="25"/>
      <c r="AS954" s="25"/>
      <c r="AT954" s="25"/>
      <c r="AU954" s="25"/>
      <c r="AV954" s="43"/>
      <c r="AW954" s="43"/>
      <c r="AX954" s="114" t="s">
        <v>76</v>
      </c>
      <c r="AY954" s="43"/>
      <c r="AZ954" s="43"/>
      <c r="BA954" s="43"/>
      <c r="BB954" s="43"/>
    </row>
    <row r="955" spans="2:54" ht="12.75" customHeight="1">
      <c r="B955" s="320"/>
      <c r="C955" s="134"/>
      <c r="D955" s="98"/>
      <c r="E955" s="504"/>
      <c r="F955" s="306"/>
      <c r="G955" s="265"/>
      <c r="H955" s="266"/>
      <c r="I955" s="297"/>
      <c r="J955" s="298"/>
      <c r="K955" s="298"/>
      <c r="L955" s="298"/>
      <c r="M955" s="41"/>
      <c r="N955" s="21"/>
      <c r="O955" s="21"/>
      <c r="P955" s="21"/>
      <c r="Q955" s="326"/>
      <c r="R955" s="40"/>
      <c r="S955" s="84"/>
      <c r="T955" s="40"/>
      <c r="U955" s="42"/>
      <c r="V955" s="78"/>
      <c r="Z955" s="181"/>
      <c r="AA955" s="183"/>
      <c r="AC955" s="26"/>
      <c r="AD955" s="279"/>
      <c r="AE955" s="26"/>
      <c r="AF955" s="26"/>
      <c r="AG955" s="278" t="str">
        <f t="shared" si="124"/>
        <v/>
      </c>
      <c r="AH955" s="278" t="str">
        <f t="shared" si="125"/>
        <v/>
      </c>
      <c r="AJ955" s="25"/>
      <c r="AK955" s="25"/>
      <c r="AL955" s="25"/>
      <c r="AM955" s="25"/>
      <c r="AN955" s="25"/>
      <c r="AO955" s="25"/>
      <c r="AP955" s="25"/>
      <c r="AQ955" s="25"/>
      <c r="AR955" s="25"/>
      <c r="AS955" s="25"/>
      <c r="AT955" s="25"/>
      <c r="AU955" s="25"/>
      <c r="AV955" s="43"/>
      <c r="AW955" s="43"/>
      <c r="AX955" s="114" t="s">
        <v>76</v>
      </c>
      <c r="AY955" s="43"/>
      <c r="AZ955" s="43"/>
      <c r="BA955" s="43"/>
      <c r="BB955" s="43"/>
    </row>
    <row r="956" spans="2:54" ht="12.75" customHeight="1">
      <c r="B956" s="320"/>
      <c r="C956" s="134"/>
      <c r="D956" s="98"/>
      <c r="E956" s="504"/>
      <c r="F956" s="306"/>
      <c r="G956" s="265"/>
      <c r="H956" s="266"/>
      <c r="I956" s="297"/>
      <c r="J956" s="298"/>
      <c r="K956" s="298"/>
      <c r="L956" s="298"/>
      <c r="M956" s="41"/>
      <c r="N956" s="21"/>
      <c r="O956" s="21"/>
      <c r="P956" s="21"/>
      <c r="Q956" s="326"/>
      <c r="R956" s="40"/>
      <c r="S956" s="84"/>
      <c r="T956" s="40"/>
      <c r="U956" s="42"/>
      <c r="V956" s="78"/>
      <c r="Z956" s="181"/>
      <c r="AA956" s="183"/>
      <c r="AC956" s="26"/>
      <c r="AD956" s="279"/>
      <c r="AE956" s="26"/>
      <c r="AF956" s="26"/>
      <c r="AG956" s="278" t="str">
        <f t="shared" si="124"/>
        <v/>
      </c>
      <c r="AH956" s="278" t="str">
        <f t="shared" si="125"/>
        <v/>
      </c>
      <c r="AJ956" s="25"/>
      <c r="AK956" s="25"/>
      <c r="AL956" s="25"/>
      <c r="AM956" s="25"/>
      <c r="AN956" s="25"/>
      <c r="AO956" s="25"/>
      <c r="AP956" s="25"/>
      <c r="AQ956" s="25"/>
      <c r="AR956" s="25"/>
      <c r="AS956" s="25"/>
      <c r="AT956" s="25"/>
      <c r="AU956" s="25"/>
      <c r="AV956" s="43"/>
      <c r="AW956" s="43"/>
      <c r="AX956" s="114" t="s">
        <v>76</v>
      </c>
      <c r="AY956" s="43"/>
      <c r="AZ956" s="43"/>
      <c r="BA956" s="43"/>
      <c r="BB956" s="43"/>
    </row>
    <row r="957" spans="2:54" ht="12.75" customHeight="1">
      <c r="B957" s="320"/>
      <c r="C957" s="134"/>
      <c r="D957" s="98"/>
      <c r="E957" s="504"/>
      <c r="F957" s="306"/>
      <c r="G957" s="265"/>
      <c r="H957" s="266"/>
      <c r="I957" s="297"/>
      <c r="J957" s="298"/>
      <c r="K957" s="298"/>
      <c r="L957" s="298"/>
      <c r="M957" s="41"/>
      <c r="N957" s="21"/>
      <c r="O957" s="21"/>
      <c r="P957" s="21"/>
      <c r="Q957" s="326"/>
      <c r="R957" s="40"/>
      <c r="S957" s="84"/>
      <c r="T957" s="40"/>
      <c r="U957" s="42"/>
      <c r="V957" s="78"/>
      <c r="Z957" s="181"/>
      <c r="AA957" s="183"/>
      <c r="AC957" s="26"/>
      <c r="AD957" s="279"/>
      <c r="AE957" s="26"/>
      <c r="AF957" s="26"/>
      <c r="AG957" s="278" t="str">
        <f t="shared" si="124"/>
        <v/>
      </c>
      <c r="AH957" s="278" t="str">
        <f t="shared" si="125"/>
        <v/>
      </c>
      <c r="AJ957" s="25"/>
      <c r="AK957" s="25"/>
      <c r="AL957" s="25"/>
      <c r="AM957" s="25"/>
      <c r="AN957" s="25"/>
      <c r="AO957" s="25"/>
      <c r="AP957" s="25"/>
      <c r="AQ957" s="25"/>
      <c r="AR957" s="25"/>
      <c r="AS957" s="25"/>
      <c r="AT957" s="25"/>
      <c r="AU957" s="25"/>
      <c r="AV957" s="43"/>
      <c r="AW957" s="43"/>
      <c r="AX957" s="114" t="s">
        <v>76</v>
      </c>
      <c r="AY957" s="43"/>
      <c r="AZ957" s="43"/>
      <c r="BA957" s="43"/>
      <c r="BB957" s="43"/>
    </row>
    <row r="958" spans="2:54" ht="12.75" customHeight="1">
      <c r="B958" s="320"/>
      <c r="C958" s="134"/>
      <c r="D958" s="98"/>
      <c r="E958" s="504"/>
      <c r="F958" s="306"/>
      <c r="G958" s="265"/>
      <c r="H958" s="266"/>
      <c r="I958" s="297"/>
      <c r="J958" s="298"/>
      <c r="K958" s="298"/>
      <c r="L958" s="298"/>
      <c r="M958" s="41"/>
      <c r="N958" s="21"/>
      <c r="O958" s="21"/>
      <c r="P958" s="21"/>
      <c r="Q958" s="326"/>
      <c r="R958" s="40"/>
      <c r="S958" s="84"/>
      <c r="T958" s="40"/>
      <c r="U958" s="42"/>
      <c r="V958" s="78"/>
      <c r="Z958" s="181"/>
      <c r="AA958" s="183"/>
      <c r="AC958" s="26"/>
      <c r="AD958" s="279"/>
      <c r="AE958" s="26"/>
      <c r="AF958" s="26"/>
      <c r="AG958" s="278" t="str">
        <f t="shared" si="124"/>
        <v/>
      </c>
      <c r="AH958" s="278" t="str">
        <f t="shared" si="125"/>
        <v/>
      </c>
      <c r="AJ958" s="25"/>
      <c r="AK958" s="25"/>
      <c r="AL958" s="25"/>
      <c r="AM958" s="25"/>
      <c r="AN958" s="25"/>
      <c r="AO958" s="25"/>
      <c r="AP958" s="25"/>
      <c r="AQ958" s="25"/>
      <c r="AR958" s="25"/>
      <c r="AS958" s="25"/>
      <c r="AT958" s="25"/>
      <c r="AU958" s="25"/>
      <c r="AV958" s="43"/>
      <c r="AW958" s="43"/>
      <c r="AX958" s="114" t="s">
        <v>76</v>
      </c>
      <c r="AY958" s="43"/>
      <c r="AZ958" s="43"/>
      <c r="BA958" s="43"/>
      <c r="BB958" s="43"/>
    </row>
    <row r="959" spans="2:54" ht="12.75" customHeight="1">
      <c r="B959" s="320"/>
      <c r="C959" s="134"/>
      <c r="D959" s="98"/>
      <c r="E959" s="504"/>
      <c r="F959" s="306"/>
      <c r="G959" s="265"/>
      <c r="H959" s="266"/>
      <c r="I959" s="297"/>
      <c r="J959" s="298"/>
      <c r="K959" s="298"/>
      <c r="L959" s="298"/>
      <c r="M959" s="41"/>
      <c r="N959" s="21"/>
      <c r="O959" s="21"/>
      <c r="P959" s="21"/>
      <c r="Q959" s="326"/>
      <c r="R959" s="40"/>
      <c r="S959" s="84"/>
      <c r="T959" s="40"/>
      <c r="U959" s="42"/>
      <c r="V959" s="78"/>
      <c r="Z959" s="181"/>
      <c r="AA959" s="183"/>
      <c r="AC959" s="26"/>
      <c r="AD959" s="279"/>
      <c r="AE959" s="26"/>
      <c r="AF959" s="26"/>
      <c r="AG959" s="278" t="str">
        <f t="shared" si="124"/>
        <v/>
      </c>
      <c r="AH959" s="278" t="str">
        <f t="shared" si="125"/>
        <v/>
      </c>
      <c r="AJ959" s="25"/>
      <c r="AK959" s="25"/>
      <c r="AL959" s="25"/>
      <c r="AM959" s="25"/>
      <c r="AN959" s="25"/>
      <c r="AO959" s="25"/>
      <c r="AP959" s="25"/>
      <c r="AQ959" s="25"/>
      <c r="AR959" s="25"/>
      <c r="AS959" s="25"/>
      <c r="AT959" s="25"/>
      <c r="AU959" s="25"/>
      <c r="AV959" s="43"/>
      <c r="AW959" s="43"/>
      <c r="AX959" s="114" t="s">
        <v>76</v>
      </c>
      <c r="AY959" s="43"/>
      <c r="AZ959" s="43"/>
      <c r="BA959" s="43"/>
      <c r="BB959" s="43"/>
    </row>
    <row r="960" spans="2:54" ht="12.75" customHeight="1">
      <c r="B960" s="320"/>
      <c r="C960" s="134"/>
      <c r="D960" s="98"/>
      <c r="E960" s="504"/>
      <c r="F960" s="306"/>
      <c r="G960" s="265"/>
      <c r="H960" s="266"/>
      <c r="I960" s="297"/>
      <c r="J960" s="298"/>
      <c r="K960" s="298"/>
      <c r="L960" s="298"/>
      <c r="M960" s="41"/>
      <c r="N960" s="21"/>
      <c r="O960" s="21"/>
      <c r="P960" s="21"/>
      <c r="Q960" s="326"/>
      <c r="R960" s="40"/>
      <c r="S960" s="84"/>
      <c r="T960" s="40"/>
      <c r="U960" s="42"/>
      <c r="V960" s="78"/>
      <c r="Z960" s="181"/>
      <c r="AA960" s="183"/>
      <c r="AC960" s="26"/>
      <c r="AD960" s="279"/>
      <c r="AE960" s="26"/>
      <c r="AF960" s="26"/>
      <c r="AG960" s="278" t="str">
        <f t="shared" si="124"/>
        <v/>
      </c>
      <c r="AH960" s="278" t="str">
        <f t="shared" si="125"/>
        <v/>
      </c>
      <c r="AJ960" s="25"/>
      <c r="AK960" s="25"/>
      <c r="AL960" s="25"/>
      <c r="AM960" s="25"/>
      <c r="AN960" s="25"/>
      <c r="AO960" s="25"/>
      <c r="AP960" s="25"/>
      <c r="AQ960" s="25"/>
      <c r="AR960" s="25"/>
      <c r="AS960" s="25"/>
      <c r="AT960" s="25"/>
      <c r="AU960" s="25"/>
      <c r="AV960" s="43"/>
      <c r="AW960" s="43"/>
      <c r="AX960" s="114" t="s">
        <v>76</v>
      </c>
      <c r="AY960" s="43"/>
      <c r="AZ960" s="43"/>
      <c r="BA960" s="43"/>
      <c r="BB960" s="43"/>
    </row>
    <row r="961" spans="2:54" ht="12.75" customHeight="1">
      <c r="B961" s="320"/>
      <c r="C961" s="134"/>
      <c r="D961" s="98"/>
      <c r="E961" s="504"/>
      <c r="F961" s="306"/>
      <c r="G961" s="265"/>
      <c r="H961" s="266"/>
      <c r="I961" s="297"/>
      <c r="J961" s="298"/>
      <c r="K961" s="298"/>
      <c r="L961" s="298"/>
      <c r="M961" s="41"/>
      <c r="N961" s="21"/>
      <c r="O961" s="21"/>
      <c r="P961" s="21"/>
      <c r="Q961" s="326"/>
      <c r="R961" s="40"/>
      <c r="S961" s="84"/>
      <c r="T961" s="40"/>
      <c r="U961" s="42"/>
      <c r="V961" s="78"/>
      <c r="Z961" s="181"/>
      <c r="AA961" s="183"/>
      <c r="AC961" s="26"/>
      <c r="AD961" s="279"/>
      <c r="AE961" s="26"/>
      <c r="AF961" s="26"/>
      <c r="AG961" s="278" t="str">
        <f t="shared" si="124"/>
        <v/>
      </c>
      <c r="AH961" s="278" t="str">
        <f t="shared" si="125"/>
        <v/>
      </c>
      <c r="AJ961" s="25"/>
      <c r="AK961" s="25"/>
      <c r="AL961" s="25"/>
      <c r="AM961" s="25"/>
      <c r="AN961" s="25"/>
      <c r="AO961" s="25"/>
      <c r="AP961" s="25"/>
      <c r="AQ961" s="25"/>
      <c r="AR961" s="25"/>
      <c r="AS961" s="25"/>
      <c r="AT961" s="25"/>
      <c r="AU961" s="25"/>
      <c r="AV961" s="43"/>
      <c r="AW961" s="43"/>
      <c r="AX961" s="114" t="s">
        <v>76</v>
      </c>
      <c r="AY961" s="43"/>
      <c r="AZ961" s="43"/>
      <c r="BA961" s="43"/>
      <c r="BB961" s="43"/>
    </row>
    <row r="962" spans="2:54" ht="12.75" customHeight="1">
      <c r="B962" s="320"/>
      <c r="C962" s="134"/>
      <c r="D962" s="98"/>
      <c r="E962" s="504"/>
      <c r="F962" s="306"/>
      <c r="G962" s="265"/>
      <c r="H962" s="266"/>
      <c r="I962" s="297"/>
      <c r="J962" s="298"/>
      <c r="K962" s="298"/>
      <c r="L962" s="298"/>
      <c r="M962" s="41"/>
      <c r="N962" s="21"/>
      <c r="O962" s="21"/>
      <c r="P962" s="21"/>
      <c r="Q962" s="326"/>
      <c r="R962" s="40"/>
      <c r="S962" s="84"/>
      <c r="T962" s="40"/>
      <c r="U962" s="42"/>
      <c r="V962" s="78"/>
      <c r="Z962" s="181"/>
      <c r="AA962" s="183"/>
      <c r="AC962" s="26"/>
      <c r="AD962" s="279"/>
      <c r="AE962" s="26"/>
      <c r="AF962" s="26"/>
      <c r="AG962" s="278" t="str">
        <f t="shared" si="124"/>
        <v/>
      </c>
      <c r="AH962" s="278" t="str">
        <f t="shared" si="125"/>
        <v/>
      </c>
      <c r="AJ962" s="25"/>
      <c r="AK962" s="25"/>
      <c r="AL962" s="25"/>
      <c r="AM962" s="25"/>
      <c r="AN962" s="25"/>
      <c r="AO962" s="25"/>
      <c r="AP962" s="25"/>
      <c r="AQ962" s="25"/>
      <c r="AR962" s="25"/>
      <c r="AS962" s="25"/>
      <c r="AT962" s="25"/>
      <c r="AU962" s="25"/>
      <c r="AV962" s="43"/>
      <c r="AW962" s="43"/>
      <c r="AX962" s="114" t="s">
        <v>76</v>
      </c>
      <c r="AY962" s="43"/>
      <c r="AZ962" s="43"/>
      <c r="BA962" s="43"/>
      <c r="BB962" s="43"/>
    </row>
    <row r="963" spans="2:54" ht="12.75" customHeight="1">
      <c r="B963" s="320"/>
      <c r="C963" s="134"/>
      <c r="D963" s="98"/>
      <c r="E963" s="504"/>
      <c r="F963" s="306"/>
      <c r="G963" s="265"/>
      <c r="H963" s="266"/>
      <c r="I963" s="297"/>
      <c r="J963" s="298"/>
      <c r="K963" s="298"/>
      <c r="L963" s="298"/>
      <c r="M963" s="41"/>
      <c r="N963" s="21"/>
      <c r="O963" s="21"/>
      <c r="P963" s="21"/>
      <c r="Q963" s="326"/>
      <c r="R963" s="40"/>
      <c r="S963" s="84"/>
      <c r="T963" s="40"/>
      <c r="U963" s="42"/>
      <c r="V963" s="78"/>
      <c r="Z963" s="181"/>
      <c r="AA963" s="183"/>
      <c r="AC963" s="26"/>
      <c r="AD963" s="279"/>
      <c r="AE963" s="26"/>
      <c r="AF963" s="26"/>
      <c r="AG963" s="278" t="str">
        <f t="shared" si="124"/>
        <v/>
      </c>
      <c r="AH963" s="278" t="str">
        <f t="shared" si="125"/>
        <v/>
      </c>
      <c r="AJ963" s="25"/>
      <c r="AK963" s="25"/>
      <c r="AL963" s="25"/>
      <c r="AM963" s="25"/>
      <c r="AN963" s="25"/>
      <c r="AO963" s="25"/>
      <c r="AP963" s="25"/>
      <c r="AQ963" s="25"/>
      <c r="AR963" s="25"/>
      <c r="AS963" s="25"/>
      <c r="AT963" s="25"/>
      <c r="AU963" s="25"/>
      <c r="AV963" s="43"/>
      <c r="AW963" s="43"/>
      <c r="AX963" s="114" t="s">
        <v>76</v>
      </c>
      <c r="AY963" s="43"/>
      <c r="AZ963" s="43"/>
      <c r="BA963" s="43"/>
      <c r="BB963" s="43"/>
    </row>
    <row r="964" spans="2:54" ht="12.75" customHeight="1">
      <c r="B964" s="320"/>
      <c r="C964" s="134"/>
      <c r="D964" s="98"/>
      <c r="E964" s="504"/>
      <c r="F964" s="306"/>
      <c r="G964" s="265"/>
      <c r="H964" s="266"/>
      <c r="I964" s="297"/>
      <c r="J964" s="298"/>
      <c r="K964" s="298"/>
      <c r="L964" s="298"/>
      <c r="M964" s="41"/>
      <c r="N964" s="21"/>
      <c r="O964" s="21"/>
      <c r="P964" s="21"/>
      <c r="Q964" s="326"/>
      <c r="R964" s="40"/>
      <c r="S964" s="84"/>
      <c r="T964" s="40"/>
      <c r="U964" s="42"/>
      <c r="V964" s="78"/>
      <c r="Z964" s="181"/>
      <c r="AA964" s="183"/>
      <c r="AC964" s="26"/>
      <c r="AD964" s="279"/>
      <c r="AE964" s="26"/>
      <c r="AF964" s="26"/>
      <c r="AG964" s="278" t="str">
        <f t="shared" si="124"/>
        <v/>
      </c>
      <c r="AH964" s="278" t="str">
        <f t="shared" si="125"/>
        <v/>
      </c>
      <c r="AJ964" s="25"/>
      <c r="AK964" s="25"/>
      <c r="AL964" s="25"/>
      <c r="AM964" s="25"/>
      <c r="AN964" s="25"/>
      <c r="AO964" s="25"/>
      <c r="AP964" s="25"/>
      <c r="AQ964" s="25"/>
      <c r="AR964" s="25"/>
      <c r="AS964" s="25"/>
      <c r="AT964" s="25"/>
      <c r="AU964" s="25"/>
      <c r="AV964" s="43"/>
      <c r="AW964" s="43"/>
      <c r="AX964" s="114" t="s">
        <v>76</v>
      </c>
      <c r="AY964" s="43"/>
      <c r="AZ964" s="43"/>
      <c r="BA964" s="43"/>
      <c r="BB964" s="43"/>
    </row>
    <row r="965" spans="2:54" ht="12.75" customHeight="1">
      <c r="B965" s="320"/>
      <c r="C965" s="134"/>
      <c r="D965" s="98"/>
      <c r="E965" s="504"/>
      <c r="F965" s="306"/>
      <c r="G965" s="265"/>
      <c r="H965" s="266"/>
      <c r="I965" s="297"/>
      <c r="J965" s="298"/>
      <c r="K965" s="298"/>
      <c r="L965" s="298"/>
      <c r="M965" s="41"/>
      <c r="N965" s="21"/>
      <c r="O965" s="21"/>
      <c r="P965" s="21"/>
      <c r="Q965" s="326"/>
      <c r="R965" s="40"/>
      <c r="S965" s="84"/>
      <c r="T965" s="40"/>
      <c r="U965" s="42"/>
      <c r="V965" s="78"/>
      <c r="Z965" s="181"/>
      <c r="AA965" s="183"/>
      <c r="AC965" s="26"/>
      <c r="AD965" s="279"/>
      <c r="AE965" s="26"/>
      <c r="AF965" s="26"/>
      <c r="AG965" s="278" t="str">
        <f t="shared" si="124"/>
        <v/>
      </c>
      <c r="AH965" s="278" t="str">
        <f t="shared" si="125"/>
        <v/>
      </c>
      <c r="AJ965" s="25"/>
      <c r="AK965" s="25"/>
      <c r="AL965" s="25"/>
      <c r="AM965" s="25"/>
      <c r="AN965" s="25"/>
      <c r="AO965" s="25"/>
      <c r="AP965" s="25"/>
      <c r="AQ965" s="25"/>
      <c r="AR965" s="25"/>
      <c r="AS965" s="25"/>
      <c r="AT965" s="25"/>
      <c r="AU965" s="25"/>
      <c r="AV965" s="43"/>
      <c r="AW965" s="43"/>
      <c r="AX965" s="114" t="s">
        <v>76</v>
      </c>
      <c r="AY965" s="43"/>
      <c r="AZ965" s="43"/>
      <c r="BA965" s="43"/>
      <c r="BB965" s="43"/>
    </row>
    <row r="966" spans="2:54" ht="12.75" customHeight="1">
      <c r="B966" s="320"/>
      <c r="C966" s="134"/>
      <c r="D966" s="98"/>
      <c r="E966" s="504"/>
      <c r="F966" s="306"/>
      <c r="G966" s="265"/>
      <c r="H966" s="266"/>
      <c r="I966" s="297"/>
      <c r="J966" s="298"/>
      <c r="K966" s="298"/>
      <c r="L966" s="298"/>
      <c r="M966" s="41"/>
      <c r="N966" s="21"/>
      <c r="O966" s="21"/>
      <c r="P966" s="21"/>
      <c r="Q966" s="326"/>
      <c r="R966" s="40"/>
      <c r="S966" s="84"/>
      <c r="T966" s="40"/>
      <c r="U966" s="42"/>
      <c r="V966" s="78"/>
      <c r="Z966" s="181"/>
      <c r="AA966" s="183"/>
      <c r="AC966" s="26"/>
      <c r="AD966" s="279"/>
      <c r="AE966" s="26"/>
      <c r="AF966" s="26"/>
      <c r="AG966" s="278" t="str">
        <f t="shared" ref="AG966:AG1029" si="126">IF(AE966="","",AE966*AltBounce)</f>
        <v/>
      </c>
      <c r="AH966" s="278" t="str">
        <f t="shared" ref="AH966:AH1029" si="127">IF(AA966="","",AE966*(1/AltBounce))</f>
        <v/>
      </c>
      <c r="AJ966" s="25"/>
      <c r="AK966" s="25"/>
      <c r="AL966" s="25"/>
      <c r="AM966" s="25"/>
      <c r="AN966" s="25"/>
      <c r="AO966" s="25"/>
      <c r="AP966" s="25"/>
      <c r="AQ966" s="25"/>
      <c r="AR966" s="25"/>
      <c r="AS966" s="25"/>
      <c r="AT966" s="25"/>
      <c r="AU966" s="25"/>
      <c r="AV966" s="43"/>
      <c r="AW966" s="43"/>
      <c r="AX966" s="114" t="s">
        <v>76</v>
      </c>
      <c r="AY966" s="43"/>
      <c r="AZ966" s="43"/>
      <c r="BA966" s="43"/>
      <c r="BB966" s="43"/>
    </row>
    <row r="967" spans="2:54" ht="12.75" customHeight="1">
      <c r="B967" s="320"/>
      <c r="C967" s="134"/>
      <c r="D967" s="98"/>
      <c r="E967" s="504"/>
      <c r="F967" s="306"/>
      <c r="G967" s="265"/>
      <c r="H967" s="266"/>
      <c r="I967" s="297"/>
      <c r="J967" s="298"/>
      <c r="K967" s="298"/>
      <c r="L967" s="298"/>
      <c r="M967" s="41"/>
      <c r="N967" s="21"/>
      <c r="O967" s="21"/>
      <c r="P967" s="21"/>
      <c r="Q967" s="326"/>
      <c r="R967" s="40"/>
      <c r="S967" s="84"/>
      <c r="T967" s="40"/>
      <c r="U967" s="42"/>
      <c r="V967" s="78"/>
      <c r="Z967" s="181"/>
      <c r="AA967" s="183"/>
      <c r="AC967" s="26"/>
      <c r="AD967" s="279"/>
      <c r="AE967" s="26"/>
      <c r="AF967" s="26"/>
      <c r="AG967" s="278" t="str">
        <f t="shared" si="126"/>
        <v/>
      </c>
      <c r="AH967" s="278" t="str">
        <f t="shared" si="127"/>
        <v/>
      </c>
      <c r="AJ967" s="25"/>
      <c r="AK967" s="25"/>
      <c r="AL967" s="25"/>
      <c r="AM967" s="25"/>
      <c r="AN967" s="25"/>
      <c r="AO967" s="25"/>
      <c r="AP967" s="25"/>
      <c r="AQ967" s="25"/>
      <c r="AR967" s="25"/>
      <c r="AS967" s="25"/>
      <c r="AT967" s="25"/>
      <c r="AU967" s="25"/>
      <c r="AV967" s="43"/>
      <c r="AW967" s="43"/>
      <c r="AX967" s="114" t="s">
        <v>76</v>
      </c>
      <c r="AY967" s="43"/>
      <c r="AZ967" s="43"/>
      <c r="BA967" s="43"/>
      <c r="BB967" s="43"/>
    </row>
    <row r="968" spans="2:54" ht="12.75" customHeight="1">
      <c r="B968" s="320"/>
      <c r="C968" s="134"/>
      <c r="D968" s="98"/>
      <c r="E968" s="504"/>
      <c r="F968" s="306"/>
      <c r="G968" s="265"/>
      <c r="H968" s="266"/>
      <c r="I968" s="297"/>
      <c r="J968" s="298"/>
      <c r="K968" s="298"/>
      <c r="L968" s="298"/>
      <c r="M968" s="41"/>
      <c r="N968" s="21"/>
      <c r="O968" s="21"/>
      <c r="P968" s="21"/>
      <c r="Q968" s="326"/>
      <c r="R968" s="40"/>
      <c r="S968" s="84"/>
      <c r="T968" s="40"/>
      <c r="U968" s="42"/>
      <c r="V968" s="78"/>
      <c r="Z968" s="181"/>
      <c r="AA968" s="183"/>
      <c r="AC968" s="26"/>
      <c r="AD968" s="279"/>
      <c r="AE968" s="26"/>
      <c r="AF968" s="26"/>
      <c r="AG968" s="278" t="str">
        <f t="shared" si="126"/>
        <v/>
      </c>
      <c r="AH968" s="278" t="str">
        <f t="shared" si="127"/>
        <v/>
      </c>
      <c r="AJ968" s="25"/>
      <c r="AK968" s="25"/>
      <c r="AL968" s="25"/>
      <c r="AM968" s="25"/>
      <c r="AN968" s="25"/>
      <c r="AO968" s="25"/>
      <c r="AP968" s="25"/>
      <c r="AQ968" s="25"/>
      <c r="AR968" s="25"/>
      <c r="AS968" s="25"/>
      <c r="AT968" s="25"/>
      <c r="AU968" s="25"/>
      <c r="AV968" s="43"/>
      <c r="AW968" s="43"/>
      <c r="AX968" s="114" t="s">
        <v>76</v>
      </c>
      <c r="AY968" s="43"/>
      <c r="AZ968" s="43"/>
      <c r="BA968" s="43"/>
      <c r="BB968" s="43"/>
    </row>
    <row r="969" spans="2:54" ht="12.75" customHeight="1">
      <c r="B969" s="320"/>
      <c r="C969" s="134"/>
      <c r="D969" s="98"/>
      <c r="E969" s="504"/>
      <c r="F969" s="306"/>
      <c r="G969" s="265"/>
      <c r="H969" s="266"/>
      <c r="I969" s="297"/>
      <c r="J969" s="298"/>
      <c r="K969" s="298"/>
      <c r="L969" s="298"/>
      <c r="M969" s="41"/>
      <c r="N969" s="21"/>
      <c r="O969" s="21"/>
      <c r="P969" s="21"/>
      <c r="Q969" s="326"/>
      <c r="R969" s="40"/>
      <c r="S969" s="84"/>
      <c r="T969" s="40"/>
      <c r="U969" s="42"/>
      <c r="V969" s="78"/>
      <c r="Z969" s="181"/>
      <c r="AA969" s="183"/>
      <c r="AC969" s="26"/>
      <c r="AD969" s="279"/>
      <c r="AE969" s="26"/>
      <c r="AF969" s="26"/>
      <c r="AG969" s="278" t="str">
        <f t="shared" si="126"/>
        <v/>
      </c>
      <c r="AH969" s="278" t="str">
        <f t="shared" si="127"/>
        <v/>
      </c>
      <c r="AJ969" s="25"/>
      <c r="AK969" s="25"/>
      <c r="AL969" s="25"/>
      <c r="AM969" s="25"/>
      <c r="AN969" s="25"/>
      <c r="AO969" s="25"/>
      <c r="AP969" s="25"/>
      <c r="AQ969" s="25"/>
      <c r="AR969" s="25"/>
      <c r="AS969" s="25"/>
      <c r="AT969" s="25"/>
      <c r="AU969" s="25"/>
      <c r="AV969" s="43"/>
      <c r="AW969" s="43"/>
      <c r="AX969" s="114" t="s">
        <v>76</v>
      </c>
      <c r="AY969" s="43"/>
      <c r="AZ969" s="43"/>
      <c r="BA969" s="43"/>
      <c r="BB969" s="43"/>
    </row>
    <row r="970" spans="2:54" ht="12.75" customHeight="1">
      <c r="B970" s="320"/>
      <c r="C970" s="134"/>
      <c r="D970" s="98"/>
      <c r="E970" s="504"/>
      <c r="F970" s="306"/>
      <c r="G970" s="265"/>
      <c r="H970" s="266"/>
      <c r="I970" s="297"/>
      <c r="J970" s="298"/>
      <c r="K970" s="298"/>
      <c r="L970" s="298"/>
      <c r="M970" s="41"/>
      <c r="N970" s="21"/>
      <c r="O970" s="21"/>
      <c r="P970" s="21"/>
      <c r="Q970" s="326"/>
      <c r="R970" s="40"/>
      <c r="S970" s="84"/>
      <c r="T970" s="40"/>
      <c r="U970" s="42"/>
      <c r="V970" s="78"/>
      <c r="Z970" s="181"/>
      <c r="AA970" s="183"/>
      <c r="AC970" s="26"/>
      <c r="AD970" s="279"/>
      <c r="AE970" s="26"/>
      <c r="AF970" s="26"/>
      <c r="AG970" s="278" t="str">
        <f t="shared" si="126"/>
        <v/>
      </c>
      <c r="AH970" s="278" t="str">
        <f t="shared" si="127"/>
        <v/>
      </c>
      <c r="AJ970" s="25"/>
      <c r="AK970" s="25"/>
      <c r="AL970" s="25"/>
      <c r="AM970" s="25"/>
      <c r="AN970" s="25"/>
      <c r="AO970" s="25"/>
      <c r="AP970" s="25"/>
      <c r="AQ970" s="25"/>
      <c r="AR970" s="25"/>
      <c r="AS970" s="25"/>
      <c r="AT970" s="25"/>
      <c r="AU970" s="25"/>
      <c r="AV970" s="43"/>
      <c r="AW970" s="43"/>
      <c r="AX970" s="114" t="s">
        <v>76</v>
      </c>
      <c r="AY970" s="43"/>
      <c r="AZ970" s="43"/>
      <c r="BA970" s="43"/>
      <c r="BB970" s="43"/>
    </row>
    <row r="971" spans="2:54" ht="12.75" customHeight="1">
      <c r="B971" s="320"/>
      <c r="C971" s="134"/>
      <c r="D971" s="98"/>
      <c r="E971" s="504"/>
      <c r="F971" s="306"/>
      <c r="G971" s="265"/>
      <c r="H971" s="266"/>
      <c r="I971" s="297"/>
      <c r="J971" s="298"/>
      <c r="K971" s="298"/>
      <c r="L971" s="298"/>
      <c r="M971" s="41"/>
      <c r="N971" s="21"/>
      <c r="O971" s="21"/>
      <c r="P971" s="21"/>
      <c r="Q971" s="326"/>
      <c r="R971" s="40"/>
      <c r="S971" s="84"/>
      <c r="T971" s="40"/>
      <c r="U971" s="42"/>
      <c r="V971" s="78"/>
      <c r="Z971" s="181"/>
      <c r="AA971" s="183"/>
      <c r="AC971" s="26"/>
      <c r="AD971" s="279"/>
      <c r="AE971" s="26"/>
      <c r="AF971" s="26"/>
      <c r="AG971" s="278" t="str">
        <f t="shared" si="126"/>
        <v/>
      </c>
      <c r="AH971" s="278" t="str">
        <f t="shared" si="127"/>
        <v/>
      </c>
      <c r="AJ971" s="25"/>
      <c r="AK971" s="25"/>
      <c r="AL971" s="25"/>
      <c r="AM971" s="25"/>
      <c r="AN971" s="25"/>
      <c r="AO971" s="25"/>
      <c r="AP971" s="25"/>
      <c r="AQ971" s="25"/>
      <c r="AR971" s="25"/>
      <c r="AS971" s="25"/>
      <c r="AT971" s="25"/>
      <c r="AU971" s="25"/>
      <c r="AV971" s="43"/>
      <c r="AW971" s="43"/>
      <c r="AX971" s="114" t="s">
        <v>76</v>
      </c>
      <c r="AY971" s="43"/>
      <c r="AZ971" s="43"/>
      <c r="BA971" s="43"/>
      <c r="BB971" s="43"/>
    </row>
    <row r="972" spans="2:54" ht="12.75" customHeight="1">
      <c r="B972" s="320"/>
      <c r="C972" s="134"/>
      <c r="D972" s="98"/>
      <c r="E972" s="504"/>
      <c r="F972" s="306"/>
      <c r="G972" s="265"/>
      <c r="H972" s="266"/>
      <c r="I972" s="297"/>
      <c r="J972" s="298"/>
      <c r="K972" s="298"/>
      <c r="L972" s="298"/>
      <c r="M972" s="41"/>
      <c r="N972" s="21"/>
      <c r="O972" s="21"/>
      <c r="P972" s="21"/>
      <c r="Q972" s="326"/>
      <c r="R972" s="40"/>
      <c r="S972" s="84"/>
      <c r="T972" s="40"/>
      <c r="U972" s="42"/>
      <c r="V972" s="78"/>
      <c r="Z972" s="181"/>
      <c r="AA972" s="183"/>
      <c r="AC972" s="26"/>
      <c r="AD972" s="279"/>
      <c r="AE972" s="26"/>
      <c r="AF972" s="26"/>
      <c r="AG972" s="278" t="str">
        <f t="shared" si="126"/>
        <v/>
      </c>
      <c r="AH972" s="278" t="str">
        <f t="shared" si="127"/>
        <v/>
      </c>
      <c r="AJ972" s="25"/>
      <c r="AK972" s="25"/>
      <c r="AL972" s="25"/>
      <c r="AM972" s="25"/>
      <c r="AN972" s="25"/>
      <c r="AO972" s="25"/>
      <c r="AP972" s="25"/>
      <c r="AQ972" s="25"/>
      <c r="AR972" s="25"/>
      <c r="AS972" s="25"/>
      <c r="AT972" s="25"/>
      <c r="AU972" s="25"/>
      <c r="AV972" s="43"/>
      <c r="AW972" s="43"/>
      <c r="AX972" s="114" t="s">
        <v>76</v>
      </c>
      <c r="AY972" s="43"/>
      <c r="AZ972" s="43"/>
      <c r="BA972" s="43"/>
      <c r="BB972" s="43"/>
    </row>
    <row r="973" spans="2:54" ht="12.75" customHeight="1">
      <c r="B973" s="320"/>
      <c r="C973" s="134"/>
      <c r="D973" s="98"/>
      <c r="E973" s="504"/>
      <c r="F973" s="306"/>
      <c r="G973" s="265"/>
      <c r="H973" s="266"/>
      <c r="I973" s="297"/>
      <c r="J973" s="298"/>
      <c r="K973" s="298"/>
      <c r="L973" s="298"/>
      <c r="M973" s="41"/>
      <c r="N973" s="21"/>
      <c r="O973" s="21"/>
      <c r="P973" s="21"/>
      <c r="Q973" s="326"/>
      <c r="R973" s="40"/>
      <c r="S973" s="84"/>
      <c r="T973" s="40"/>
      <c r="U973" s="42"/>
      <c r="V973" s="78"/>
      <c r="Z973" s="181"/>
      <c r="AA973" s="183"/>
      <c r="AC973" s="26"/>
      <c r="AD973" s="279"/>
      <c r="AE973" s="26"/>
      <c r="AF973" s="26"/>
      <c r="AG973" s="278" t="str">
        <f t="shared" si="126"/>
        <v/>
      </c>
      <c r="AH973" s="278" t="str">
        <f t="shared" si="127"/>
        <v/>
      </c>
      <c r="AJ973" s="25"/>
      <c r="AK973" s="25"/>
      <c r="AL973" s="25"/>
      <c r="AM973" s="25"/>
      <c r="AN973" s="25"/>
      <c r="AO973" s="25"/>
      <c r="AP973" s="25"/>
      <c r="AQ973" s="25"/>
      <c r="AR973" s="25"/>
      <c r="AS973" s="25"/>
      <c r="AT973" s="25"/>
      <c r="AU973" s="25"/>
      <c r="AV973" s="43"/>
      <c r="AW973" s="43"/>
      <c r="AX973" s="114" t="s">
        <v>76</v>
      </c>
      <c r="AY973" s="43"/>
      <c r="AZ973" s="43"/>
      <c r="BA973" s="43"/>
      <c r="BB973" s="43"/>
    </row>
    <row r="974" spans="2:54" ht="12.75" customHeight="1">
      <c r="B974" s="320"/>
      <c r="C974" s="134"/>
      <c r="D974" s="98"/>
      <c r="E974" s="504"/>
      <c r="F974" s="306"/>
      <c r="G974" s="265"/>
      <c r="H974" s="266"/>
      <c r="I974" s="297"/>
      <c r="J974" s="298"/>
      <c r="K974" s="298"/>
      <c r="L974" s="298"/>
      <c r="M974" s="41"/>
      <c r="N974" s="21"/>
      <c r="O974" s="21"/>
      <c r="P974" s="21"/>
      <c r="Q974" s="326"/>
      <c r="R974" s="40"/>
      <c r="S974" s="84"/>
      <c r="T974" s="40"/>
      <c r="U974" s="42"/>
      <c r="V974" s="78"/>
      <c r="Z974" s="181"/>
      <c r="AA974" s="183"/>
      <c r="AC974" s="26"/>
      <c r="AD974" s="279"/>
      <c r="AE974" s="26"/>
      <c r="AF974" s="26"/>
      <c r="AG974" s="278" t="str">
        <f t="shared" si="126"/>
        <v/>
      </c>
      <c r="AH974" s="278" t="str">
        <f t="shared" si="127"/>
        <v/>
      </c>
      <c r="AJ974" s="25"/>
      <c r="AK974" s="25"/>
      <c r="AL974" s="25"/>
      <c r="AM974" s="25"/>
      <c r="AN974" s="25"/>
      <c r="AO974" s="25"/>
      <c r="AP974" s="25"/>
      <c r="AQ974" s="25"/>
      <c r="AR974" s="25"/>
      <c r="AS974" s="25"/>
      <c r="AT974" s="25"/>
      <c r="AU974" s="25"/>
      <c r="AV974" s="43"/>
      <c r="AW974" s="43"/>
      <c r="AX974" s="114" t="s">
        <v>76</v>
      </c>
      <c r="AY974" s="43"/>
      <c r="AZ974" s="43"/>
      <c r="BA974" s="43"/>
      <c r="BB974" s="43"/>
    </row>
    <row r="975" spans="2:54" ht="12.75" customHeight="1">
      <c r="B975" s="320"/>
      <c r="C975" s="134"/>
      <c r="D975" s="98"/>
      <c r="E975" s="504"/>
      <c r="F975" s="306"/>
      <c r="G975" s="265"/>
      <c r="H975" s="266"/>
      <c r="I975" s="297"/>
      <c r="J975" s="298"/>
      <c r="K975" s="298"/>
      <c r="L975" s="298"/>
      <c r="M975" s="41"/>
      <c r="N975" s="21"/>
      <c r="O975" s="21"/>
      <c r="P975" s="21"/>
      <c r="Q975" s="326"/>
      <c r="R975" s="40"/>
      <c r="S975" s="84"/>
      <c r="T975" s="40"/>
      <c r="U975" s="42"/>
      <c r="V975" s="78"/>
      <c r="Z975" s="181"/>
      <c r="AA975" s="183"/>
      <c r="AC975" s="26"/>
      <c r="AD975" s="279"/>
      <c r="AE975" s="26"/>
      <c r="AF975" s="26"/>
      <c r="AG975" s="278" t="str">
        <f t="shared" si="126"/>
        <v/>
      </c>
      <c r="AH975" s="278" t="str">
        <f t="shared" si="127"/>
        <v/>
      </c>
      <c r="AJ975" s="25"/>
      <c r="AK975" s="25"/>
      <c r="AL975" s="25"/>
      <c r="AM975" s="25"/>
      <c r="AN975" s="25"/>
      <c r="AO975" s="25"/>
      <c r="AP975" s="25"/>
      <c r="AQ975" s="25"/>
      <c r="AR975" s="25"/>
      <c r="AS975" s="25"/>
      <c r="AT975" s="25"/>
      <c r="AU975" s="25"/>
      <c r="AV975" s="43"/>
      <c r="AW975" s="43"/>
      <c r="AX975" s="114" t="s">
        <v>76</v>
      </c>
      <c r="AY975" s="43"/>
      <c r="AZ975" s="43"/>
      <c r="BA975" s="43"/>
      <c r="BB975" s="43"/>
    </row>
    <row r="976" spans="2:54" ht="12.75" customHeight="1">
      <c r="B976" s="320"/>
      <c r="C976" s="134"/>
      <c r="D976" s="98"/>
      <c r="E976" s="504"/>
      <c r="F976" s="306"/>
      <c r="G976" s="265"/>
      <c r="H976" s="266"/>
      <c r="I976" s="297"/>
      <c r="J976" s="298"/>
      <c r="K976" s="298"/>
      <c r="L976" s="298"/>
      <c r="M976" s="41"/>
      <c r="N976" s="21"/>
      <c r="O976" s="21"/>
      <c r="P976" s="21"/>
      <c r="Q976" s="326"/>
      <c r="R976" s="40"/>
      <c r="S976" s="84"/>
      <c r="T976" s="40"/>
      <c r="U976" s="42"/>
      <c r="V976" s="78"/>
      <c r="Z976" s="181"/>
      <c r="AA976" s="183"/>
      <c r="AC976" s="26"/>
      <c r="AD976" s="279"/>
      <c r="AE976" s="26"/>
      <c r="AF976" s="26"/>
      <c r="AG976" s="278" t="str">
        <f t="shared" si="126"/>
        <v/>
      </c>
      <c r="AH976" s="278" t="str">
        <f t="shared" si="127"/>
        <v/>
      </c>
      <c r="AJ976" s="25"/>
      <c r="AK976" s="25"/>
      <c r="AL976" s="25"/>
      <c r="AM976" s="25"/>
      <c r="AN976" s="25"/>
      <c r="AO976" s="25"/>
      <c r="AP976" s="25"/>
      <c r="AQ976" s="25"/>
      <c r="AR976" s="25"/>
      <c r="AS976" s="25"/>
      <c r="AT976" s="25"/>
      <c r="AU976" s="25"/>
      <c r="AV976" s="43"/>
      <c r="AW976" s="43"/>
      <c r="AX976" s="114" t="s">
        <v>76</v>
      </c>
      <c r="AY976" s="43"/>
      <c r="AZ976" s="43"/>
      <c r="BA976" s="43"/>
      <c r="BB976" s="43"/>
    </row>
    <row r="977" spans="2:54" ht="12.75" customHeight="1">
      <c r="B977" s="320"/>
      <c r="C977" s="134"/>
      <c r="D977" s="98"/>
      <c r="E977" s="504"/>
      <c r="F977" s="306"/>
      <c r="G977" s="265"/>
      <c r="H977" s="266"/>
      <c r="I977" s="297"/>
      <c r="J977" s="298"/>
      <c r="K977" s="298"/>
      <c r="L977" s="298"/>
      <c r="M977" s="41"/>
      <c r="N977" s="21"/>
      <c r="O977" s="21"/>
      <c r="P977" s="21"/>
      <c r="Q977" s="326"/>
      <c r="R977" s="40"/>
      <c r="S977" s="84"/>
      <c r="T977" s="40"/>
      <c r="U977" s="42"/>
      <c r="V977" s="78"/>
      <c r="Z977" s="181"/>
      <c r="AA977" s="183"/>
      <c r="AC977" s="26"/>
      <c r="AD977" s="279"/>
      <c r="AE977" s="26"/>
      <c r="AF977" s="26"/>
      <c r="AG977" s="278" t="str">
        <f t="shared" si="126"/>
        <v/>
      </c>
      <c r="AH977" s="278" t="str">
        <f t="shared" si="127"/>
        <v/>
      </c>
      <c r="AJ977" s="25"/>
      <c r="AK977" s="25"/>
      <c r="AL977" s="25"/>
      <c r="AM977" s="25"/>
      <c r="AN977" s="25"/>
      <c r="AO977" s="25"/>
      <c r="AP977" s="25"/>
      <c r="AQ977" s="25"/>
      <c r="AR977" s="25"/>
      <c r="AS977" s="25"/>
      <c r="AT977" s="25"/>
      <c r="AU977" s="25"/>
      <c r="AV977" s="43"/>
      <c r="AW977" s="43"/>
      <c r="AX977" s="114" t="s">
        <v>76</v>
      </c>
      <c r="AY977" s="43"/>
      <c r="AZ977" s="43"/>
      <c r="BA977" s="43"/>
      <c r="BB977" s="43"/>
    </row>
    <row r="978" spans="2:54" ht="12.75" customHeight="1">
      <c r="B978" s="320"/>
      <c r="C978" s="134"/>
      <c r="D978" s="98"/>
      <c r="E978" s="504"/>
      <c r="F978" s="306"/>
      <c r="G978" s="265"/>
      <c r="H978" s="266"/>
      <c r="I978" s="297"/>
      <c r="J978" s="298"/>
      <c r="K978" s="298"/>
      <c r="L978" s="298"/>
      <c r="M978" s="41"/>
      <c r="N978" s="21"/>
      <c r="O978" s="21"/>
      <c r="P978" s="21"/>
      <c r="Q978" s="326"/>
      <c r="R978" s="40"/>
      <c r="S978" s="84"/>
      <c r="T978" s="40"/>
      <c r="U978" s="42"/>
      <c r="V978" s="78"/>
      <c r="Z978" s="181"/>
      <c r="AA978" s="183"/>
      <c r="AC978" s="26"/>
      <c r="AD978" s="279"/>
      <c r="AE978" s="26"/>
      <c r="AF978" s="26"/>
      <c r="AG978" s="278" t="str">
        <f t="shared" si="126"/>
        <v/>
      </c>
      <c r="AH978" s="278" t="str">
        <f t="shared" si="127"/>
        <v/>
      </c>
      <c r="AJ978" s="25"/>
      <c r="AK978" s="25"/>
      <c r="AL978" s="25"/>
      <c r="AM978" s="25"/>
      <c r="AN978" s="25"/>
      <c r="AO978" s="25"/>
      <c r="AP978" s="25"/>
      <c r="AQ978" s="25"/>
      <c r="AR978" s="25"/>
      <c r="AS978" s="25"/>
      <c r="AT978" s="25"/>
      <c r="AU978" s="25"/>
      <c r="AV978" s="43"/>
      <c r="AW978" s="43"/>
      <c r="AX978" s="114" t="s">
        <v>76</v>
      </c>
      <c r="AY978" s="43"/>
      <c r="AZ978" s="43"/>
      <c r="BA978" s="43"/>
      <c r="BB978" s="43"/>
    </row>
    <row r="979" spans="2:54" ht="12.75" customHeight="1">
      <c r="B979" s="320"/>
      <c r="C979" s="134"/>
      <c r="D979" s="98"/>
      <c r="E979" s="504"/>
      <c r="F979" s="306"/>
      <c r="G979" s="265"/>
      <c r="H979" s="266"/>
      <c r="I979" s="297"/>
      <c r="J979" s="298"/>
      <c r="K979" s="298"/>
      <c r="L979" s="298"/>
      <c r="M979" s="41"/>
      <c r="N979" s="21"/>
      <c r="O979" s="21"/>
      <c r="P979" s="21"/>
      <c r="Q979" s="326"/>
      <c r="R979" s="40"/>
      <c r="S979" s="84"/>
      <c r="T979" s="40"/>
      <c r="U979" s="42"/>
      <c r="V979" s="78"/>
      <c r="Z979" s="181"/>
      <c r="AA979" s="183"/>
      <c r="AC979" s="26"/>
      <c r="AD979" s="279"/>
      <c r="AE979" s="26"/>
      <c r="AF979" s="26"/>
      <c r="AG979" s="278" t="str">
        <f t="shared" si="126"/>
        <v/>
      </c>
      <c r="AH979" s="278" t="str">
        <f t="shared" si="127"/>
        <v/>
      </c>
      <c r="AJ979" s="25"/>
      <c r="AK979" s="25"/>
      <c r="AL979" s="25"/>
      <c r="AM979" s="25"/>
      <c r="AN979" s="25"/>
      <c r="AO979" s="25"/>
      <c r="AP979" s="25"/>
      <c r="AQ979" s="25"/>
      <c r="AR979" s="25"/>
      <c r="AS979" s="25"/>
      <c r="AT979" s="25"/>
      <c r="AU979" s="25"/>
      <c r="AV979" s="43"/>
      <c r="AW979" s="43"/>
      <c r="AX979" s="114" t="s">
        <v>76</v>
      </c>
      <c r="AY979" s="43"/>
      <c r="AZ979" s="43"/>
      <c r="BA979" s="43"/>
      <c r="BB979" s="43"/>
    </row>
    <row r="980" spans="2:54" ht="12.75" customHeight="1">
      <c r="B980" s="320"/>
      <c r="C980" s="134"/>
      <c r="D980" s="98"/>
      <c r="E980" s="504"/>
      <c r="F980" s="306"/>
      <c r="G980" s="265"/>
      <c r="H980" s="266"/>
      <c r="I980" s="297"/>
      <c r="J980" s="298"/>
      <c r="K980" s="298"/>
      <c r="L980" s="298"/>
      <c r="M980" s="41"/>
      <c r="N980" s="21"/>
      <c r="O980" s="21"/>
      <c r="P980" s="21"/>
      <c r="Q980" s="326"/>
      <c r="R980" s="40"/>
      <c r="S980" s="84"/>
      <c r="T980" s="40"/>
      <c r="U980" s="42"/>
      <c r="V980" s="78"/>
      <c r="Z980" s="181"/>
      <c r="AA980" s="183"/>
      <c r="AC980" s="26"/>
      <c r="AD980" s="279"/>
      <c r="AE980" s="26"/>
      <c r="AF980" s="26"/>
      <c r="AG980" s="278" t="str">
        <f t="shared" si="126"/>
        <v/>
      </c>
      <c r="AH980" s="278" t="str">
        <f t="shared" si="127"/>
        <v/>
      </c>
      <c r="AJ980" s="25"/>
      <c r="AK980" s="25"/>
      <c r="AL980" s="25"/>
      <c r="AM980" s="25"/>
      <c r="AN980" s="25"/>
      <c r="AO980" s="25"/>
      <c r="AP980" s="25"/>
      <c r="AQ980" s="25"/>
      <c r="AR980" s="25"/>
      <c r="AS980" s="25"/>
      <c r="AT980" s="25"/>
      <c r="AU980" s="25"/>
      <c r="AV980" s="43"/>
      <c r="AW980" s="43"/>
      <c r="AX980" s="114" t="s">
        <v>76</v>
      </c>
      <c r="AY980" s="43"/>
      <c r="AZ980" s="43"/>
      <c r="BA980" s="43"/>
      <c r="BB980" s="43"/>
    </row>
    <row r="981" spans="2:54" ht="12.75" customHeight="1">
      <c r="B981" s="320"/>
      <c r="C981" s="134"/>
      <c r="D981" s="98"/>
      <c r="E981" s="504"/>
      <c r="F981" s="306"/>
      <c r="G981" s="265"/>
      <c r="H981" s="266"/>
      <c r="I981" s="297"/>
      <c r="J981" s="298"/>
      <c r="K981" s="298"/>
      <c r="L981" s="298"/>
      <c r="M981" s="41"/>
      <c r="N981" s="21"/>
      <c r="O981" s="21"/>
      <c r="P981" s="21"/>
      <c r="Q981" s="326"/>
      <c r="R981" s="40"/>
      <c r="S981" s="84"/>
      <c r="T981" s="40"/>
      <c r="U981" s="42"/>
      <c r="V981" s="78"/>
      <c r="Z981" s="181"/>
      <c r="AA981" s="183"/>
      <c r="AC981" s="26"/>
      <c r="AD981" s="279"/>
      <c r="AE981" s="26"/>
      <c r="AF981" s="26"/>
      <c r="AG981" s="278" t="str">
        <f t="shared" si="126"/>
        <v/>
      </c>
      <c r="AH981" s="278" t="str">
        <f t="shared" si="127"/>
        <v/>
      </c>
      <c r="AJ981" s="25"/>
      <c r="AK981" s="25"/>
      <c r="AL981" s="25"/>
      <c r="AM981" s="25"/>
      <c r="AN981" s="25"/>
      <c r="AO981" s="25"/>
      <c r="AP981" s="25"/>
      <c r="AQ981" s="25"/>
      <c r="AR981" s="25"/>
      <c r="AS981" s="25"/>
      <c r="AT981" s="25"/>
      <c r="AU981" s="25"/>
      <c r="AV981" s="43"/>
      <c r="AW981" s="43"/>
      <c r="AX981" s="114" t="s">
        <v>76</v>
      </c>
      <c r="AY981" s="43"/>
      <c r="AZ981" s="43"/>
      <c r="BA981" s="43"/>
      <c r="BB981" s="43"/>
    </row>
    <row r="982" spans="2:54" ht="12.75" customHeight="1">
      <c r="B982" s="320"/>
      <c r="C982" s="134"/>
      <c r="D982" s="98"/>
      <c r="E982" s="504"/>
      <c r="F982" s="306"/>
      <c r="G982" s="265"/>
      <c r="H982" s="266"/>
      <c r="I982" s="297"/>
      <c r="J982" s="298"/>
      <c r="K982" s="298"/>
      <c r="L982" s="298"/>
      <c r="M982" s="41"/>
      <c r="N982" s="21"/>
      <c r="O982" s="21"/>
      <c r="P982" s="21"/>
      <c r="Q982" s="326"/>
      <c r="R982" s="40"/>
      <c r="S982" s="84"/>
      <c r="T982" s="40"/>
      <c r="U982" s="42"/>
      <c r="V982" s="78"/>
      <c r="Z982" s="181"/>
      <c r="AA982" s="183"/>
      <c r="AC982" s="26"/>
      <c r="AD982" s="279"/>
      <c r="AE982" s="26"/>
      <c r="AF982" s="26"/>
      <c r="AG982" s="278" t="str">
        <f t="shared" si="126"/>
        <v/>
      </c>
      <c r="AH982" s="278" t="str">
        <f t="shared" si="127"/>
        <v/>
      </c>
      <c r="AJ982" s="25"/>
      <c r="AK982" s="25"/>
      <c r="AL982" s="25"/>
      <c r="AM982" s="25"/>
      <c r="AN982" s="25"/>
      <c r="AO982" s="25"/>
      <c r="AP982" s="25"/>
      <c r="AQ982" s="25"/>
      <c r="AR982" s="25"/>
      <c r="AS982" s="25"/>
      <c r="AT982" s="25"/>
      <c r="AU982" s="25"/>
      <c r="AV982" s="43"/>
      <c r="AW982" s="43"/>
      <c r="AX982" s="114" t="s">
        <v>76</v>
      </c>
      <c r="AY982" s="43"/>
      <c r="AZ982" s="43"/>
      <c r="BA982" s="43"/>
      <c r="BB982" s="43"/>
    </row>
    <row r="983" spans="2:54" ht="12.75" customHeight="1">
      <c r="B983" s="320"/>
      <c r="C983" s="134"/>
      <c r="D983" s="98"/>
      <c r="E983" s="504"/>
      <c r="F983" s="306"/>
      <c r="G983" s="265"/>
      <c r="H983" s="266"/>
      <c r="I983" s="297"/>
      <c r="J983" s="298"/>
      <c r="K983" s="298"/>
      <c r="L983" s="298"/>
      <c r="M983" s="41"/>
      <c r="N983" s="21"/>
      <c r="O983" s="21"/>
      <c r="P983" s="21"/>
      <c r="Q983" s="326"/>
      <c r="R983" s="40"/>
      <c r="S983" s="84"/>
      <c r="T983" s="40"/>
      <c r="U983" s="42"/>
      <c r="V983" s="78"/>
      <c r="Z983" s="181"/>
      <c r="AA983" s="183"/>
      <c r="AC983" s="26"/>
      <c r="AD983" s="279"/>
      <c r="AE983" s="26"/>
      <c r="AF983" s="26"/>
      <c r="AG983" s="278" t="str">
        <f t="shared" si="126"/>
        <v/>
      </c>
      <c r="AH983" s="278" t="str">
        <f t="shared" si="127"/>
        <v/>
      </c>
      <c r="AJ983" s="25"/>
      <c r="AK983" s="25"/>
      <c r="AL983" s="25"/>
      <c r="AM983" s="25"/>
      <c r="AN983" s="25"/>
      <c r="AO983" s="25"/>
      <c r="AP983" s="25"/>
      <c r="AQ983" s="25"/>
      <c r="AR983" s="25"/>
      <c r="AS983" s="25"/>
      <c r="AT983" s="25"/>
      <c r="AU983" s="25"/>
      <c r="AV983" s="43"/>
      <c r="AW983" s="43"/>
      <c r="AX983" s="114" t="s">
        <v>76</v>
      </c>
      <c r="AY983" s="43"/>
      <c r="AZ983" s="43"/>
      <c r="BA983" s="43"/>
      <c r="BB983" s="43"/>
    </row>
    <row r="984" spans="2:54" ht="12.75" customHeight="1">
      <c r="B984" s="320"/>
      <c r="C984" s="134"/>
      <c r="D984" s="98"/>
      <c r="E984" s="504"/>
      <c r="F984" s="306"/>
      <c r="G984" s="265"/>
      <c r="H984" s="266"/>
      <c r="I984" s="297"/>
      <c r="J984" s="298"/>
      <c r="K984" s="298"/>
      <c r="L984" s="298"/>
      <c r="M984" s="41"/>
      <c r="N984" s="21"/>
      <c r="O984" s="21"/>
      <c r="P984" s="21"/>
      <c r="Q984" s="326"/>
      <c r="R984" s="40"/>
      <c r="S984" s="84"/>
      <c r="T984" s="40"/>
      <c r="U984" s="42"/>
      <c r="V984" s="78"/>
      <c r="Z984" s="181"/>
      <c r="AA984" s="183"/>
      <c r="AC984" s="26"/>
      <c r="AD984" s="279"/>
      <c r="AE984" s="26"/>
      <c r="AF984" s="26"/>
      <c r="AG984" s="278" t="str">
        <f t="shared" si="126"/>
        <v/>
      </c>
      <c r="AH984" s="278" t="str">
        <f t="shared" si="127"/>
        <v/>
      </c>
      <c r="AJ984" s="25"/>
      <c r="AK984" s="25"/>
      <c r="AL984" s="25"/>
      <c r="AM984" s="25"/>
      <c r="AN984" s="25"/>
      <c r="AO984" s="25"/>
      <c r="AP984" s="25"/>
      <c r="AQ984" s="25"/>
      <c r="AR984" s="25"/>
      <c r="AS984" s="25"/>
      <c r="AT984" s="25"/>
      <c r="AU984" s="25"/>
      <c r="AV984" s="43"/>
      <c r="AW984" s="43"/>
      <c r="AX984" s="114" t="s">
        <v>76</v>
      </c>
      <c r="AY984" s="43"/>
      <c r="AZ984" s="43"/>
      <c r="BA984" s="43"/>
      <c r="BB984" s="43"/>
    </row>
    <row r="985" spans="2:54" ht="12.75" customHeight="1">
      <c r="B985" s="320"/>
      <c r="C985" s="134"/>
      <c r="D985" s="98"/>
      <c r="E985" s="504"/>
      <c r="F985" s="306"/>
      <c r="G985" s="265"/>
      <c r="H985" s="266"/>
      <c r="I985" s="297"/>
      <c r="J985" s="298"/>
      <c r="K985" s="298"/>
      <c r="L985" s="298"/>
      <c r="M985" s="41"/>
      <c r="N985" s="21"/>
      <c r="O985" s="21"/>
      <c r="P985" s="21"/>
      <c r="Q985" s="326"/>
      <c r="R985" s="40"/>
      <c r="S985" s="84"/>
      <c r="T985" s="40"/>
      <c r="U985" s="42"/>
      <c r="V985" s="78"/>
      <c r="Z985" s="181"/>
      <c r="AA985" s="183"/>
      <c r="AC985" s="26"/>
      <c r="AD985" s="279"/>
      <c r="AE985" s="26"/>
      <c r="AF985" s="26"/>
      <c r="AG985" s="278" t="str">
        <f t="shared" si="126"/>
        <v/>
      </c>
      <c r="AH985" s="278" t="str">
        <f t="shared" si="127"/>
        <v/>
      </c>
      <c r="AJ985" s="25"/>
      <c r="AK985" s="25"/>
      <c r="AL985" s="25"/>
      <c r="AM985" s="25"/>
      <c r="AN985" s="25"/>
      <c r="AO985" s="25"/>
      <c r="AP985" s="25"/>
      <c r="AQ985" s="25"/>
      <c r="AR985" s="25"/>
      <c r="AS985" s="25"/>
      <c r="AT985" s="25"/>
      <c r="AU985" s="25"/>
      <c r="AV985" s="43"/>
      <c r="AW985" s="43"/>
      <c r="AX985" s="114" t="s">
        <v>76</v>
      </c>
      <c r="AY985" s="43"/>
      <c r="AZ985" s="43"/>
      <c r="BA985" s="43"/>
      <c r="BB985" s="43"/>
    </row>
    <row r="986" spans="2:54" ht="12.75" customHeight="1">
      <c r="B986" s="320"/>
      <c r="C986" s="134"/>
      <c r="D986" s="98"/>
      <c r="E986" s="504"/>
      <c r="F986" s="306"/>
      <c r="G986" s="265"/>
      <c r="H986" s="266"/>
      <c r="I986" s="297"/>
      <c r="J986" s="298"/>
      <c r="K986" s="298"/>
      <c r="L986" s="298"/>
      <c r="M986" s="41"/>
      <c r="N986" s="21"/>
      <c r="O986" s="21"/>
      <c r="P986" s="21"/>
      <c r="Q986" s="326"/>
      <c r="R986" s="40"/>
      <c r="S986" s="84"/>
      <c r="T986" s="40"/>
      <c r="U986" s="42"/>
      <c r="V986" s="78"/>
      <c r="Z986" s="181"/>
      <c r="AA986" s="183"/>
      <c r="AC986" s="26"/>
      <c r="AD986" s="279"/>
      <c r="AE986" s="26"/>
      <c r="AF986" s="26"/>
      <c r="AG986" s="278" t="str">
        <f t="shared" si="126"/>
        <v/>
      </c>
      <c r="AH986" s="278" t="str">
        <f t="shared" si="127"/>
        <v/>
      </c>
      <c r="AJ986" s="25"/>
      <c r="AK986" s="25"/>
      <c r="AL986" s="25"/>
      <c r="AM986" s="25"/>
      <c r="AN986" s="25"/>
      <c r="AO986" s="25"/>
      <c r="AP986" s="25"/>
      <c r="AQ986" s="25"/>
      <c r="AR986" s="25"/>
      <c r="AS986" s="25"/>
      <c r="AT986" s="25"/>
      <c r="AU986" s="25"/>
      <c r="AV986" s="43"/>
      <c r="AW986" s="43"/>
      <c r="AX986" s="114" t="s">
        <v>76</v>
      </c>
      <c r="AY986" s="43"/>
      <c r="AZ986" s="43"/>
      <c r="BA986" s="43"/>
      <c r="BB986" s="43"/>
    </row>
    <row r="987" spans="2:54" ht="12.75" customHeight="1">
      <c r="B987" s="320"/>
      <c r="C987" s="134"/>
      <c r="D987" s="98"/>
      <c r="E987" s="504"/>
      <c r="F987" s="306"/>
      <c r="G987" s="265"/>
      <c r="H987" s="266"/>
      <c r="I987" s="297"/>
      <c r="J987" s="298"/>
      <c r="K987" s="298"/>
      <c r="L987" s="298"/>
      <c r="M987" s="41"/>
      <c r="N987" s="21"/>
      <c r="O987" s="21"/>
      <c r="P987" s="21"/>
      <c r="Q987" s="326"/>
      <c r="R987" s="40"/>
      <c r="S987" s="84"/>
      <c r="T987" s="40"/>
      <c r="U987" s="42"/>
      <c r="V987" s="78"/>
      <c r="Z987" s="181"/>
      <c r="AA987" s="183"/>
      <c r="AC987" s="26"/>
      <c r="AD987" s="279"/>
      <c r="AE987" s="26"/>
      <c r="AF987" s="26"/>
      <c r="AG987" s="278" t="str">
        <f t="shared" si="126"/>
        <v/>
      </c>
      <c r="AH987" s="278" t="str">
        <f t="shared" si="127"/>
        <v/>
      </c>
      <c r="AJ987" s="25"/>
      <c r="AK987" s="25"/>
      <c r="AL987" s="25"/>
      <c r="AM987" s="25"/>
      <c r="AN987" s="25"/>
      <c r="AO987" s="25"/>
      <c r="AP987" s="25"/>
      <c r="AQ987" s="25"/>
      <c r="AR987" s="25"/>
      <c r="AS987" s="25"/>
      <c r="AT987" s="25"/>
      <c r="AU987" s="25"/>
      <c r="AV987" s="43"/>
      <c r="AW987" s="43"/>
      <c r="AX987" s="114" t="s">
        <v>76</v>
      </c>
      <c r="AY987" s="43"/>
      <c r="AZ987" s="43"/>
      <c r="BA987" s="43"/>
      <c r="BB987" s="43"/>
    </row>
    <row r="988" spans="2:54" ht="12.75" customHeight="1">
      <c r="B988" s="320"/>
      <c r="C988" s="134"/>
      <c r="D988" s="98"/>
      <c r="E988" s="504"/>
      <c r="F988" s="306"/>
      <c r="G988" s="265"/>
      <c r="H988" s="266"/>
      <c r="I988" s="297"/>
      <c r="J988" s="298"/>
      <c r="K988" s="298"/>
      <c r="L988" s="298"/>
      <c r="M988" s="41"/>
      <c r="N988" s="21"/>
      <c r="O988" s="21"/>
      <c r="P988" s="21"/>
      <c r="Q988" s="326"/>
      <c r="R988" s="40"/>
      <c r="S988" s="84"/>
      <c r="T988" s="40"/>
      <c r="U988" s="42"/>
      <c r="V988" s="78"/>
      <c r="Z988" s="181"/>
      <c r="AA988" s="183"/>
      <c r="AC988" s="26"/>
      <c r="AD988" s="279"/>
      <c r="AE988" s="26"/>
      <c r="AF988" s="26"/>
      <c r="AG988" s="278" t="str">
        <f t="shared" si="126"/>
        <v/>
      </c>
      <c r="AH988" s="278" t="str">
        <f t="shared" si="127"/>
        <v/>
      </c>
      <c r="AJ988" s="25"/>
      <c r="AK988" s="25"/>
      <c r="AL988" s="25"/>
      <c r="AM988" s="25"/>
      <c r="AN988" s="25"/>
      <c r="AO988" s="25"/>
      <c r="AP988" s="25"/>
      <c r="AQ988" s="25"/>
      <c r="AR988" s="25"/>
      <c r="AS988" s="25"/>
      <c r="AT988" s="25"/>
      <c r="AU988" s="25"/>
      <c r="AV988" s="43"/>
      <c r="AW988" s="43"/>
      <c r="AX988" s="114" t="s">
        <v>76</v>
      </c>
      <c r="AY988" s="43"/>
      <c r="AZ988" s="43"/>
      <c r="BA988" s="43"/>
      <c r="BB988" s="43"/>
    </row>
    <row r="989" spans="2:54" ht="12.75" customHeight="1">
      <c r="B989" s="320"/>
      <c r="C989" s="134"/>
      <c r="D989" s="98"/>
      <c r="E989" s="504"/>
      <c r="F989" s="306"/>
      <c r="G989" s="265"/>
      <c r="H989" s="266"/>
      <c r="I989" s="297"/>
      <c r="J989" s="298"/>
      <c r="K989" s="298"/>
      <c r="L989" s="298"/>
      <c r="M989" s="41"/>
      <c r="N989" s="21"/>
      <c r="O989" s="21"/>
      <c r="P989" s="21"/>
      <c r="Q989" s="326"/>
      <c r="R989" s="40"/>
      <c r="S989" s="84"/>
      <c r="T989" s="40"/>
      <c r="U989" s="42"/>
      <c r="V989" s="78"/>
      <c r="Z989" s="181"/>
      <c r="AA989" s="183"/>
      <c r="AC989" s="26"/>
      <c r="AD989" s="279"/>
      <c r="AE989" s="26"/>
      <c r="AF989" s="26"/>
      <c r="AG989" s="278" t="str">
        <f t="shared" si="126"/>
        <v/>
      </c>
      <c r="AH989" s="278" t="str">
        <f t="shared" si="127"/>
        <v/>
      </c>
      <c r="AJ989" s="25"/>
      <c r="AK989" s="25"/>
      <c r="AL989" s="25"/>
      <c r="AM989" s="25"/>
      <c r="AN989" s="25"/>
      <c r="AO989" s="25"/>
      <c r="AP989" s="25"/>
      <c r="AQ989" s="25"/>
      <c r="AR989" s="25"/>
      <c r="AS989" s="25"/>
      <c r="AT989" s="25"/>
      <c r="AU989" s="25"/>
      <c r="AV989" s="43"/>
      <c r="AW989" s="43"/>
      <c r="AX989" s="114" t="s">
        <v>76</v>
      </c>
      <c r="AY989" s="43"/>
      <c r="AZ989" s="43"/>
      <c r="BA989" s="43"/>
      <c r="BB989" s="43"/>
    </row>
    <row r="990" spans="2:54" ht="12.75" customHeight="1">
      <c r="B990" s="320"/>
      <c r="C990" s="134"/>
      <c r="D990" s="98"/>
      <c r="E990" s="504"/>
      <c r="F990" s="306"/>
      <c r="G990" s="265"/>
      <c r="H990" s="266"/>
      <c r="I990" s="297"/>
      <c r="J990" s="298"/>
      <c r="K990" s="298"/>
      <c r="L990" s="298"/>
      <c r="M990" s="41"/>
      <c r="N990" s="21"/>
      <c r="O990" s="21"/>
      <c r="P990" s="21"/>
      <c r="Q990" s="326"/>
      <c r="R990" s="40"/>
      <c r="S990" s="84"/>
      <c r="T990" s="40"/>
      <c r="U990" s="42"/>
      <c r="V990" s="78"/>
      <c r="Z990" s="181"/>
      <c r="AA990" s="183"/>
      <c r="AC990" s="26"/>
      <c r="AD990" s="279"/>
      <c r="AE990" s="26"/>
      <c r="AF990" s="26"/>
      <c r="AG990" s="278" t="str">
        <f t="shared" si="126"/>
        <v/>
      </c>
      <c r="AH990" s="278" t="str">
        <f t="shared" si="127"/>
        <v/>
      </c>
      <c r="AJ990" s="25"/>
      <c r="AK990" s="25"/>
      <c r="AL990" s="25"/>
      <c r="AM990" s="25"/>
      <c r="AN990" s="25"/>
      <c r="AO990" s="25"/>
      <c r="AP990" s="25"/>
      <c r="AQ990" s="25"/>
      <c r="AR990" s="25"/>
      <c r="AS990" s="25"/>
      <c r="AT990" s="25"/>
      <c r="AU990" s="25"/>
      <c r="AV990" s="43"/>
      <c r="AW990" s="43"/>
      <c r="AX990" s="114" t="s">
        <v>76</v>
      </c>
      <c r="AY990" s="43"/>
      <c r="AZ990" s="43"/>
      <c r="BA990" s="43"/>
      <c r="BB990" s="43"/>
    </row>
    <row r="991" spans="2:54" ht="12.75" customHeight="1">
      <c r="B991" s="320"/>
      <c r="C991" s="134"/>
      <c r="D991" s="98"/>
      <c r="E991" s="504"/>
      <c r="F991" s="306"/>
      <c r="G991" s="265"/>
      <c r="H991" s="266"/>
      <c r="I991" s="297"/>
      <c r="J991" s="298"/>
      <c r="K991" s="298"/>
      <c r="L991" s="298"/>
      <c r="M991" s="41"/>
      <c r="N991" s="21"/>
      <c r="O991" s="21"/>
      <c r="P991" s="21"/>
      <c r="Q991" s="326"/>
      <c r="R991" s="40"/>
      <c r="S991" s="84"/>
      <c r="T991" s="40"/>
      <c r="U991" s="42"/>
      <c r="V991" s="78"/>
      <c r="Z991" s="181"/>
      <c r="AA991" s="183"/>
      <c r="AC991" s="26"/>
      <c r="AD991" s="279"/>
      <c r="AE991" s="26"/>
      <c r="AF991" s="26"/>
      <c r="AG991" s="278" t="str">
        <f t="shared" si="126"/>
        <v/>
      </c>
      <c r="AH991" s="278" t="str">
        <f t="shared" si="127"/>
        <v/>
      </c>
      <c r="AJ991" s="25"/>
      <c r="AK991" s="25"/>
      <c r="AL991" s="25"/>
      <c r="AM991" s="25"/>
      <c r="AN991" s="25"/>
      <c r="AO991" s="25"/>
      <c r="AP991" s="25"/>
      <c r="AQ991" s="25"/>
      <c r="AR991" s="25"/>
      <c r="AS991" s="25"/>
      <c r="AT991" s="25"/>
      <c r="AU991" s="25"/>
      <c r="AV991" s="43"/>
      <c r="AW991" s="43"/>
      <c r="AX991" s="114" t="s">
        <v>76</v>
      </c>
      <c r="AY991" s="43"/>
      <c r="AZ991" s="43"/>
      <c r="BA991" s="43"/>
      <c r="BB991" s="43"/>
    </row>
    <row r="992" spans="2:54" ht="12.75" customHeight="1">
      <c r="B992" s="320"/>
      <c r="C992" s="134"/>
      <c r="D992" s="98"/>
      <c r="E992" s="504"/>
      <c r="F992" s="306"/>
      <c r="G992" s="265"/>
      <c r="H992" s="266"/>
      <c r="I992" s="297"/>
      <c r="J992" s="298"/>
      <c r="K992" s="298"/>
      <c r="L992" s="298"/>
      <c r="M992" s="41"/>
      <c r="N992" s="21"/>
      <c r="O992" s="21"/>
      <c r="P992" s="21"/>
      <c r="Q992" s="326"/>
      <c r="R992" s="40"/>
      <c r="S992" s="84"/>
      <c r="T992" s="40"/>
      <c r="U992" s="42"/>
      <c r="V992" s="78"/>
      <c r="Z992" s="181"/>
      <c r="AA992" s="183"/>
      <c r="AC992" s="26"/>
      <c r="AD992" s="279"/>
      <c r="AE992" s="26"/>
      <c r="AF992" s="26"/>
      <c r="AG992" s="278" t="str">
        <f t="shared" si="126"/>
        <v/>
      </c>
      <c r="AH992" s="278" t="str">
        <f t="shared" si="127"/>
        <v/>
      </c>
      <c r="AJ992" s="25"/>
      <c r="AK992" s="25"/>
      <c r="AL992" s="25"/>
      <c r="AM992" s="25"/>
      <c r="AN992" s="25"/>
      <c r="AO992" s="25"/>
      <c r="AP992" s="25"/>
      <c r="AQ992" s="25"/>
      <c r="AR992" s="25"/>
      <c r="AS992" s="25"/>
      <c r="AT992" s="25"/>
      <c r="AU992" s="25"/>
      <c r="AV992" s="43"/>
      <c r="AW992" s="43"/>
      <c r="AX992" s="114" t="s">
        <v>76</v>
      </c>
      <c r="AY992" s="43"/>
      <c r="AZ992" s="43"/>
      <c r="BA992" s="43"/>
      <c r="BB992" s="43"/>
    </row>
    <row r="993" spans="2:54" ht="12.75" customHeight="1">
      <c r="B993" s="320"/>
      <c r="C993" s="134"/>
      <c r="D993" s="98"/>
      <c r="E993" s="504"/>
      <c r="F993" s="306"/>
      <c r="G993" s="265"/>
      <c r="H993" s="266"/>
      <c r="I993" s="297"/>
      <c r="J993" s="298"/>
      <c r="K993" s="298"/>
      <c r="L993" s="298"/>
      <c r="M993" s="41"/>
      <c r="N993" s="21"/>
      <c r="O993" s="21"/>
      <c r="P993" s="21"/>
      <c r="Q993" s="326"/>
      <c r="R993" s="40"/>
      <c r="S993" s="84"/>
      <c r="T993" s="40"/>
      <c r="U993" s="42"/>
      <c r="V993" s="78"/>
      <c r="Z993" s="181"/>
      <c r="AA993" s="183"/>
      <c r="AC993" s="26"/>
      <c r="AD993" s="279"/>
      <c r="AE993" s="26"/>
      <c r="AF993" s="26"/>
      <c r="AG993" s="278" t="str">
        <f t="shared" si="126"/>
        <v/>
      </c>
      <c r="AH993" s="278" t="str">
        <f t="shared" si="127"/>
        <v/>
      </c>
      <c r="AJ993" s="25"/>
      <c r="AK993" s="25"/>
      <c r="AL993" s="25"/>
      <c r="AM993" s="25"/>
      <c r="AN993" s="25"/>
      <c r="AO993" s="25"/>
      <c r="AP993" s="25"/>
      <c r="AQ993" s="25"/>
      <c r="AR993" s="25"/>
      <c r="AS993" s="25"/>
      <c r="AT993" s="25"/>
      <c r="AU993" s="25"/>
      <c r="AV993" s="43"/>
      <c r="AW993" s="43"/>
      <c r="AX993" s="114" t="s">
        <v>76</v>
      </c>
      <c r="AY993" s="43"/>
      <c r="AZ993" s="43"/>
      <c r="BA993" s="43"/>
      <c r="BB993" s="43"/>
    </row>
    <row r="994" spans="2:54" ht="12.75" customHeight="1">
      <c r="B994" s="320"/>
      <c r="C994" s="134"/>
      <c r="D994" s="98"/>
      <c r="E994" s="504"/>
      <c r="F994" s="306"/>
      <c r="G994" s="265"/>
      <c r="H994" s="266"/>
      <c r="I994" s="297"/>
      <c r="J994" s="298"/>
      <c r="K994" s="298"/>
      <c r="L994" s="298"/>
      <c r="M994" s="41"/>
      <c r="N994" s="21"/>
      <c r="O994" s="21"/>
      <c r="P994" s="21"/>
      <c r="Q994" s="326"/>
      <c r="R994" s="40"/>
      <c r="S994" s="84"/>
      <c r="T994" s="40"/>
      <c r="U994" s="42"/>
      <c r="V994" s="78"/>
      <c r="Z994" s="181"/>
      <c r="AA994" s="183"/>
      <c r="AC994" s="26"/>
      <c r="AD994" s="279"/>
      <c r="AE994" s="26"/>
      <c r="AF994" s="26"/>
      <c r="AG994" s="278" t="str">
        <f t="shared" si="126"/>
        <v/>
      </c>
      <c r="AH994" s="278" t="str">
        <f t="shared" si="127"/>
        <v/>
      </c>
      <c r="AJ994" s="25"/>
      <c r="AK994" s="25"/>
      <c r="AL994" s="25"/>
      <c r="AM994" s="25"/>
      <c r="AN994" s="25"/>
      <c r="AO994" s="25"/>
      <c r="AP994" s="25"/>
      <c r="AQ994" s="25"/>
      <c r="AR994" s="25"/>
      <c r="AS994" s="25"/>
      <c r="AT994" s="25"/>
      <c r="AU994" s="25"/>
      <c r="AV994" s="43"/>
      <c r="AW994" s="43"/>
      <c r="AX994" s="114" t="s">
        <v>76</v>
      </c>
      <c r="AY994" s="43"/>
      <c r="AZ994" s="43"/>
      <c r="BA994" s="43"/>
      <c r="BB994" s="43"/>
    </row>
    <row r="995" spans="2:54" ht="12.75" customHeight="1">
      <c r="B995" s="320"/>
      <c r="C995" s="134"/>
      <c r="D995" s="98"/>
      <c r="E995" s="504"/>
      <c r="F995" s="306"/>
      <c r="G995" s="265"/>
      <c r="H995" s="266"/>
      <c r="I995" s="297"/>
      <c r="J995" s="298"/>
      <c r="K995" s="298"/>
      <c r="L995" s="298"/>
      <c r="M995" s="41"/>
      <c r="N995" s="21"/>
      <c r="O995" s="21"/>
      <c r="P995" s="21"/>
      <c r="Q995" s="326"/>
      <c r="R995" s="40"/>
      <c r="S995" s="84"/>
      <c r="T995" s="40"/>
      <c r="U995" s="42"/>
      <c r="V995" s="78"/>
      <c r="Z995" s="181"/>
      <c r="AA995" s="183"/>
      <c r="AC995" s="26"/>
      <c r="AD995" s="279"/>
      <c r="AE995" s="26"/>
      <c r="AF995" s="26"/>
      <c r="AG995" s="278" t="str">
        <f t="shared" si="126"/>
        <v/>
      </c>
      <c r="AH995" s="278" t="str">
        <f t="shared" si="127"/>
        <v/>
      </c>
      <c r="AJ995" s="25"/>
      <c r="AK995" s="25"/>
      <c r="AL995" s="25"/>
      <c r="AM995" s="25"/>
      <c r="AN995" s="25"/>
      <c r="AO995" s="25"/>
      <c r="AP995" s="25"/>
      <c r="AQ995" s="25"/>
      <c r="AR995" s="25"/>
      <c r="AS995" s="25"/>
      <c r="AT995" s="25"/>
      <c r="AU995" s="25"/>
      <c r="AV995" s="43"/>
      <c r="AW995" s="43"/>
      <c r="AX995" s="114" t="s">
        <v>76</v>
      </c>
      <c r="AY995" s="43"/>
      <c r="AZ995" s="43"/>
      <c r="BA995" s="43"/>
      <c r="BB995" s="43"/>
    </row>
    <row r="996" spans="2:54" ht="12.75" customHeight="1">
      <c r="B996" s="320"/>
      <c r="C996" s="134"/>
      <c r="D996" s="98"/>
      <c r="E996" s="504"/>
      <c r="F996" s="306"/>
      <c r="G996" s="265"/>
      <c r="H996" s="266"/>
      <c r="I996" s="297"/>
      <c r="J996" s="298"/>
      <c r="K996" s="298"/>
      <c r="L996" s="298"/>
      <c r="M996" s="41"/>
      <c r="N996" s="21"/>
      <c r="O996" s="21"/>
      <c r="P996" s="21"/>
      <c r="Q996" s="326"/>
      <c r="R996" s="40"/>
      <c r="S996" s="84"/>
      <c r="T996" s="40"/>
      <c r="U996" s="42"/>
      <c r="V996" s="78"/>
      <c r="Z996" s="181"/>
      <c r="AA996" s="183"/>
      <c r="AC996" s="26"/>
      <c r="AD996" s="279"/>
      <c r="AE996" s="26"/>
      <c r="AF996" s="26"/>
      <c r="AG996" s="278" t="str">
        <f t="shared" si="126"/>
        <v/>
      </c>
      <c r="AH996" s="278" t="str">
        <f t="shared" si="127"/>
        <v/>
      </c>
      <c r="AJ996" s="25"/>
      <c r="AK996" s="25"/>
      <c r="AL996" s="25"/>
      <c r="AM996" s="25"/>
      <c r="AN996" s="25"/>
      <c r="AO996" s="25"/>
      <c r="AP996" s="25"/>
      <c r="AQ996" s="25"/>
      <c r="AR996" s="25"/>
      <c r="AS996" s="25"/>
      <c r="AT996" s="25"/>
      <c r="AU996" s="25"/>
      <c r="AV996" s="43"/>
      <c r="AW996" s="43"/>
      <c r="AX996" s="114" t="s">
        <v>76</v>
      </c>
      <c r="AY996" s="43"/>
      <c r="AZ996" s="43"/>
      <c r="BA996" s="43"/>
      <c r="BB996" s="43"/>
    </row>
    <row r="997" spans="2:54" ht="12.75" customHeight="1">
      <c r="B997" s="320"/>
      <c r="C997" s="134"/>
      <c r="D997" s="98"/>
      <c r="E997" s="504"/>
      <c r="F997" s="306"/>
      <c r="G997" s="265"/>
      <c r="H997" s="266"/>
      <c r="I997" s="297"/>
      <c r="J997" s="298"/>
      <c r="K997" s="298"/>
      <c r="L997" s="298"/>
      <c r="M997" s="41"/>
      <c r="N997" s="21"/>
      <c r="O997" s="21"/>
      <c r="P997" s="21"/>
      <c r="Q997" s="326"/>
      <c r="R997" s="40"/>
      <c r="S997" s="84"/>
      <c r="T997" s="40"/>
      <c r="U997" s="42"/>
      <c r="V997" s="78"/>
      <c r="Z997" s="181"/>
      <c r="AA997" s="183"/>
      <c r="AC997" s="26"/>
      <c r="AD997" s="279"/>
      <c r="AE997" s="26"/>
      <c r="AF997" s="26"/>
      <c r="AG997" s="278" t="str">
        <f t="shared" si="126"/>
        <v/>
      </c>
      <c r="AH997" s="278" t="str">
        <f t="shared" si="127"/>
        <v/>
      </c>
      <c r="AJ997" s="25"/>
      <c r="AK997" s="25"/>
      <c r="AL997" s="25"/>
      <c r="AM997" s="25"/>
      <c r="AN997" s="25"/>
      <c r="AO997" s="25"/>
      <c r="AP997" s="25"/>
      <c r="AQ997" s="25"/>
      <c r="AR997" s="25"/>
      <c r="AS997" s="25"/>
      <c r="AT997" s="25"/>
      <c r="AU997" s="25"/>
      <c r="AV997" s="43"/>
      <c r="AW997" s="43"/>
      <c r="AX997" s="114" t="s">
        <v>76</v>
      </c>
      <c r="AY997" s="43"/>
      <c r="AZ997" s="43"/>
      <c r="BA997" s="43"/>
      <c r="BB997" s="43"/>
    </row>
    <row r="998" spans="2:54" ht="12.75" customHeight="1">
      <c r="B998" s="320"/>
      <c r="C998" s="134"/>
      <c r="D998" s="98"/>
      <c r="E998" s="504"/>
      <c r="F998" s="306"/>
      <c r="G998" s="265"/>
      <c r="H998" s="266"/>
      <c r="I998" s="297"/>
      <c r="J998" s="298"/>
      <c r="K998" s="298"/>
      <c r="L998" s="298"/>
      <c r="M998" s="41"/>
      <c r="N998" s="21"/>
      <c r="O998" s="21"/>
      <c r="P998" s="21"/>
      <c r="Q998" s="326"/>
      <c r="R998" s="40"/>
      <c r="S998" s="84"/>
      <c r="T998" s="40"/>
      <c r="U998" s="42"/>
      <c r="V998" s="78"/>
      <c r="Z998" s="181"/>
      <c r="AA998" s="183"/>
      <c r="AC998" s="26"/>
      <c r="AD998" s="279"/>
      <c r="AE998" s="26"/>
      <c r="AF998" s="26"/>
      <c r="AG998" s="278" t="str">
        <f t="shared" si="126"/>
        <v/>
      </c>
      <c r="AH998" s="278" t="str">
        <f t="shared" si="127"/>
        <v/>
      </c>
      <c r="AJ998" s="25"/>
      <c r="AK998" s="25"/>
      <c r="AL998" s="25"/>
      <c r="AM998" s="25"/>
      <c r="AN998" s="25"/>
      <c r="AO998" s="25"/>
      <c r="AP998" s="25"/>
      <c r="AQ998" s="25"/>
      <c r="AR998" s="25"/>
      <c r="AS998" s="25"/>
      <c r="AT998" s="25"/>
      <c r="AU998" s="25"/>
      <c r="AV998" s="43"/>
      <c r="AW998" s="43"/>
      <c r="AX998" s="114" t="s">
        <v>76</v>
      </c>
      <c r="AY998" s="43"/>
      <c r="AZ998" s="43"/>
      <c r="BA998" s="43"/>
      <c r="BB998" s="43"/>
    </row>
    <row r="999" spans="2:54" ht="12.75" customHeight="1">
      <c r="B999" s="320"/>
      <c r="C999" s="134"/>
      <c r="D999" s="98"/>
      <c r="E999" s="504"/>
      <c r="F999" s="306"/>
      <c r="G999" s="265"/>
      <c r="H999" s="266"/>
      <c r="I999" s="297"/>
      <c r="J999" s="298"/>
      <c r="K999" s="298"/>
      <c r="L999" s="298"/>
      <c r="M999" s="41"/>
      <c r="N999" s="21"/>
      <c r="O999" s="21"/>
      <c r="P999" s="21"/>
      <c r="Q999" s="326"/>
      <c r="R999" s="40"/>
      <c r="S999" s="84"/>
      <c r="T999" s="40"/>
      <c r="U999" s="42"/>
      <c r="V999" s="78"/>
      <c r="Z999" s="181"/>
      <c r="AA999" s="183"/>
      <c r="AC999" s="26"/>
      <c r="AD999" s="279"/>
      <c r="AE999" s="26"/>
      <c r="AF999" s="26"/>
      <c r="AG999" s="278" t="str">
        <f t="shared" si="126"/>
        <v/>
      </c>
      <c r="AH999" s="278" t="str">
        <f t="shared" si="127"/>
        <v/>
      </c>
      <c r="AJ999" s="25"/>
      <c r="AK999" s="25"/>
      <c r="AL999" s="25"/>
      <c r="AM999" s="25"/>
      <c r="AN999" s="25"/>
      <c r="AO999" s="25"/>
      <c r="AP999" s="25"/>
      <c r="AQ999" s="25"/>
      <c r="AR999" s="25"/>
      <c r="AS999" s="25"/>
      <c r="AT999" s="25"/>
      <c r="AU999" s="25"/>
      <c r="AV999" s="43"/>
      <c r="AW999" s="43"/>
      <c r="AX999" s="114" t="s">
        <v>76</v>
      </c>
      <c r="AY999" s="43"/>
      <c r="AZ999" s="43"/>
      <c r="BA999" s="43"/>
      <c r="BB999" s="43"/>
    </row>
    <row r="1000" spans="2:54" ht="12.75" customHeight="1">
      <c r="B1000" s="320"/>
      <c r="C1000" s="134"/>
      <c r="D1000" s="98"/>
      <c r="E1000" s="504"/>
      <c r="F1000" s="306"/>
      <c r="G1000" s="265"/>
      <c r="H1000" s="266"/>
      <c r="I1000" s="297"/>
      <c r="J1000" s="298"/>
      <c r="K1000" s="298"/>
      <c r="L1000" s="298"/>
      <c r="M1000" s="41"/>
      <c r="N1000" s="21"/>
      <c r="O1000" s="21"/>
      <c r="P1000" s="21"/>
      <c r="Q1000" s="326"/>
      <c r="R1000" s="40"/>
      <c r="S1000" s="84"/>
      <c r="T1000" s="40"/>
      <c r="U1000" s="42"/>
      <c r="V1000" s="78"/>
      <c r="Z1000" s="181"/>
      <c r="AA1000" s="183"/>
      <c r="AC1000" s="26"/>
      <c r="AD1000" s="279"/>
      <c r="AE1000" s="26"/>
      <c r="AF1000" s="26"/>
      <c r="AG1000" s="278" t="str">
        <f t="shared" si="126"/>
        <v/>
      </c>
      <c r="AH1000" s="278" t="str">
        <f t="shared" si="127"/>
        <v/>
      </c>
      <c r="AJ1000" s="25"/>
      <c r="AK1000" s="25"/>
      <c r="AL1000" s="25"/>
      <c r="AM1000" s="25"/>
      <c r="AN1000" s="25"/>
      <c r="AO1000" s="25"/>
      <c r="AP1000" s="25"/>
      <c r="AQ1000" s="25"/>
      <c r="AR1000" s="25"/>
      <c r="AS1000" s="25"/>
      <c r="AT1000" s="25"/>
      <c r="AU1000" s="25"/>
      <c r="AV1000" s="43"/>
      <c r="AW1000" s="43"/>
      <c r="AX1000" s="114" t="s">
        <v>76</v>
      </c>
      <c r="AY1000" s="43"/>
      <c r="AZ1000" s="43"/>
      <c r="BA1000" s="43"/>
      <c r="BB1000" s="43"/>
    </row>
    <row r="1001" spans="2:54" ht="12.75" customHeight="1">
      <c r="B1001" s="320"/>
      <c r="C1001" s="134"/>
      <c r="D1001" s="98"/>
      <c r="E1001" s="504"/>
      <c r="F1001" s="306"/>
      <c r="G1001" s="265"/>
      <c r="H1001" s="266"/>
      <c r="I1001" s="297"/>
      <c r="J1001" s="298"/>
      <c r="K1001" s="298"/>
      <c r="L1001" s="298"/>
      <c r="M1001" s="41"/>
      <c r="N1001" s="21"/>
      <c r="O1001" s="21"/>
      <c r="P1001" s="21"/>
      <c r="Q1001" s="326"/>
      <c r="R1001" s="40"/>
      <c r="S1001" s="84"/>
      <c r="T1001" s="40"/>
      <c r="U1001" s="42"/>
      <c r="V1001" s="78"/>
      <c r="Z1001" s="181"/>
      <c r="AA1001" s="183"/>
      <c r="AC1001" s="26"/>
      <c r="AD1001" s="279"/>
      <c r="AE1001" s="26"/>
      <c r="AF1001" s="26"/>
      <c r="AG1001" s="278" t="str">
        <f t="shared" si="126"/>
        <v/>
      </c>
      <c r="AH1001" s="278" t="str">
        <f t="shared" si="127"/>
        <v/>
      </c>
      <c r="AJ1001" s="25"/>
      <c r="AK1001" s="25"/>
      <c r="AL1001" s="25"/>
      <c r="AM1001" s="25"/>
      <c r="AN1001" s="25"/>
      <c r="AO1001" s="25"/>
      <c r="AP1001" s="25"/>
      <c r="AQ1001" s="25"/>
      <c r="AR1001" s="25"/>
      <c r="AS1001" s="25"/>
      <c r="AT1001" s="25"/>
      <c r="AU1001" s="25"/>
      <c r="AV1001" s="43"/>
      <c r="AW1001" s="43"/>
      <c r="AX1001" s="114" t="s">
        <v>76</v>
      </c>
      <c r="AY1001" s="43"/>
      <c r="AZ1001" s="43"/>
      <c r="BA1001" s="43"/>
      <c r="BB1001" s="43"/>
    </row>
    <row r="1002" spans="2:54" ht="12.75" customHeight="1">
      <c r="B1002" s="320"/>
      <c r="C1002" s="134"/>
      <c r="D1002" s="98"/>
      <c r="E1002" s="504"/>
      <c r="F1002" s="306"/>
      <c r="G1002" s="265"/>
      <c r="H1002" s="266"/>
      <c r="I1002" s="297"/>
      <c r="J1002" s="298"/>
      <c r="K1002" s="298"/>
      <c r="L1002" s="298"/>
      <c r="M1002" s="41"/>
      <c r="N1002" s="21"/>
      <c r="O1002" s="21"/>
      <c r="P1002" s="21"/>
      <c r="Q1002" s="326"/>
      <c r="R1002" s="40"/>
      <c r="S1002" s="84"/>
      <c r="T1002" s="40"/>
      <c r="U1002" s="42"/>
      <c r="V1002" s="78"/>
      <c r="Z1002" s="181"/>
      <c r="AA1002" s="183"/>
      <c r="AC1002" s="26"/>
      <c r="AD1002" s="279"/>
      <c r="AE1002" s="26"/>
      <c r="AF1002" s="26"/>
      <c r="AG1002" s="278" t="str">
        <f t="shared" si="126"/>
        <v/>
      </c>
      <c r="AH1002" s="278" t="str">
        <f t="shared" si="127"/>
        <v/>
      </c>
      <c r="AJ1002" s="25"/>
      <c r="AK1002" s="25"/>
      <c r="AL1002" s="25"/>
      <c r="AM1002" s="25"/>
      <c r="AN1002" s="25"/>
      <c r="AO1002" s="25"/>
      <c r="AP1002" s="25"/>
      <c r="AQ1002" s="25"/>
      <c r="AR1002" s="25"/>
      <c r="AS1002" s="25"/>
      <c r="AT1002" s="25"/>
      <c r="AU1002" s="25"/>
      <c r="AV1002" s="43"/>
      <c r="AW1002" s="43"/>
      <c r="AX1002" s="114" t="s">
        <v>76</v>
      </c>
      <c r="AY1002" s="43"/>
      <c r="AZ1002" s="43"/>
      <c r="BA1002" s="43"/>
      <c r="BB1002" s="43"/>
    </row>
    <row r="1003" spans="2:54" ht="12.75" customHeight="1">
      <c r="B1003" s="320"/>
      <c r="C1003" s="134"/>
      <c r="D1003" s="98"/>
      <c r="E1003" s="504"/>
      <c r="F1003" s="306"/>
      <c r="G1003" s="265"/>
      <c r="H1003" s="266"/>
      <c r="I1003" s="297"/>
      <c r="J1003" s="298"/>
      <c r="K1003" s="298"/>
      <c r="L1003" s="298"/>
      <c r="M1003" s="41"/>
      <c r="N1003" s="21"/>
      <c r="O1003" s="21"/>
      <c r="P1003" s="21"/>
      <c r="Q1003" s="326"/>
      <c r="R1003" s="40"/>
      <c r="S1003" s="84"/>
      <c r="T1003" s="40"/>
      <c r="U1003" s="42"/>
      <c r="V1003" s="78"/>
      <c r="Z1003" s="181"/>
      <c r="AA1003" s="183"/>
      <c r="AC1003" s="26"/>
      <c r="AD1003" s="279"/>
      <c r="AE1003" s="26"/>
      <c r="AF1003" s="26"/>
      <c r="AG1003" s="278" t="str">
        <f t="shared" si="126"/>
        <v/>
      </c>
      <c r="AH1003" s="278" t="str">
        <f t="shared" si="127"/>
        <v/>
      </c>
      <c r="AJ1003" s="25"/>
      <c r="AK1003" s="25"/>
      <c r="AL1003" s="25"/>
      <c r="AM1003" s="25"/>
      <c r="AN1003" s="25"/>
      <c r="AO1003" s="25"/>
      <c r="AP1003" s="25"/>
      <c r="AQ1003" s="25"/>
      <c r="AR1003" s="25"/>
      <c r="AS1003" s="25"/>
      <c r="AT1003" s="25"/>
      <c r="AU1003" s="25"/>
      <c r="AV1003" s="43"/>
      <c r="AW1003" s="43"/>
      <c r="AX1003" s="114" t="s">
        <v>76</v>
      </c>
      <c r="AY1003" s="43"/>
      <c r="AZ1003" s="43"/>
      <c r="BA1003" s="43"/>
      <c r="BB1003" s="43"/>
    </row>
    <row r="1004" spans="2:54" ht="12.75" customHeight="1">
      <c r="B1004" s="320"/>
      <c r="C1004" s="134"/>
      <c r="D1004" s="98"/>
      <c r="E1004" s="504"/>
      <c r="F1004" s="306"/>
      <c r="G1004" s="265"/>
      <c r="H1004" s="266"/>
      <c r="I1004" s="297"/>
      <c r="J1004" s="298"/>
      <c r="K1004" s="298"/>
      <c r="L1004" s="298"/>
      <c r="M1004" s="41"/>
      <c r="N1004" s="21"/>
      <c r="O1004" s="21"/>
      <c r="P1004" s="21"/>
      <c r="Q1004" s="326"/>
      <c r="R1004" s="40"/>
      <c r="S1004" s="84"/>
      <c r="T1004" s="40"/>
      <c r="U1004" s="42"/>
      <c r="V1004" s="78"/>
      <c r="Z1004" s="181"/>
      <c r="AA1004" s="183"/>
      <c r="AC1004" s="26"/>
      <c r="AD1004" s="279"/>
      <c r="AE1004" s="26"/>
      <c r="AF1004" s="26"/>
      <c r="AG1004" s="278" t="str">
        <f t="shared" si="126"/>
        <v/>
      </c>
      <c r="AH1004" s="278" t="str">
        <f t="shared" si="127"/>
        <v/>
      </c>
      <c r="AJ1004" s="25"/>
      <c r="AK1004" s="25"/>
      <c r="AL1004" s="25"/>
      <c r="AM1004" s="25"/>
      <c r="AN1004" s="25"/>
      <c r="AO1004" s="25"/>
      <c r="AP1004" s="25"/>
      <c r="AQ1004" s="25"/>
      <c r="AR1004" s="25"/>
      <c r="AS1004" s="25"/>
      <c r="AT1004" s="25"/>
      <c r="AU1004" s="25"/>
      <c r="AV1004" s="43"/>
      <c r="AW1004" s="43"/>
      <c r="AX1004" s="114" t="s">
        <v>76</v>
      </c>
      <c r="AY1004" s="43"/>
      <c r="AZ1004" s="43"/>
      <c r="BA1004" s="43"/>
      <c r="BB1004" s="43"/>
    </row>
    <row r="1005" spans="2:54" ht="12.75" customHeight="1">
      <c r="B1005" s="320"/>
      <c r="C1005" s="134"/>
      <c r="D1005" s="98"/>
      <c r="E1005" s="504"/>
      <c r="F1005" s="306"/>
      <c r="G1005" s="265"/>
      <c r="H1005" s="266"/>
      <c r="I1005" s="297"/>
      <c r="J1005" s="298"/>
      <c r="K1005" s="298"/>
      <c r="L1005" s="298"/>
      <c r="M1005" s="41"/>
      <c r="N1005" s="21"/>
      <c r="O1005" s="21"/>
      <c r="P1005" s="21"/>
      <c r="Q1005" s="326"/>
      <c r="R1005" s="40"/>
      <c r="S1005" s="84"/>
      <c r="T1005" s="40"/>
      <c r="U1005" s="42"/>
      <c r="V1005" s="78"/>
      <c r="Z1005" s="181"/>
      <c r="AA1005" s="183"/>
      <c r="AC1005" s="26"/>
      <c r="AD1005" s="279"/>
      <c r="AE1005" s="26"/>
      <c r="AF1005" s="26"/>
      <c r="AG1005" s="278" t="str">
        <f t="shared" si="126"/>
        <v/>
      </c>
      <c r="AH1005" s="278" t="str">
        <f t="shared" si="127"/>
        <v/>
      </c>
      <c r="AJ1005" s="25"/>
      <c r="AK1005" s="25"/>
      <c r="AL1005" s="25"/>
      <c r="AM1005" s="25"/>
      <c r="AN1005" s="25"/>
      <c r="AO1005" s="25"/>
      <c r="AP1005" s="25"/>
      <c r="AQ1005" s="25"/>
      <c r="AR1005" s="25"/>
      <c r="AS1005" s="25"/>
      <c r="AT1005" s="25"/>
      <c r="AU1005" s="25"/>
      <c r="AV1005" s="43"/>
      <c r="AW1005" s="43"/>
      <c r="AX1005" s="114" t="s">
        <v>76</v>
      </c>
      <c r="AY1005" s="43"/>
      <c r="AZ1005" s="43"/>
      <c r="BA1005" s="43"/>
      <c r="BB1005" s="43"/>
    </row>
    <row r="1006" spans="2:54" ht="12.75" customHeight="1">
      <c r="B1006" s="320"/>
      <c r="C1006" s="134"/>
      <c r="D1006" s="98"/>
      <c r="E1006" s="504"/>
      <c r="F1006" s="306"/>
      <c r="G1006" s="265"/>
      <c r="H1006" s="266"/>
      <c r="I1006" s="297"/>
      <c r="J1006" s="298"/>
      <c r="K1006" s="298"/>
      <c r="L1006" s="298"/>
      <c r="M1006" s="41"/>
      <c r="N1006" s="21"/>
      <c r="O1006" s="21"/>
      <c r="P1006" s="21"/>
      <c r="Q1006" s="326"/>
      <c r="R1006" s="40"/>
      <c r="S1006" s="84"/>
      <c r="T1006" s="40"/>
      <c r="U1006" s="42"/>
      <c r="V1006" s="78"/>
      <c r="Z1006" s="181"/>
      <c r="AA1006" s="183"/>
      <c r="AC1006" s="26"/>
      <c r="AD1006" s="279"/>
      <c r="AE1006" s="26"/>
      <c r="AF1006" s="26"/>
      <c r="AG1006" s="278" t="str">
        <f t="shared" si="126"/>
        <v/>
      </c>
      <c r="AH1006" s="278" t="str">
        <f t="shared" si="127"/>
        <v/>
      </c>
      <c r="AJ1006" s="25"/>
      <c r="AK1006" s="25"/>
      <c r="AL1006" s="25"/>
      <c r="AM1006" s="25"/>
      <c r="AN1006" s="25"/>
      <c r="AO1006" s="25"/>
      <c r="AP1006" s="25"/>
      <c r="AQ1006" s="25"/>
      <c r="AR1006" s="25"/>
      <c r="AS1006" s="25"/>
      <c r="AT1006" s="25"/>
      <c r="AU1006" s="25"/>
      <c r="AV1006" s="43"/>
      <c r="AW1006" s="43"/>
      <c r="AX1006" s="114" t="s">
        <v>76</v>
      </c>
      <c r="AY1006" s="43"/>
      <c r="AZ1006" s="43"/>
      <c r="BA1006" s="43"/>
      <c r="BB1006" s="43"/>
    </row>
    <row r="1007" spans="2:54" ht="12.75" customHeight="1">
      <c r="B1007" s="320"/>
      <c r="C1007" s="134"/>
      <c r="D1007" s="98"/>
      <c r="E1007" s="504"/>
      <c r="F1007" s="306"/>
      <c r="G1007" s="265"/>
      <c r="H1007" s="266"/>
      <c r="I1007" s="297"/>
      <c r="J1007" s="298"/>
      <c r="K1007" s="298"/>
      <c r="L1007" s="298"/>
      <c r="M1007" s="41"/>
      <c r="N1007" s="21"/>
      <c r="O1007" s="21"/>
      <c r="P1007" s="21"/>
      <c r="Q1007" s="326"/>
      <c r="R1007" s="40"/>
      <c r="S1007" s="84"/>
      <c r="T1007" s="40"/>
      <c r="U1007" s="42"/>
      <c r="V1007" s="78"/>
      <c r="Z1007" s="181"/>
      <c r="AA1007" s="183"/>
      <c r="AC1007" s="26"/>
      <c r="AD1007" s="279"/>
      <c r="AE1007" s="26"/>
      <c r="AF1007" s="26"/>
      <c r="AG1007" s="278" t="str">
        <f t="shared" si="126"/>
        <v/>
      </c>
      <c r="AH1007" s="278" t="str">
        <f t="shared" si="127"/>
        <v/>
      </c>
      <c r="AJ1007" s="25"/>
      <c r="AK1007" s="25"/>
      <c r="AL1007" s="25"/>
      <c r="AM1007" s="25"/>
      <c r="AN1007" s="25"/>
      <c r="AO1007" s="25"/>
      <c r="AP1007" s="25"/>
      <c r="AQ1007" s="25"/>
      <c r="AR1007" s="25"/>
      <c r="AS1007" s="25"/>
      <c r="AT1007" s="25"/>
      <c r="AU1007" s="25"/>
      <c r="AV1007" s="43"/>
      <c r="AW1007" s="43"/>
      <c r="AX1007" s="114" t="s">
        <v>76</v>
      </c>
      <c r="AY1007" s="43"/>
      <c r="AZ1007" s="43"/>
      <c r="BA1007" s="43"/>
      <c r="BB1007" s="43"/>
    </row>
    <row r="1008" spans="2:54" ht="12.75" customHeight="1">
      <c r="B1008" s="320"/>
      <c r="C1008" s="134"/>
      <c r="D1008" s="98"/>
      <c r="E1008" s="504"/>
      <c r="F1008" s="306"/>
      <c r="G1008" s="265"/>
      <c r="H1008" s="266"/>
      <c r="I1008" s="297"/>
      <c r="J1008" s="298"/>
      <c r="K1008" s="298"/>
      <c r="L1008" s="298"/>
      <c r="M1008" s="41"/>
      <c r="N1008" s="21"/>
      <c r="O1008" s="21"/>
      <c r="P1008" s="21"/>
      <c r="Q1008" s="326"/>
      <c r="R1008" s="40"/>
      <c r="S1008" s="84"/>
      <c r="T1008" s="40"/>
      <c r="U1008" s="42"/>
      <c r="V1008" s="78"/>
      <c r="Z1008" s="181"/>
      <c r="AA1008" s="183"/>
      <c r="AC1008" s="26"/>
      <c r="AD1008" s="279"/>
      <c r="AE1008" s="26"/>
      <c r="AF1008" s="26"/>
      <c r="AG1008" s="278" t="str">
        <f t="shared" si="126"/>
        <v/>
      </c>
      <c r="AH1008" s="278" t="str">
        <f t="shared" si="127"/>
        <v/>
      </c>
      <c r="AJ1008" s="25"/>
      <c r="AK1008" s="25"/>
      <c r="AL1008" s="25"/>
      <c r="AM1008" s="25"/>
      <c r="AN1008" s="25"/>
      <c r="AO1008" s="25"/>
      <c r="AP1008" s="25"/>
      <c r="AQ1008" s="25"/>
      <c r="AR1008" s="25"/>
      <c r="AS1008" s="25"/>
      <c r="AT1008" s="25"/>
      <c r="AU1008" s="25"/>
      <c r="AV1008" s="43"/>
      <c r="AW1008" s="43"/>
      <c r="AX1008" s="114" t="s">
        <v>76</v>
      </c>
      <c r="AY1008" s="43"/>
      <c r="AZ1008" s="43"/>
      <c r="BA1008" s="43"/>
      <c r="BB1008" s="43"/>
    </row>
    <row r="1009" spans="2:54" ht="12.75" customHeight="1">
      <c r="B1009" s="320"/>
      <c r="C1009" s="134"/>
      <c r="D1009" s="98"/>
      <c r="E1009" s="504"/>
      <c r="F1009" s="306"/>
      <c r="G1009" s="265"/>
      <c r="H1009" s="266"/>
      <c r="I1009" s="297"/>
      <c r="J1009" s="298"/>
      <c r="K1009" s="298"/>
      <c r="L1009" s="298"/>
      <c r="M1009" s="41"/>
      <c r="N1009" s="21"/>
      <c r="O1009" s="21"/>
      <c r="P1009" s="21"/>
      <c r="Q1009" s="326"/>
      <c r="R1009" s="40"/>
      <c r="S1009" s="84"/>
      <c r="T1009" s="40"/>
      <c r="U1009" s="42"/>
      <c r="V1009" s="78"/>
      <c r="Z1009" s="181"/>
      <c r="AA1009" s="183"/>
      <c r="AC1009" s="26"/>
      <c r="AD1009" s="279"/>
      <c r="AE1009" s="26"/>
      <c r="AF1009" s="26"/>
      <c r="AG1009" s="278" t="str">
        <f t="shared" si="126"/>
        <v/>
      </c>
      <c r="AH1009" s="278" t="str">
        <f t="shared" si="127"/>
        <v/>
      </c>
      <c r="AJ1009" s="25"/>
      <c r="AK1009" s="25"/>
      <c r="AL1009" s="25"/>
      <c r="AM1009" s="25"/>
      <c r="AN1009" s="25"/>
      <c r="AO1009" s="25"/>
      <c r="AP1009" s="25"/>
      <c r="AQ1009" s="25"/>
      <c r="AR1009" s="25"/>
      <c r="AS1009" s="25"/>
      <c r="AT1009" s="25"/>
      <c r="AU1009" s="25"/>
      <c r="AV1009" s="43"/>
      <c r="AW1009" s="43"/>
      <c r="AX1009" s="114" t="s">
        <v>76</v>
      </c>
      <c r="AY1009" s="43"/>
      <c r="AZ1009" s="43"/>
      <c r="BA1009" s="43"/>
      <c r="BB1009" s="43"/>
    </row>
    <row r="1010" spans="2:54" ht="12.75" customHeight="1">
      <c r="B1010" s="320"/>
      <c r="C1010" s="134"/>
      <c r="D1010" s="98"/>
      <c r="E1010" s="504"/>
      <c r="F1010" s="306"/>
      <c r="G1010" s="265"/>
      <c r="H1010" s="266"/>
      <c r="I1010" s="297"/>
      <c r="J1010" s="298"/>
      <c r="K1010" s="298"/>
      <c r="L1010" s="298"/>
      <c r="M1010" s="41"/>
      <c r="N1010" s="21"/>
      <c r="O1010" s="21"/>
      <c r="P1010" s="21"/>
      <c r="Q1010" s="326"/>
      <c r="R1010" s="40"/>
      <c r="S1010" s="84"/>
      <c r="T1010" s="40"/>
      <c r="U1010" s="42"/>
      <c r="V1010" s="78"/>
      <c r="Z1010" s="181"/>
      <c r="AA1010" s="183"/>
      <c r="AC1010" s="26"/>
      <c r="AD1010" s="279"/>
      <c r="AE1010" s="26"/>
      <c r="AF1010" s="26"/>
      <c r="AG1010" s="278" t="str">
        <f t="shared" si="126"/>
        <v/>
      </c>
      <c r="AH1010" s="278" t="str">
        <f t="shared" si="127"/>
        <v/>
      </c>
      <c r="AJ1010" s="25"/>
      <c r="AK1010" s="25"/>
      <c r="AL1010" s="25"/>
      <c r="AM1010" s="25"/>
      <c r="AN1010" s="25"/>
      <c r="AO1010" s="25"/>
      <c r="AP1010" s="25"/>
      <c r="AQ1010" s="25"/>
      <c r="AR1010" s="25"/>
      <c r="AS1010" s="25"/>
      <c r="AT1010" s="25"/>
      <c r="AU1010" s="25"/>
      <c r="AV1010" s="43"/>
      <c r="AW1010" s="43"/>
      <c r="AX1010" s="114" t="s">
        <v>76</v>
      </c>
      <c r="AY1010" s="43"/>
      <c r="AZ1010" s="43"/>
      <c r="BA1010" s="43"/>
      <c r="BB1010" s="43"/>
    </row>
    <row r="1011" spans="2:54" ht="12.75" customHeight="1">
      <c r="B1011" s="320"/>
      <c r="C1011" s="134"/>
      <c r="D1011" s="98"/>
      <c r="E1011" s="504"/>
      <c r="F1011" s="306"/>
      <c r="G1011" s="265"/>
      <c r="H1011" s="266"/>
      <c r="I1011" s="297"/>
      <c r="J1011" s="298"/>
      <c r="K1011" s="298"/>
      <c r="L1011" s="298"/>
      <c r="M1011" s="41"/>
      <c r="N1011" s="21"/>
      <c r="O1011" s="21"/>
      <c r="P1011" s="21"/>
      <c r="Q1011" s="326"/>
      <c r="R1011" s="40"/>
      <c r="S1011" s="84"/>
      <c r="T1011" s="40"/>
      <c r="U1011" s="42"/>
      <c r="V1011" s="78"/>
      <c r="Z1011" s="181"/>
      <c r="AA1011" s="183"/>
      <c r="AC1011" s="26"/>
      <c r="AD1011" s="279"/>
      <c r="AE1011" s="26"/>
      <c r="AF1011" s="26"/>
      <c r="AG1011" s="278" t="str">
        <f t="shared" si="126"/>
        <v/>
      </c>
      <c r="AH1011" s="278" t="str">
        <f t="shared" si="127"/>
        <v/>
      </c>
      <c r="AJ1011" s="25"/>
      <c r="AK1011" s="25"/>
      <c r="AL1011" s="25"/>
      <c r="AM1011" s="25"/>
      <c r="AN1011" s="25"/>
      <c r="AO1011" s="25"/>
      <c r="AP1011" s="25"/>
      <c r="AQ1011" s="25"/>
      <c r="AR1011" s="25"/>
      <c r="AS1011" s="25"/>
      <c r="AT1011" s="25"/>
      <c r="AU1011" s="25"/>
      <c r="AV1011" s="43"/>
      <c r="AW1011" s="43"/>
      <c r="AX1011" s="114" t="s">
        <v>76</v>
      </c>
      <c r="AY1011" s="43"/>
      <c r="AZ1011" s="43"/>
      <c r="BA1011" s="43"/>
      <c r="BB1011" s="43"/>
    </row>
    <row r="1012" spans="2:54" ht="12.75" customHeight="1">
      <c r="B1012" s="320"/>
      <c r="C1012" s="134"/>
      <c r="D1012" s="98"/>
      <c r="E1012" s="504"/>
      <c r="F1012" s="306"/>
      <c r="G1012" s="265"/>
      <c r="H1012" s="266"/>
      <c r="I1012" s="297"/>
      <c r="J1012" s="298"/>
      <c r="K1012" s="298"/>
      <c r="L1012" s="298"/>
      <c r="M1012" s="41"/>
      <c r="N1012" s="21"/>
      <c r="O1012" s="21"/>
      <c r="P1012" s="21"/>
      <c r="Q1012" s="326"/>
      <c r="R1012" s="40"/>
      <c r="S1012" s="84"/>
      <c r="T1012" s="40"/>
      <c r="U1012" s="42"/>
      <c r="V1012" s="78"/>
      <c r="Z1012" s="181"/>
      <c r="AA1012" s="183"/>
      <c r="AC1012" s="26"/>
      <c r="AD1012" s="279"/>
      <c r="AE1012" s="26"/>
      <c r="AF1012" s="26"/>
      <c r="AG1012" s="278" t="str">
        <f t="shared" si="126"/>
        <v/>
      </c>
      <c r="AH1012" s="278" t="str">
        <f t="shared" si="127"/>
        <v/>
      </c>
      <c r="AJ1012" s="25"/>
      <c r="AK1012" s="25"/>
      <c r="AL1012" s="25"/>
      <c r="AM1012" s="25"/>
      <c r="AN1012" s="25"/>
      <c r="AO1012" s="25"/>
      <c r="AP1012" s="25"/>
      <c r="AQ1012" s="25"/>
      <c r="AR1012" s="25"/>
      <c r="AS1012" s="25"/>
      <c r="AT1012" s="25"/>
      <c r="AU1012" s="25"/>
      <c r="AV1012" s="43"/>
      <c r="AW1012" s="43"/>
      <c r="AX1012" s="114" t="s">
        <v>76</v>
      </c>
      <c r="AY1012" s="43"/>
      <c r="AZ1012" s="43"/>
      <c r="BA1012" s="43"/>
      <c r="BB1012" s="43"/>
    </row>
    <row r="1013" spans="2:54" ht="12.75" customHeight="1">
      <c r="B1013" s="320"/>
      <c r="C1013" s="134"/>
      <c r="D1013" s="98"/>
      <c r="E1013" s="504"/>
      <c r="F1013" s="306"/>
      <c r="G1013" s="265"/>
      <c r="H1013" s="266"/>
      <c r="I1013" s="297"/>
      <c r="J1013" s="298"/>
      <c r="K1013" s="298"/>
      <c r="L1013" s="298"/>
      <c r="M1013" s="41"/>
      <c r="N1013" s="21"/>
      <c r="O1013" s="21"/>
      <c r="P1013" s="21"/>
      <c r="Q1013" s="326"/>
      <c r="R1013" s="40"/>
      <c r="S1013" s="84"/>
      <c r="T1013" s="40"/>
      <c r="U1013" s="42"/>
      <c r="V1013" s="78"/>
      <c r="Z1013" s="181"/>
      <c r="AA1013" s="183"/>
      <c r="AC1013" s="26"/>
      <c r="AD1013" s="279"/>
      <c r="AE1013" s="26"/>
      <c r="AF1013" s="26"/>
      <c r="AG1013" s="278" t="str">
        <f t="shared" si="126"/>
        <v/>
      </c>
      <c r="AH1013" s="278" t="str">
        <f t="shared" si="127"/>
        <v/>
      </c>
      <c r="AJ1013" s="25"/>
      <c r="AK1013" s="25"/>
      <c r="AL1013" s="25"/>
      <c r="AM1013" s="25"/>
      <c r="AN1013" s="25"/>
      <c r="AO1013" s="25"/>
      <c r="AP1013" s="25"/>
      <c r="AQ1013" s="25"/>
      <c r="AR1013" s="25"/>
      <c r="AS1013" s="25"/>
      <c r="AT1013" s="25"/>
      <c r="AU1013" s="25"/>
      <c r="AV1013" s="43"/>
      <c r="AW1013" s="43"/>
      <c r="AX1013" s="114" t="s">
        <v>76</v>
      </c>
      <c r="AY1013" s="43"/>
      <c r="AZ1013" s="43"/>
      <c r="BA1013" s="43"/>
      <c r="BB1013" s="43"/>
    </row>
    <row r="1014" spans="2:54" ht="12.75" customHeight="1">
      <c r="B1014" s="320"/>
      <c r="C1014" s="134"/>
      <c r="D1014" s="98"/>
      <c r="E1014" s="504"/>
      <c r="F1014" s="306"/>
      <c r="G1014" s="265"/>
      <c r="H1014" s="266"/>
      <c r="I1014" s="297"/>
      <c r="J1014" s="298"/>
      <c r="K1014" s="298"/>
      <c r="L1014" s="298"/>
      <c r="M1014" s="41"/>
      <c r="N1014" s="21"/>
      <c r="O1014" s="21"/>
      <c r="P1014" s="21"/>
      <c r="Q1014" s="326"/>
      <c r="R1014" s="40"/>
      <c r="S1014" s="84"/>
      <c r="T1014" s="40"/>
      <c r="U1014" s="42"/>
      <c r="V1014" s="78"/>
      <c r="Z1014" s="181"/>
      <c r="AA1014" s="183"/>
      <c r="AC1014" s="26"/>
      <c r="AD1014" s="279"/>
      <c r="AE1014" s="26"/>
      <c r="AF1014" s="26"/>
      <c r="AG1014" s="278" t="str">
        <f t="shared" si="126"/>
        <v/>
      </c>
      <c r="AH1014" s="278" t="str">
        <f t="shared" si="127"/>
        <v/>
      </c>
      <c r="AJ1014" s="25"/>
      <c r="AK1014" s="25"/>
      <c r="AL1014" s="25"/>
      <c r="AM1014" s="25"/>
      <c r="AN1014" s="25"/>
      <c r="AO1014" s="25"/>
      <c r="AP1014" s="25"/>
      <c r="AQ1014" s="25"/>
      <c r="AR1014" s="25"/>
      <c r="AS1014" s="25"/>
      <c r="AT1014" s="25"/>
      <c r="AU1014" s="25"/>
      <c r="AV1014" s="43"/>
      <c r="AW1014" s="43"/>
      <c r="AX1014" s="114" t="s">
        <v>76</v>
      </c>
      <c r="AY1014" s="43"/>
      <c r="AZ1014" s="43"/>
      <c r="BA1014" s="43"/>
      <c r="BB1014" s="43"/>
    </row>
    <row r="1015" spans="2:54" ht="12.75" customHeight="1">
      <c r="B1015" s="320"/>
      <c r="C1015" s="134"/>
      <c r="D1015" s="98"/>
      <c r="E1015" s="504"/>
      <c r="F1015" s="306"/>
      <c r="G1015" s="265"/>
      <c r="H1015" s="266"/>
      <c r="I1015" s="297"/>
      <c r="J1015" s="298"/>
      <c r="K1015" s="298"/>
      <c r="L1015" s="298"/>
      <c r="M1015" s="41"/>
      <c r="N1015" s="21"/>
      <c r="O1015" s="21"/>
      <c r="P1015" s="21"/>
      <c r="Q1015" s="326"/>
      <c r="R1015" s="40"/>
      <c r="S1015" s="84"/>
      <c r="T1015" s="40"/>
      <c r="U1015" s="42"/>
      <c r="V1015" s="78"/>
      <c r="Z1015" s="181"/>
      <c r="AA1015" s="183"/>
      <c r="AC1015" s="26"/>
      <c r="AD1015" s="279"/>
      <c r="AE1015" s="26"/>
      <c r="AF1015" s="26"/>
      <c r="AG1015" s="278" t="str">
        <f t="shared" si="126"/>
        <v/>
      </c>
      <c r="AH1015" s="278" t="str">
        <f t="shared" si="127"/>
        <v/>
      </c>
      <c r="AJ1015" s="25"/>
      <c r="AK1015" s="25"/>
      <c r="AL1015" s="25"/>
      <c r="AM1015" s="25"/>
      <c r="AN1015" s="25"/>
      <c r="AO1015" s="25"/>
      <c r="AP1015" s="25"/>
      <c r="AQ1015" s="25"/>
      <c r="AR1015" s="25"/>
      <c r="AS1015" s="25"/>
      <c r="AT1015" s="25"/>
      <c r="AU1015" s="25"/>
      <c r="AV1015" s="43"/>
      <c r="AW1015" s="43"/>
      <c r="AX1015" s="114" t="s">
        <v>76</v>
      </c>
      <c r="AY1015" s="43"/>
      <c r="AZ1015" s="43"/>
      <c r="BA1015" s="43"/>
      <c r="BB1015" s="43"/>
    </row>
    <row r="1016" spans="2:54" ht="12.75" customHeight="1">
      <c r="B1016" s="320"/>
      <c r="C1016" s="134"/>
      <c r="D1016" s="98"/>
      <c r="E1016" s="504"/>
      <c r="F1016" s="306"/>
      <c r="G1016" s="265"/>
      <c r="H1016" s="266"/>
      <c r="I1016" s="297"/>
      <c r="J1016" s="298"/>
      <c r="K1016" s="298"/>
      <c r="L1016" s="298"/>
      <c r="M1016" s="41"/>
      <c r="N1016" s="21"/>
      <c r="O1016" s="21"/>
      <c r="P1016" s="21"/>
      <c r="Q1016" s="326"/>
      <c r="R1016" s="40"/>
      <c r="S1016" s="84"/>
      <c r="T1016" s="40"/>
      <c r="U1016" s="42"/>
      <c r="V1016" s="78"/>
      <c r="Z1016" s="181"/>
      <c r="AA1016" s="183"/>
      <c r="AC1016" s="26"/>
      <c r="AD1016" s="279"/>
      <c r="AE1016" s="26"/>
      <c r="AF1016" s="26"/>
      <c r="AG1016" s="278" t="str">
        <f t="shared" si="126"/>
        <v/>
      </c>
      <c r="AH1016" s="278" t="str">
        <f t="shared" si="127"/>
        <v/>
      </c>
      <c r="AJ1016" s="25"/>
      <c r="AK1016" s="25"/>
      <c r="AL1016" s="25"/>
      <c r="AM1016" s="25"/>
      <c r="AN1016" s="25"/>
      <c r="AO1016" s="25"/>
      <c r="AP1016" s="25"/>
      <c r="AQ1016" s="25"/>
      <c r="AR1016" s="25"/>
      <c r="AS1016" s="25"/>
      <c r="AT1016" s="25"/>
      <c r="AU1016" s="25"/>
      <c r="AV1016" s="43"/>
      <c r="AW1016" s="43"/>
      <c r="AX1016" s="114" t="s">
        <v>76</v>
      </c>
      <c r="AY1016" s="43"/>
      <c r="AZ1016" s="43"/>
      <c r="BA1016" s="43"/>
      <c r="BB1016" s="43"/>
    </row>
    <row r="1017" spans="2:54" ht="12.75" customHeight="1">
      <c r="B1017" s="320"/>
      <c r="C1017" s="134"/>
      <c r="D1017" s="98"/>
      <c r="E1017" s="504"/>
      <c r="F1017" s="306"/>
      <c r="G1017" s="265"/>
      <c r="H1017" s="266"/>
      <c r="I1017" s="297"/>
      <c r="J1017" s="298"/>
      <c r="K1017" s="298"/>
      <c r="L1017" s="298"/>
      <c r="M1017" s="41"/>
      <c r="N1017" s="21"/>
      <c r="O1017" s="21"/>
      <c r="P1017" s="21"/>
      <c r="Q1017" s="326"/>
      <c r="R1017" s="40"/>
      <c r="S1017" s="84"/>
      <c r="T1017" s="40"/>
      <c r="U1017" s="42"/>
      <c r="V1017" s="78"/>
      <c r="Z1017" s="181"/>
      <c r="AA1017" s="183"/>
      <c r="AC1017" s="26"/>
      <c r="AD1017" s="279"/>
      <c r="AE1017" s="26"/>
      <c r="AF1017" s="26"/>
      <c r="AG1017" s="278" t="str">
        <f t="shared" si="126"/>
        <v/>
      </c>
      <c r="AH1017" s="278" t="str">
        <f t="shared" si="127"/>
        <v/>
      </c>
      <c r="AJ1017" s="25"/>
      <c r="AK1017" s="25"/>
      <c r="AL1017" s="25"/>
      <c r="AM1017" s="25"/>
      <c r="AN1017" s="25"/>
      <c r="AO1017" s="25"/>
      <c r="AP1017" s="25"/>
      <c r="AQ1017" s="25"/>
      <c r="AR1017" s="25"/>
      <c r="AS1017" s="25"/>
      <c r="AT1017" s="25"/>
      <c r="AU1017" s="25"/>
      <c r="AV1017" s="43"/>
      <c r="AW1017" s="43"/>
      <c r="AX1017" s="114" t="s">
        <v>76</v>
      </c>
      <c r="AY1017" s="43"/>
      <c r="AZ1017" s="43"/>
      <c r="BA1017" s="43"/>
      <c r="BB1017" s="43"/>
    </row>
    <row r="1018" spans="2:54" ht="12.75" customHeight="1">
      <c r="B1018" s="320"/>
      <c r="C1018" s="134"/>
      <c r="D1018" s="98"/>
      <c r="E1018" s="504"/>
      <c r="F1018" s="306"/>
      <c r="G1018" s="265"/>
      <c r="H1018" s="266"/>
      <c r="I1018" s="297"/>
      <c r="J1018" s="298"/>
      <c r="K1018" s="298"/>
      <c r="L1018" s="298"/>
      <c r="M1018" s="41"/>
      <c r="N1018" s="21"/>
      <c r="O1018" s="21"/>
      <c r="P1018" s="21"/>
      <c r="Q1018" s="326"/>
      <c r="R1018" s="40"/>
      <c r="S1018" s="84"/>
      <c r="T1018" s="40"/>
      <c r="U1018" s="42"/>
      <c r="V1018" s="78"/>
      <c r="Z1018" s="181"/>
      <c r="AA1018" s="183"/>
      <c r="AC1018" s="26"/>
      <c r="AD1018" s="279"/>
      <c r="AE1018" s="26"/>
      <c r="AF1018" s="26"/>
      <c r="AG1018" s="278" t="str">
        <f t="shared" si="126"/>
        <v/>
      </c>
      <c r="AH1018" s="278" t="str">
        <f t="shared" si="127"/>
        <v/>
      </c>
      <c r="AJ1018" s="25"/>
      <c r="AK1018" s="25"/>
      <c r="AL1018" s="25"/>
      <c r="AM1018" s="25"/>
      <c r="AN1018" s="25"/>
      <c r="AO1018" s="25"/>
      <c r="AP1018" s="25"/>
      <c r="AQ1018" s="25"/>
      <c r="AR1018" s="25"/>
      <c r="AS1018" s="25"/>
      <c r="AT1018" s="25"/>
      <c r="AU1018" s="25"/>
      <c r="AV1018" s="43"/>
      <c r="AW1018" s="43"/>
      <c r="AX1018" s="114" t="s">
        <v>76</v>
      </c>
      <c r="AY1018" s="43"/>
      <c r="AZ1018" s="43"/>
      <c r="BA1018" s="43"/>
      <c r="BB1018" s="43"/>
    </row>
    <row r="1019" spans="2:54" ht="12.75" customHeight="1">
      <c r="B1019" s="320"/>
      <c r="C1019" s="134"/>
      <c r="D1019" s="98"/>
      <c r="E1019" s="504"/>
      <c r="F1019" s="306"/>
      <c r="G1019" s="265"/>
      <c r="H1019" s="266"/>
      <c r="I1019" s="297"/>
      <c r="J1019" s="298"/>
      <c r="K1019" s="298"/>
      <c r="L1019" s="298"/>
      <c r="M1019" s="41"/>
      <c r="N1019" s="21"/>
      <c r="O1019" s="21"/>
      <c r="P1019" s="21"/>
      <c r="Q1019" s="326"/>
      <c r="R1019" s="40"/>
      <c r="S1019" s="84"/>
      <c r="T1019" s="40"/>
      <c r="U1019" s="42"/>
      <c r="V1019" s="78"/>
      <c r="Z1019" s="181"/>
      <c r="AA1019" s="183"/>
      <c r="AC1019" s="26"/>
      <c r="AD1019" s="279"/>
      <c r="AE1019" s="26"/>
      <c r="AF1019" s="26"/>
      <c r="AG1019" s="278" t="str">
        <f t="shared" si="126"/>
        <v/>
      </c>
      <c r="AH1019" s="278" t="str">
        <f t="shared" si="127"/>
        <v/>
      </c>
      <c r="AJ1019" s="25"/>
      <c r="AK1019" s="25"/>
      <c r="AL1019" s="25"/>
      <c r="AM1019" s="25"/>
      <c r="AN1019" s="25"/>
      <c r="AO1019" s="25"/>
      <c r="AP1019" s="25"/>
      <c r="AQ1019" s="25"/>
      <c r="AR1019" s="25"/>
      <c r="AS1019" s="25"/>
      <c r="AT1019" s="25"/>
      <c r="AU1019" s="25"/>
      <c r="AV1019" s="43"/>
      <c r="AW1019" s="43"/>
      <c r="AX1019" s="114" t="s">
        <v>76</v>
      </c>
      <c r="AY1019" s="43"/>
      <c r="AZ1019" s="43"/>
      <c r="BA1019" s="43"/>
      <c r="BB1019" s="43"/>
    </row>
    <row r="1020" spans="2:54" ht="12.75" customHeight="1">
      <c r="B1020" s="320"/>
      <c r="C1020" s="134"/>
      <c r="D1020" s="98"/>
      <c r="E1020" s="504"/>
      <c r="F1020" s="306"/>
      <c r="G1020" s="265"/>
      <c r="H1020" s="266"/>
      <c r="I1020" s="297"/>
      <c r="J1020" s="298"/>
      <c r="K1020" s="298"/>
      <c r="L1020" s="298"/>
      <c r="M1020" s="41"/>
      <c r="N1020" s="21"/>
      <c r="O1020" s="21"/>
      <c r="P1020" s="21"/>
      <c r="Q1020" s="326"/>
      <c r="R1020" s="40"/>
      <c r="S1020" s="84"/>
      <c r="T1020" s="40"/>
      <c r="U1020" s="42"/>
      <c r="V1020" s="78"/>
      <c r="Z1020" s="181"/>
      <c r="AA1020" s="183"/>
      <c r="AC1020" s="26"/>
      <c r="AD1020" s="279"/>
      <c r="AE1020" s="26"/>
      <c r="AF1020" s="26"/>
      <c r="AG1020" s="278" t="str">
        <f t="shared" si="126"/>
        <v/>
      </c>
      <c r="AH1020" s="278" t="str">
        <f t="shared" si="127"/>
        <v/>
      </c>
      <c r="AJ1020" s="25"/>
      <c r="AK1020" s="25"/>
      <c r="AL1020" s="25"/>
      <c r="AM1020" s="25"/>
      <c r="AN1020" s="25"/>
      <c r="AO1020" s="25"/>
      <c r="AP1020" s="25"/>
      <c r="AQ1020" s="25"/>
      <c r="AR1020" s="25"/>
      <c r="AS1020" s="25"/>
      <c r="AT1020" s="25"/>
      <c r="AU1020" s="25"/>
      <c r="AV1020" s="43"/>
      <c r="AW1020" s="43"/>
      <c r="AX1020" s="114" t="s">
        <v>76</v>
      </c>
      <c r="AY1020" s="43"/>
      <c r="AZ1020" s="43"/>
      <c r="BA1020" s="43"/>
      <c r="BB1020" s="43"/>
    </row>
    <row r="1021" spans="2:54" ht="12.75" customHeight="1">
      <c r="B1021" s="320"/>
      <c r="C1021" s="134"/>
      <c r="D1021" s="98"/>
      <c r="E1021" s="504"/>
      <c r="F1021" s="306"/>
      <c r="G1021" s="265"/>
      <c r="H1021" s="266"/>
      <c r="I1021" s="297"/>
      <c r="J1021" s="298"/>
      <c r="K1021" s="298"/>
      <c r="L1021" s="298"/>
      <c r="M1021" s="41"/>
      <c r="N1021" s="21"/>
      <c r="O1021" s="21"/>
      <c r="P1021" s="21"/>
      <c r="Q1021" s="326"/>
      <c r="R1021" s="40"/>
      <c r="S1021" s="84"/>
      <c r="T1021" s="40"/>
      <c r="U1021" s="42"/>
      <c r="V1021" s="78"/>
      <c r="Z1021" s="181"/>
      <c r="AA1021" s="183"/>
      <c r="AC1021" s="26"/>
      <c r="AD1021" s="279"/>
      <c r="AE1021" s="26"/>
      <c r="AF1021" s="26"/>
      <c r="AG1021" s="278" t="str">
        <f t="shared" si="126"/>
        <v/>
      </c>
      <c r="AH1021" s="278" t="str">
        <f t="shared" si="127"/>
        <v/>
      </c>
      <c r="AJ1021" s="25"/>
      <c r="AK1021" s="25"/>
      <c r="AL1021" s="25"/>
      <c r="AM1021" s="25"/>
      <c r="AN1021" s="25"/>
      <c r="AO1021" s="25"/>
      <c r="AP1021" s="25"/>
      <c r="AQ1021" s="25"/>
      <c r="AR1021" s="25"/>
      <c r="AS1021" s="25"/>
      <c r="AT1021" s="25"/>
      <c r="AU1021" s="25"/>
      <c r="AV1021" s="43"/>
      <c r="AW1021" s="43"/>
      <c r="AX1021" s="114" t="s">
        <v>76</v>
      </c>
      <c r="AY1021" s="43"/>
      <c r="AZ1021" s="43"/>
      <c r="BA1021" s="43"/>
      <c r="BB1021" s="43"/>
    </row>
    <row r="1022" spans="2:54" ht="12.75" customHeight="1">
      <c r="B1022" s="320"/>
      <c r="C1022" s="134"/>
      <c r="D1022" s="98"/>
      <c r="E1022" s="504"/>
      <c r="F1022" s="306"/>
      <c r="G1022" s="265"/>
      <c r="H1022" s="266"/>
      <c r="I1022" s="297"/>
      <c r="J1022" s="298"/>
      <c r="K1022" s="298"/>
      <c r="L1022" s="298"/>
      <c r="M1022" s="41"/>
      <c r="N1022" s="21"/>
      <c r="O1022" s="21"/>
      <c r="P1022" s="21"/>
      <c r="Q1022" s="326"/>
      <c r="R1022" s="40"/>
      <c r="S1022" s="84"/>
      <c r="T1022" s="40"/>
      <c r="U1022" s="42"/>
      <c r="V1022" s="78"/>
      <c r="Z1022" s="181"/>
      <c r="AA1022" s="183"/>
      <c r="AC1022" s="26"/>
      <c r="AD1022" s="279"/>
      <c r="AE1022" s="26"/>
      <c r="AF1022" s="26"/>
      <c r="AG1022" s="278" t="str">
        <f t="shared" si="126"/>
        <v/>
      </c>
      <c r="AH1022" s="278" t="str">
        <f t="shared" si="127"/>
        <v/>
      </c>
      <c r="AJ1022" s="25"/>
      <c r="AK1022" s="25"/>
      <c r="AL1022" s="25"/>
      <c r="AM1022" s="25"/>
      <c r="AN1022" s="25"/>
      <c r="AO1022" s="25"/>
      <c r="AP1022" s="25"/>
      <c r="AQ1022" s="25"/>
      <c r="AR1022" s="25"/>
      <c r="AS1022" s="25"/>
      <c r="AT1022" s="25"/>
      <c r="AU1022" s="25"/>
      <c r="AV1022" s="43"/>
      <c r="AW1022" s="43"/>
      <c r="AX1022" s="114" t="s">
        <v>76</v>
      </c>
      <c r="AY1022" s="43"/>
      <c r="AZ1022" s="43"/>
      <c r="BA1022" s="43"/>
      <c r="BB1022" s="43"/>
    </row>
    <row r="1023" spans="2:54" ht="12.75" customHeight="1">
      <c r="B1023" s="320"/>
      <c r="C1023" s="134"/>
      <c r="D1023" s="98"/>
      <c r="E1023" s="504"/>
      <c r="F1023" s="306"/>
      <c r="G1023" s="265"/>
      <c r="H1023" s="266"/>
      <c r="I1023" s="297"/>
      <c r="J1023" s="298"/>
      <c r="K1023" s="298"/>
      <c r="L1023" s="298"/>
      <c r="M1023" s="41"/>
      <c r="N1023" s="21"/>
      <c r="O1023" s="21"/>
      <c r="P1023" s="21"/>
      <c r="Q1023" s="326"/>
      <c r="R1023" s="40"/>
      <c r="S1023" s="84"/>
      <c r="T1023" s="40"/>
      <c r="U1023" s="42"/>
      <c r="V1023" s="78"/>
      <c r="Z1023" s="181"/>
      <c r="AA1023" s="183"/>
      <c r="AC1023" s="26"/>
      <c r="AD1023" s="279"/>
      <c r="AE1023" s="26"/>
      <c r="AF1023" s="26"/>
      <c r="AG1023" s="278" t="str">
        <f t="shared" si="126"/>
        <v/>
      </c>
      <c r="AH1023" s="278" t="str">
        <f t="shared" si="127"/>
        <v/>
      </c>
      <c r="AJ1023" s="25"/>
      <c r="AK1023" s="25"/>
      <c r="AL1023" s="25"/>
      <c r="AM1023" s="25"/>
      <c r="AN1023" s="25"/>
      <c r="AO1023" s="25"/>
      <c r="AP1023" s="25"/>
      <c r="AQ1023" s="25"/>
      <c r="AR1023" s="25"/>
      <c r="AS1023" s="25"/>
      <c r="AT1023" s="25"/>
      <c r="AU1023" s="25"/>
      <c r="AV1023" s="43"/>
      <c r="AW1023" s="43"/>
      <c r="AX1023" s="114" t="s">
        <v>76</v>
      </c>
      <c r="AY1023" s="43"/>
      <c r="AZ1023" s="43"/>
      <c r="BA1023" s="43"/>
      <c r="BB1023" s="43"/>
    </row>
    <row r="1024" spans="2:54" ht="12.75" customHeight="1">
      <c r="B1024" s="320"/>
      <c r="C1024" s="134"/>
      <c r="D1024" s="98"/>
      <c r="E1024" s="504"/>
      <c r="F1024" s="306"/>
      <c r="G1024" s="265"/>
      <c r="H1024" s="266"/>
      <c r="I1024" s="297"/>
      <c r="J1024" s="298"/>
      <c r="K1024" s="298"/>
      <c r="L1024" s="298"/>
      <c r="M1024" s="41"/>
      <c r="N1024" s="21"/>
      <c r="O1024" s="21"/>
      <c r="P1024" s="21"/>
      <c r="Q1024" s="326"/>
      <c r="R1024" s="40"/>
      <c r="S1024" s="84"/>
      <c r="T1024" s="40"/>
      <c r="U1024" s="42"/>
      <c r="V1024" s="78"/>
      <c r="Z1024" s="181"/>
      <c r="AA1024" s="183"/>
      <c r="AC1024" s="26"/>
      <c r="AD1024" s="279"/>
      <c r="AE1024" s="26"/>
      <c r="AF1024" s="26"/>
      <c r="AG1024" s="278" t="str">
        <f t="shared" si="126"/>
        <v/>
      </c>
      <c r="AH1024" s="278" t="str">
        <f t="shared" si="127"/>
        <v/>
      </c>
      <c r="AJ1024" s="25"/>
      <c r="AK1024" s="25"/>
      <c r="AL1024" s="25"/>
      <c r="AM1024" s="25"/>
      <c r="AN1024" s="25"/>
      <c r="AO1024" s="25"/>
      <c r="AP1024" s="25"/>
      <c r="AQ1024" s="25"/>
      <c r="AR1024" s="25"/>
      <c r="AS1024" s="25"/>
      <c r="AT1024" s="25"/>
      <c r="AU1024" s="25"/>
      <c r="AV1024" s="43"/>
      <c r="AW1024" s="43"/>
      <c r="AX1024" s="114" t="s">
        <v>76</v>
      </c>
      <c r="AY1024" s="43"/>
      <c r="AZ1024" s="43"/>
      <c r="BA1024" s="43"/>
      <c r="BB1024" s="43"/>
    </row>
    <row r="1025" spans="2:54" ht="12.75" customHeight="1">
      <c r="B1025" s="320"/>
      <c r="C1025" s="134"/>
      <c r="D1025" s="98"/>
      <c r="E1025" s="504"/>
      <c r="F1025" s="306"/>
      <c r="G1025" s="265"/>
      <c r="H1025" s="266"/>
      <c r="I1025" s="297"/>
      <c r="J1025" s="298"/>
      <c r="K1025" s="298"/>
      <c r="L1025" s="298"/>
      <c r="M1025" s="41"/>
      <c r="N1025" s="21"/>
      <c r="O1025" s="21"/>
      <c r="P1025" s="21"/>
      <c r="Q1025" s="326"/>
      <c r="R1025" s="40"/>
      <c r="S1025" s="84"/>
      <c r="T1025" s="40"/>
      <c r="U1025" s="42"/>
      <c r="V1025" s="78"/>
      <c r="Z1025" s="181"/>
      <c r="AA1025" s="183"/>
      <c r="AC1025" s="26"/>
      <c r="AD1025" s="279"/>
      <c r="AE1025" s="26"/>
      <c r="AF1025" s="26"/>
      <c r="AG1025" s="278" t="str">
        <f t="shared" si="126"/>
        <v/>
      </c>
      <c r="AH1025" s="278" t="str">
        <f t="shared" si="127"/>
        <v/>
      </c>
      <c r="AJ1025" s="25"/>
      <c r="AK1025" s="25"/>
      <c r="AL1025" s="25"/>
      <c r="AM1025" s="25"/>
      <c r="AN1025" s="25"/>
      <c r="AO1025" s="25"/>
      <c r="AP1025" s="25"/>
      <c r="AQ1025" s="25"/>
      <c r="AR1025" s="25"/>
      <c r="AS1025" s="25"/>
      <c r="AT1025" s="25"/>
      <c r="AU1025" s="25"/>
      <c r="AV1025" s="43"/>
      <c r="AW1025" s="43"/>
      <c r="AX1025" s="114" t="s">
        <v>76</v>
      </c>
      <c r="AY1025" s="43"/>
      <c r="AZ1025" s="43"/>
      <c r="BA1025" s="43"/>
      <c r="BB1025" s="43"/>
    </row>
    <row r="1026" spans="2:54" ht="12.75" customHeight="1">
      <c r="B1026" s="320"/>
      <c r="C1026" s="134"/>
      <c r="D1026" s="98"/>
      <c r="E1026" s="504"/>
      <c r="F1026" s="306"/>
      <c r="G1026" s="265"/>
      <c r="H1026" s="266"/>
      <c r="I1026" s="297"/>
      <c r="J1026" s="298"/>
      <c r="K1026" s="298"/>
      <c r="L1026" s="298"/>
      <c r="M1026" s="41"/>
      <c r="N1026" s="21"/>
      <c r="O1026" s="21"/>
      <c r="P1026" s="21"/>
      <c r="Q1026" s="326"/>
      <c r="R1026" s="40"/>
      <c r="S1026" s="84"/>
      <c r="T1026" s="40"/>
      <c r="U1026" s="42"/>
      <c r="V1026" s="78"/>
      <c r="Z1026" s="181"/>
      <c r="AA1026" s="183"/>
      <c r="AC1026" s="26"/>
      <c r="AD1026" s="279"/>
      <c r="AE1026" s="26"/>
      <c r="AF1026" s="26"/>
      <c r="AG1026" s="278" t="str">
        <f t="shared" si="126"/>
        <v/>
      </c>
      <c r="AH1026" s="278" t="str">
        <f t="shared" si="127"/>
        <v/>
      </c>
      <c r="AJ1026" s="25"/>
      <c r="AK1026" s="25"/>
      <c r="AL1026" s="25"/>
      <c r="AM1026" s="25"/>
      <c r="AN1026" s="25"/>
      <c r="AO1026" s="25"/>
      <c r="AP1026" s="25"/>
      <c r="AQ1026" s="25"/>
      <c r="AR1026" s="25"/>
      <c r="AS1026" s="25"/>
      <c r="AT1026" s="25"/>
      <c r="AU1026" s="25"/>
      <c r="AV1026" s="43"/>
      <c r="AW1026" s="43"/>
      <c r="AX1026" s="114" t="s">
        <v>76</v>
      </c>
      <c r="AY1026" s="43"/>
      <c r="AZ1026" s="43"/>
      <c r="BA1026" s="43"/>
      <c r="BB1026" s="43"/>
    </row>
    <row r="1027" spans="2:54" ht="12.75" customHeight="1">
      <c r="B1027" s="320"/>
      <c r="C1027" s="134"/>
      <c r="D1027" s="98"/>
      <c r="E1027" s="504"/>
      <c r="F1027" s="306"/>
      <c r="G1027" s="265"/>
      <c r="H1027" s="266"/>
      <c r="I1027" s="297"/>
      <c r="J1027" s="298"/>
      <c r="K1027" s="298"/>
      <c r="L1027" s="298"/>
      <c r="M1027" s="41"/>
      <c r="N1027" s="21"/>
      <c r="O1027" s="21"/>
      <c r="P1027" s="21"/>
      <c r="Q1027" s="326"/>
      <c r="R1027" s="40"/>
      <c r="S1027" s="84"/>
      <c r="T1027" s="40"/>
      <c r="U1027" s="42"/>
      <c r="V1027" s="78"/>
      <c r="Z1027" s="181"/>
      <c r="AA1027" s="183"/>
      <c r="AC1027" s="26"/>
      <c r="AD1027" s="279"/>
      <c r="AE1027" s="26"/>
      <c r="AF1027" s="26"/>
      <c r="AG1027" s="278" t="str">
        <f t="shared" si="126"/>
        <v/>
      </c>
      <c r="AH1027" s="278" t="str">
        <f t="shared" si="127"/>
        <v/>
      </c>
      <c r="AJ1027" s="25"/>
      <c r="AK1027" s="25"/>
      <c r="AL1027" s="25"/>
      <c r="AM1027" s="25"/>
      <c r="AN1027" s="25"/>
      <c r="AO1027" s="25"/>
      <c r="AP1027" s="25"/>
      <c r="AQ1027" s="25"/>
      <c r="AR1027" s="25"/>
      <c r="AS1027" s="25"/>
      <c r="AT1027" s="25"/>
      <c r="AU1027" s="25"/>
      <c r="AV1027" s="43"/>
      <c r="AW1027" s="43"/>
      <c r="AX1027" s="114" t="s">
        <v>76</v>
      </c>
      <c r="AY1027" s="43"/>
      <c r="AZ1027" s="43"/>
      <c r="BA1027" s="43"/>
      <c r="BB1027" s="43"/>
    </row>
    <row r="1028" spans="2:54" ht="12.75" customHeight="1">
      <c r="B1028" s="320"/>
      <c r="C1028" s="134"/>
      <c r="D1028" s="98"/>
      <c r="E1028" s="504"/>
      <c r="F1028" s="306"/>
      <c r="G1028" s="265"/>
      <c r="H1028" s="266"/>
      <c r="I1028" s="297"/>
      <c r="J1028" s="298"/>
      <c r="K1028" s="298"/>
      <c r="L1028" s="298"/>
      <c r="M1028" s="41"/>
      <c r="N1028" s="21"/>
      <c r="O1028" s="21"/>
      <c r="P1028" s="21"/>
      <c r="Q1028" s="326"/>
      <c r="R1028" s="40"/>
      <c r="S1028" s="84"/>
      <c r="T1028" s="40"/>
      <c r="U1028" s="42"/>
      <c r="V1028" s="78"/>
      <c r="Z1028" s="181"/>
      <c r="AA1028" s="183"/>
      <c r="AC1028" s="26"/>
      <c r="AD1028" s="279"/>
      <c r="AE1028" s="26"/>
      <c r="AF1028" s="26"/>
      <c r="AG1028" s="278" t="str">
        <f t="shared" si="126"/>
        <v/>
      </c>
      <c r="AH1028" s="278" t="str">
        <f t="shared" si="127"/>
        <v/>
      </c>
      <c r="AJ1028" s="25"/>
      <c r="AK1028" s="25"/>
      <c r="AL1028" s="25"/>
      <c r="AM1028" s="25"/>
      <c r="AN1028" s="25"/>
      <c r="AO1028" s="25"/>
      <c r="AP1028" s="25"/>
      <c r="AQ1028" s="25"/>
      <c r="AR1028" s="25"/>
      <c r="AS1028" s="25"/>
      <c r="AT1028" s="25"/>
      <c r="AU1028" s="25"/>
      <c r="AV1028" s="43"/>
      <c r="AW1028" s="43"/>
      <c r="AX1028" s="114" t="s">
        <v>76</v>
      </c>
      <c r="AY1028" s="43"/>
      <c r="AZ1028" s="43"/>
      <c r="BA1028" s="43"/>
      <c r="BB1028" s="43"/>
    </row>
    <row r="1029" spans="2:54" ht="12.75" customHeight="1">
      <c r="B1029" s="320"/>
      <c r="C1029" s="134"/>
      <c r="D1029" s="98"/>
      <c r="E1029" s="504"/>
      <c r="F1029" s="306"/>
      <c r="G1029" s="265"/>
      <c r="H1029" s="266"/>
      <c r="I1029" s="297"/>
      <c r="J1029" s="298"/>
      <c r="K1029" s="298"/>
      <c r="L1029" s="298"/>
      <c r="M1029" s="41"/>
      <c r="N1029" s="21"/>
      <c r="O1029" s="21"/>
      <c r="P1029" s="21"/>
      <c r="Q1029" s="326"/>
      <c r="R1029" s="40"/>
      <c r="S1029" s="84"/>
      <c r="T1029" s="40"/>
      <c r="U1029" s="42"/>
      <c r="V1029" s="78"/>
      <c r="Z1029" s="181"/>
      <c r="AA1029" s="183"/>
      <c r="AC1029" s="26"/>
      <c r="AD1029" s="279"/>
      <c r="AE1029" s="26"/>
      <c r="AF1029" s="26"/>
      <c r="AG1029" s="278" t="str">
        <f t="shared" si="126"/>
        <v/>
      </c>
      <c r="AH1029" s="278" t="str">
        <f t="shared" si="127"/>
        <v/>
      </c>
      <c r="AJ1029" s="25"/>
      <c r="AK1029" s="25"/>
      <c r="AL1029" s="25"/>
      <c r="AM1029" s="25"/>
      <c r="AN1029" s="25"/>
      <c r="AO1029" s="25"/>
      <c r="AP1029" s="25"/>
      <c r="AQ1029" s="25"/>
      <c r="AR1029" s="25"/>
      <c r="AS1029" s="25"/>
      <c r="AT1029" s="25"/>
      <c r="AU1029" s="25"/>
      <c r="AV1029" s="43"/>
      <c r="AW1029" s="43"/>
      <c r="AX1029" s="114" t="s">
        <v>76</v>
      </c>
      <c r="AY1029" s="43"/>
      <c r="AZ1029" s="43"/>
      <c r="BA1029" s="43"/>
      <c r="BB1029" s="43"/>
    </row>
    <row r="1030" spans="2:54" ht="12.75" customHeight="1">
      <c r="B1030" s="320"/>
      <c r="C1030" s="134"/>
      <c r="D1030" s="98"/>
      <c r="E1030" s="504"/>
      <c r="F1030" s="306"/>
      <c r="G1030" s="265"/>
      <c r="H1030" s="266"/>
      <c r="I1030" s="297"/>
      <c r="J1030" s="298"/>
      <c r="K1030" s="298"/>
      <c r="L1030" s="298"/>
      <c r="M1030" s="41"/>
      <c r="N1030" s="21"/>
      <c r="O1030" s="21"/>
      <c r="P1030" s="21"/>
      <c r="Q1030" s="326"/>
      <c r="R1030" s="40"/>
      <c r="S1030" s="84"/>
      <c r="T1030" s="40"/>
      <c r="U1030" s="42"/>
      <c r="V1030" s="78"/>
      <c r="Z1030" s="181"/>
      <c r="AA1030" s="183"/>
      <c r="AC1030" s="26"/>
      <c r="AD1030" s="279"/>
      <c r="AE1030" s="26"/>
      <c r="AF1030" s="26"/>
      <c r="AG1030" s="278" t="str">
        <f t="shared" ref="AG1030:AG1093" si="128">IF(AE1030="","",AE1030*AltBounce)</f>
        <v/>
      </c>
      <c r="AH1030" s="278" t="str">
        <f t="shared" ref="AH1030:AH1093" si="129">IF(AA1030="","",AE1030*(1/AltBounce))</f>
        <v/>
      </c>
      <c r="AJ1030" s="25"/>
      <c r="AK1030" s="25"/>
      <c r="AL1030" s="25"/>
      <c r="AM1030" s="25"/>
      <c r="AN1030" s="25"/>
      <c r="AO1030" s="25"/>
      <c r="AP1030" s="25"/>
      <c r="AQ1030" s="25"/>
      <c r="AR1030" s="25"/>
      <c r="AS1030" s="25"/>
      <c r="AT1030" s="25"/>
      <c r="AU1030" s="25"/>
      <c r="AV1030" s="43"/>
      <c r="AW1030" s="43"/>
      <c r="AX1030" s="114" t="s">
        <v>76</v>
      </c>
      <c r="AY1030" s="43"/>
      <c r="AZ1030" s="43"/>
      <c r="BA1030" s="43"/>
      <c r="BB1030" s="43"/>
    </row>
    <row r="1031" spans="2:54" ht="12.75" customHeight="1">
      <c r="B1031" s="320"/>
      <c r="C1031" s="134"/>
      <c r="D1031" s="98"/>
      <c r="E1031" s="504"/>
      <c r="F1031" s="306"/>
      <c r="G1031" s="265"/>
      <c r="H1031" s="266"/>
      <c r="I1031" s="297"/>
      <c r="J1031" s="298"/>
      <c r="K1031" s="298"/>
      <c r="L1031" s="298"/>
      <c r="M1031" s="41"/>
      <c r="N1031" s="21"/>
      <c r="O1031" s="21"/>
      <c r="P1031" s="21"/>
      <c r="Q1031" s="326"/>
      <c r="R1031" s="40"/>
      <c r="S1031" s="84"/>
      <c r="T1031" s="40"/>
      <c r="U1031" s="42"/>
      <c r="V1031" s="78"/>
      <c r="Z1031" s="181"/>
      <c r="AA1031" s="183"/>
      <c r="AC1031" s="26"/>
      <c r="AD1031" s="279"/>
      <c r="AE1031" s="26"/>
      <c r="AF1031" s="26"/>
      <c r="AG1031" s="278" t="str">
        <f t="shared" si="128"/>
        <v/>
      </c>
      <c r="AH1031" s="278" t="str">
        <f t="shared" si="129"/>
        <v/>
      </c>
      <c r="AJ1031" s="25"/>
      <c r="AK1031" s="25"/>
      <c r="AL1031" s="25"/>
      <c r="AM1031" s="25"/>
      <c r="AN1031" s="25"/>
      <c r="AO1031" s="25"/>
      <c r="AP1031" s="25"/>
      <c r="AQ1031" s="25"/>
      <c r="AR1031" s="25"/>
      <c r="AS1031" s="25"/>
      <c r="AT1031" s="25"/>
      <c r="AU1031" s="25"/>
      <c r="AV1031" s="43"/>
      <c r="AW1031" s="43"/>
      <c r="AX1031" s="114" t="s">
        <v>76</v>
      </c>
      <c r="AY1031" s="43"/>
      <c r="AZ1031" s="43"/>
      <c r="BA1031" s="43"/>
      <c r="BB1031" s="43"/>
    </row>
    <row r="1032" spans="2:54" ht="12.75" customHeight="1">
      <c r="B1032" s="320"/>
      <c r="C1032" s="134"/>
      <c r="D1032" s="98"/>
      <c r="E1032" s="504"/>
      <c r="F1032" s="306"/>
      <c r="G1032" s="265"/>
      <c r="H1032" s="266"/>
      <c r="I1032" s="297"/>
      <c r="J1032" s="298"/>
      <c r="K1032" s="298"/>
      <c r="L1032" s="298"/>
      <c r="M1032" s="41"/>
      <c r="N1032" s="21"/>
      <c r="O1032" s="21"/>
      <c r="P1032" s="21"/>
      <c r="Q1032" s="326"/>
      <c r="R1032" s="40"/>
      <c r="S1032" s="84"/>
      <c r="T1032" s="40"/>
      <c r="U1032" s="42"/>
      <c r="V1032" s="78"/>
      <c r="Z1032" s="181"/>
      <c r="AA1032" s="183"/>
      <c r="AC1032" s="26"/>
      <c r="AD1032" s="279"/>
      <c r="AE1032" s="26"/>
      <c r="AF1032" s="26"/>
      <c r="AG1032" s="278" t="str">
        <f t="shared" si="128"/>
        <v/>
      </c>
      <c r="AH1032" s="278" t="str">
        <f t="shared" si="129"/>
        <v/>
      </c>
      <c r="AJ1032" s="25"/>
      <c r="AK1032" s="25"/>
      <c r="AL1032" s="25"/>
      <c r="AM1032" s="25"/>
      <c r="AN1032" s="25"/>
      <c r="AO1032" s="25"/>
      <c r="AP1032" s="25"/>
      <c r="AQ1032" s="25"/>
      <c r="AR1032" s="25"/>
      <c r="AS1032" s="25"/>
      <c r="AT1032" s="25"/>
      <c r="AU1032" s="25"/>
      <c r="AV1032" s="43"/>
      <c r="AW1032" s="43"/>
      <c r="AX1032" s="114" t="s">
        <v>76</v>
      </c>
      <c r="AY1032" s="43"/>
      <c r="AZ1032" s="43"/>
      <c r="BA1032" s="43"/>
      <c r="BB1032" s="43"/>
    </row>
    <row r="1033" spans="2:54" ht="12.75" customHeight="1">
      <c r="B1033" s="320"/>
      <c r="C1033" s="134"/>
      <c r="D1033" s="98"/>
      <c r="E1033" s="504"/>
      <c r="F1033" s="306"/>
      <c r="G1033" s="265"/>
      <c r="H1033" s="266"/>
      <c r="I1033" s="297"/>
      <c r="J1033" s="298"/>
      <c r="K1033" s="298"/>
      <c r="L1033" s="298"/>
      <c r="M1033" s="41"/>
      <c r="N1033" s="21"/>
      <c r="O1033" s="21"/>
      <c r="P1033" s="21"/>
      <c r="Q1033" s="326"/>
      <c r="R1033" s="40"/>
      <c r="S1033" s="84"/>
      <c r="T1033" s="40"/>
      <c r="U1033" s="42"/>
      <c r="V1033" s="78"/>
      <c r="Z1033" s="181"/>
      <c r="AA1033" s="183"/>
      <c r="AC1033" s="26"/>
      <c r="AD1033" s="279"/>
      <c r="AE1033" s="26"/>
      <c r="AF1033" s="26"/>
      <c r="AG1033" s="278" t="str">
        <f t="shared" si="128"/>
        <v/>
      </c>
      <c r="AH1033" s="278" t="str">
        <f t="shared" si="129"/>
        <v/>
      </c>
      <c r="AJ1033" s="25"/>
      <c r="AK1033" s="25"/>
      <c r="AL1033" s="25"/>
      <c r="AM1033" s="25"/>
      <c r="AN1033" s="25"/>
      <c r="AO1033" s="25"/>
      <c r="AP1033" s="25"/>
      <c r="AQ1033" s="25"/>
      <c r="AR1033" s="25"/>
      <c r="AS1033" s="25"/>
      <c r="AT1033" s="25"/>
      <c r="AU1033" s="25"/>
      <c r="AV1033" s="43"/>
      <c r="AW1033" s="43"/>
      <c r="AX1033" s="114" t="s">
        <v>76</v>
      </c>
      <c r="AY1033" s="43"/>
      <c r="AZ1033" s="43"/>
      <c r="BA1033" s="43"/>
      <c r="BB1033" s="43"/>
    </row>
    <row r="1034" spans="2:54" ht="12.75" customHeight="1">
      <c r="B1034" s="320"/>
      <c r="C1034" s="134"/>
      <c r="D1034" s="98"/>
      <c r="E1034" s="504"/>
      <c r="F1034" s="306"/>
      <c r="G1034" s="265"/>
      <c r="H1034" s="266"/>
      <c r="I1034" s="297"/>
      <c r="J1034" s="298"/>
      <c r="K1034" s="298"/>
      <c r="L1034" s="298"/>
      <c r="M1034" s="41"/>
      <c r="N1034" s="21"/>
      <c r="O1034" s="21"/>
      <c r="P1034" s="21"/>
      <c r="Q1034" s="326"/>
      <c r="R1034" s="40"/>
      <c r="S1034" s="84"/>
      <c r="T1034" s="40"/>
      <c r="U1034" s="42"/>
      <c r="V1034" s="78"/>
      <c r="Z1034" s="181"/>
      <c r="AA1034" s="183"/>
      <c r="AC1034" s="26"/>
      <c r="AD1034" s="279"/>
      <c r="AE1034" s="26"/>
      <c r="AF1034" s="26"/>
      <c r="AG1034" s="278" t="str">
        <f t="shared" si="128"/>
        <v/>
      </c>
      <c r="AH1034" s="278" t="str">
        <f t="shared" si="129"/>
        <v/>
      </c>
      <c r="AJ1034" s="25"/>
      <c r="AK1034" s="25"/>
      <c r="AL1034" s="25"/>
      <c r="AM1034" s="25"/>
      <c r="AN1034" s="25"/>
      <c r="AO1034" s="25"/>
      <c r="AP1034" s="25"/>
      <c r="AQ1034" s="25"/>
      <c r="AR1034" s="25"/>
      <c r="AS1034" s="25"/>
      <c r="AT1034" s="25"/>
      <c r="AU1034" s="25"/>
      <c r="AV1034" s="43"/>
      <c r="AW1034" s="43"/>
      <c r="AX1034" s="114" t="s">
        <v>76</v>
      </c>
      <c r="AY1034" s="43"/>
      <c r="AZ1034" s="43"/>
      <c r="BA1034" s="43"/>
      <c r="BB1034" s="43"/>
    </row>
    <row r="1035" spans="2:54" ht="12.75" customHeight="1">
      <c r="B1035" s="320"/>
      <c r="C1035" s="134"/>
      <c r="D1035" s="98"/>
      <c r="E1035" s="504"/>
      <c r="F1035" s="306"/>
      <c r="G1035" s="265"/>
      <c r="H1035" s="266"/>
      <c r="I1035" s="297"/>
      <c r="J1035" s="298"/>
      <c r="K1035" s="298"/>
      <c r="L1035" s="298"/>
      <c r="M1035" s="41"/>
      <c r="N1035" s="21"/>
      <c r="O1035" s="21"/>
      <c r="P1035" s="21"/>
      <c r="Q1035" s="326"/>
      <c r="R1035" s="40"/>
      <c r="S1035" s="84"/>
      <c r="T1035" s="40"/>
      <c r="U1035" s="42"/>
      <c r="V1035" s="78"/>
      <c r="Z1035" s="181"/>
      <c r="AA1035" s="183"/>
      <c r="AC1035" s="26"/>
      <c r="AD1035" s="279"/>
      <c r="AE1035" s="26"/>
      <c r="AF1035" s="26"/>
      <c r="AG1035" s="278" t="str">
        <f t="shared" si="128"/>
        <v/>
      </c>
      <c r="AH1035" s="278" t="str">
        <f t="shared" si="129"/>
        <v/>
      </c>
      <c r="AJ1035" s="25"/>
      <c r="AK1035" s="25"/>
      <c r="AL1035" s="25"/>
      <c r="AM1035" s="25"/>
      <c r="AN1035" s="25"/>
      <c r="AO1035" s="25"/>
      <c r="AP1035" s="25"/>
      <c r="AQ1035" s="25"/>
      <c r="AR1035" s="25"/>
      <c r="AS1035" s="25"/>
      <c r="AT1035" s="25"/>
      <c r="AU1035" s="25"/>
      <c r="AV1035" s="43"/>
      <c r="AW1035" s="43"/>
      <c r="AX1035" s="114" t="s">
        <v>76</v>
      </c>
      <c r="AY1035" s="43"/>
      <c r="AZ1035" s="43"/>
      <c r="BA1035" s="43"/>
      <c r="BB1035" s="43"/>
    </row>
    <row r="1036" spans="2:54" ht="12.75" customHeight="1">
      <c r="B1036" s="320"/>
      <c r="C1036" s="134"/>
      <c r="D1036" s="98"/>
      <c r="E1036" s="504"/>
      <c r="F1036" s="306"/>
      <c r="G1036" s="265"/>
      <c r="H1036" s="266"/>
      <c r="I1036" s="297"/>
      <c r="J1036" s="298"/>
      <c r="K1036" s="298"/>
      <c r="L1036" s="298"/>
      <c r="M1036" s="41"/>
      <c r="N1036" s="21"/>
      <c r="O1036" s="21"/>
      <c r="P1036" s="21"/>
      <c r="Q1036" s="326"/>
      <c r="R1036" s="40"/>
      <c r="S1036" s="84"/>
      <c r="T1036" s="40"/>
      <c r="U1036" s="42"/>
      <c r="V1036" s="78"/>
      <c r="Z1036" s="181"/>
      <c r="AA1036" s="183"/>
      <c r="AC1036" s="26"/>
      <c r="AD1036" s="279"/>
      <c r="AE1036" s="26"/>
      <c r="AF1036" s="26"/>
      <c r="AG1036" s="278" t="str">
        <f t="shared" si="128"/>
        <v/>
      </c>
      <c r="AH1036" s="278" t="str">
        <f t="shared" si="129"/>
        <v/>
      </c>
      <c r="AJ1036" s="25"/>
      <c r="AK1036" s="25"/>
      <c r="AL1036" s="25"/>
      <c r="AM1036" s="25"/>
      <c r="AN1036" s="25"/>
      <c r="AO1036" s="25"/>
      <c r="AP1036" s="25"/>
      <c r="AQ1036" s="25"/>
      <c r="AR1036" s="25"/>
      <c r="AS1036" s="25"/>
      <c r="AT1036" s="25"/>
      <c r="AU1036" s="25"/>
      <c r="AV1036" s="43"/>
      <c r="AW1036" s="43"/>
      <c r="AX1036" s="114" t="s">
        <v>76</v>
      </c>
      <c r="AY1036" s="43"/>
      <c r="AZ1036" s="43"/>
      <c r="BA1036" s="43"/>
      <c r="BB1036" s="43"/>
    </row>
    <row r="1037" spans="2:54" ht="12.75" customHeight="1">
      <c r="B1037" s="320"/>
      <c r="C1037" s="134"/>
      <c r="D1037" s="98"/>
      <c r="E1037" s="504"/>
      <c r="F1037" s="306"/>
      <c r="G1037" s="265"/>
      <c r="H1037" s="266"/>
      <c r="I1037" s="297"/>
      <c r="J1037" s="298"/>
      <c r="K1037" s="298"/>
      <c r="L1037" s="298"/>
      <c r="M1037" s="41"/>
      <c r="N1037" s="21"/>
      <c r="O1037" s="21"/>
      <c r="P1037" s="21"/>
      <c r="Q1037" s="326"/>
      <c r="R1037" s="40"/>
      <c r="S1037" s="84"/>
      <c r="T1037" s="40"/>
      <c r="U1037" s="42"/>
      <c r="V1037" s="78"/>
      <c r="Z1037" s="181"/>
      <c r="AA1037" s="183"/>
      <c r="AC1037" s="26"/>
      <c r="AD1037" s="279"/>
      <c r="AE1037" s="26"/>
      <c r="AF1037" s="26"/>
      <c r="AG1037" s="278" t="str">
        <f t="shared" si="128"/>
        <v/>
      </c>
      <c r="AH1037" s="278" t="str">
        <f t="shared" si="129"/>
        <v/>
      </c>
      <c r="AJ1037" s="25"/>
      <c r="AK1037" s="25"/>
      <c r="AL1037" s="25"/>
      <c r="AM1037" s="25"/>
      <c r="AN1037" s="25"/>
      <c r="AO1037" s="25"/>
      <c r="AP1037" s="25"/>
      <c r="AQ1037" s="25"/>
      <c r="AR1037" s="25"/>
      <c r="AS1037" s="25"/>
      <c r="AT1037" s="25"/>
      <c r="AU1037" s="25"/>
      <c r="AV1037" s="43"/>
      <c r="AW1037" s="43"/>
      <c r="AX1037" s="114" t="s">
        <v>76</v>
      </c>
      <c r="AY1037" s="43"/>
      <c r="AZ1037" s="43"/>
      <c r="BA1037" s="43"/>
      <c r="BB1037" s="43"/>
    </row>
    <row r="1038" spans="2:54" ht="12.75" customHeight="1">
      <c r="B1038" s="320"/>
      <c r="C1038" s="134"/>
      <c r="D1038" s="98"/>
      <c r="E1038" s="504"/>
      <c r="F1038" s="306"/>
      <c r="G1038" s="265"/>
      <c r="H1038" s="266"/>
      <c r="I1038" s="297"/>
      <c r="J1038" s="298"/>
      <c r="K1038" s="298"/>
      <c r="L1038" s="298"/>
      <c r="M1038" s="41"/>
      <c r="N1038" s="21"/>
      <c r="O1038" s="21"/>
      <c r="P1038" s="21"/>
      <c r="Q1038" s="326"/>
      <c r="R1038" s="40"/>
      <c r="S1038" s="84"/>
      <c r="T1038" s="40"/>
      <c r="U1038" s="42"/>
      <c r="V1038" s="78"/>
      <c r="Z1038" s="181"/>
      <c r="AA1038" s="183"/>
      <c r="AC1038" s="26"/>
      <c r="AD1038" s="279"/>
      <c r="AE1038" s="26"/>
      <c r="AF1038" s="26"/>
      <c r="AG1038" s="278" t="str">
        <f t="shared" si="128"/>
        <v/>
      </c>
      <c r="AH1038" s="278" t="str">
        <f t="shared" si="129"/>
        <v/>
      </c>
      <c r="AJ1038" s="25"/>
      <c r="AK1038" s="25"/>
      <c r="AL1038" s="25"/>
      <c r="AM1038" s="25"/>
      <c r="AN1038" s="25"/>
      <c r="AO1038" s="25"/>
      <c r="AP1038" s="25"/>
      <c r="AQ1038" s="25"/>
      <c r="AR1038" s="25"/>
      <c r="AS1038" s="25"/>
      <c r="AT1038" s="25"/>
      <c r="AU1038" s="25"/>
      <c r="AV1038" s="43"/>
      <c r="AW1038" s="43"/>
      <c r="AX1038" s="114" t="s">
        <v>76</v>
      </c>
      <c r="AY1038" s="43"/>
      <c r="AZ1038" s="43"/>
      <c r="BA1038" s="43"/>
      <c r="BB1038" s="43"/>
    </row>
    <row r="1039" spans="2:54" ht="12.75" customHeight="1">
      <c r="B1039" s="320"/>
      <c r="C1039" s="134"/>
      <c r="D1039" s="98"/>
      <c r="E1039" s="504"/>
      <c r="F1039" s="306"/>
      <c r="G1039" s="265"/>
      <c r="H1039" s="266"/>
      <c r="I1039" s="297"/>
      <c r="J1039" s="298"/>
      <c r="K1039" s="298"/>
      <c r="L1039" s="298"/>
      <c r="M1039" s="41"/>
      <c r="N1039" s="21"/>
      <c r="O1039" s="21"/>
      <c r="P1039" s="21"/>
      <c r="Q1039" s="326"/>
      <c r="R1039" s="40"/>
      <c r="S1039" s="84"/>
      <c r="T1039" s="40"/>
      <c r="U1039" s="42"/>
      <c r="V1039" s="78"/>
      <c r="Z1039" s="181"/>
      <c r="AA1039" s="183"/>
      <c r="AC1039" s="26"/>
      <c r="AD1039" s="279"/>
      <c r="AE1039" s="26"/>
      <c r="AF1039" s="26"/>
      <c r="AG1039" s="278" t="str">
        <f t="shared" si="128"/>
        <v/>
      </c>
      <c r="AH1039" s="278" t="str">
        <f t="shared" si="129"/>
        <v/>
      </c>
      <c r="AJ1039" s="25"/>
      <c r="AK1039" s="25"/>
      <c r="AL1039" s="25"/>
      <c r="AM1039" s="25"/>
      <c r="AN1039" s="25"/>
      <c r="AO1039" s="25"/>
      <c r="AP1039" s="25"/>
      <c r="AQ1039" s="25"/>
      <c r="AR1039" s="25"/>
      <c r="AS1039" s="25"/>
      <c r="AT1039" s="25"/>
      <c r="AU1039" s="25"/>
      <c r="AV1039" s="43"/>
      <c r="AW1039" s="43"/>
      <c r="AX1039" s="114" t="s">
        <v>76</v>
      </c>
      <c r="AY1039" s="43"/>
      <c r="AZ1039" s="43"/>
      <c r="BA1039" s="43"/>
      <c r="BB1039" s="43"/>
    </row>
    <row r="1040" spans="2:54" ht="12.75" customHeight="1">
      <c r="B1040" s="320"/>
      <c r="C1040" s="134"/>
      <c r="D1040" s="98"/>
      <c r="E1040" s="504"/>
      <c r="F1040" s="306"/>
      <c r="G1040" s="265"/>
      <c r="H1040" s="266"/>
      <c r="I1040" s="297"/>
      <c r="J1040" s="298"/>
      <c r="K1040" s="298"/>
      <c r="L1040" s="298"/>
      <c r="M1040" s="41"/>
      <c r="N1040" s="21"/>
      <c r="O1040" s="21"/>
      <c r="P1040" s="21"/>
      <c r="Q1040" s="326"/>
      <c r="R1040" s="40"/>
      <c r="S1040" s="84"/>
      <c r="T1040" s="40"/>
      <c r="U1040" s="42"/>
      <c r="V1040" s="78"/>
      <c r="Z1040" s="181"/>
      <c r="AA1040" s="183"/>
      <c r="AC1040" s="26"/>
      <c r="AD1040" s="279"/>
      <c r="AE1040" s="26"/>
      <c r="AF1040" s="26"/>
      <c r="AG1040" s="278" t="str">
        <f t="shared" si="128"/>
        <v/>
      </c>
      <c r="AH1040" s="278" t="str">
        <f t="shared" si="129"/>
        <v/>
      </c>
      <c r="AJ1040" s="25"/>
      <c r="AK1040" s="25"/>
      <c r="AL1040" s="25"/>
      <c r="AM1040" s="25"/>
      <c r="AN1040" s="25"/>
      <c r="AO1040" s="25"/>
      <c r="AP1040" s="25"/>
      <c r="AQ1040" s="25"/>
      <c r="AR1040" s="25"/>
      <c r="AS1040" s="25"/>
      <c r="AT1040" s="25"/>
      <c r="AU1040" s="25"/>
      <c r="AV1040" s="43"/>
      <c r="AW1040" s="43"/>
      <c r="AX1040" s="114" t="s">
        <v>76</v>
      </c>
      <c r="AY1040" s="43"/>
      <c r="AZ1040" s="43"/>
      <c r="BA1040" s="43"/>
      <c r="BB1040" s="43"/>
    </row>
    <row r="1041" spans="2:54" ht="12.75" customHeight="1">
      <c r="B1041" s="320"/>
      <c r="C1041" s="134"/>
      <c r="D1041" s="98"/>
      <c r="E1041" s="504"/>
      <c r="F1041" s="306"/>
      <c r="G1041" s="265"/>
      <c r="H1041" s="266"/>
      <c r="I1041" s="297"/>
      <c r="J1041" s="298"/>
      <c r="K1041" s="298"/>
      <c r="L1041" s="298"/>
      <c r="M1041" s="41"/>
      <c r="N1041" s="21"/>
      <c r="O1041" s="21"/>
      <c r="P1041" s="21"/>
      <c r="Q1041" s="326"/>
      <c r="R1041" s="40"/>
      <c r="S1041" s="84"/>
      <c r="T1041" s="40"/>
      <c r="U1041" s="42"/>
      <c r="V1041" s="78"/>
      <c r="Z1041" s="181"/>
      <c r="AA1041" s="183"/>
      <c r="AC1041" s="26"/>
      <c r="AD1041" s="279"/>
      <c r="AE1041" s="26"/>
      <c r="AF1041" s="26"/>
      <c r="AG1041" s="278" t="str">
        <f t="shared" si="128"/>
        <v/>
      </c>
      <c r="AH1041" s="278" t="str">
        <f t="shared" si="129"/>
        <v/>
      </c>
      <c r="AJ1041" s="25"/>
      <c r="AK1041" s="25"/>
      <c r="AL1041" s="25"/>
      <c r="AM1041" s="25"/>
      <c r="AN1041" s="25"/>
      <c r="AO1041" s="25"/>
      <c r="AP1041" s="25"/>
      <c r="AQ1041" s="25"/>
      <c r="AR1041" s="25"/>
      <c r="AS1041" s="25"/>
      <c r="AT1041" s="25"/>
      <c r="AU1041" s="25"/>
      <c r="AV1041" s="43"/>
      <c r="AW1041" s="43"/>
      <c r="AX1041" s="114" t="s">
        <v>76</v>
      </c>
      <c r="AY1041" s="43"/>
      <c r="AZ1041" s="43"/>
      <c r="BA1041" s="43"/>
      <c r="BB1041" s="43"/>
    </row>
    <row r="1042" spans="2:54" ht="12.75" customHeight="1">
      <c r="B1042" s="320"/>
      <c r="C1042" s="134"/>
      <c r="D1042" s="98"/>
      <c r="E1042" s="504"/>
      <c r="F1042" s="306"/>
      <c r="G1042" s="265"/>
      <c r="H1042" s="266"/>
      <c r="I1042" s="297"/>
      <c r="J1042" s="298"/>
      <c r="K1042" s="298"/>
      <c r="L1042" s="298"/>
      <c r="M1042" s="41"/>
      <c r="N1042" s="21"/>
      <c r="O1042" s="21"/>
      <c r="P1042" s="21"/>
      <c r="Q1042" s="326"/>
      <c r="R1042" s="40"/>
      <c r="S1042" s="84"/>
      <c r="T1042" s="40"/>
      <c r="U1042" s="42"/>
      <c r="V1042" s="78"/>
      <c r="Z1042" s="181"/>
      <c r="AA1042" s="183"/>
      <c r="AC1042" s="26"/>
      <c r="AD1042" s="279"/>
      <c r="AE1042" s="26"/>
      <c r="AF1042" s="26"/>
      <c r="AG1042" s="278" t="str">
        <f t="shared" si="128"/>
        <v/>
      </c>
      <c r="AH1042" s="278" t="str">
        <f t="shared" si="129"/>
        <v/>
      </c>
      <c r="AJ1042" s="25"/>
      <c r="AK1042" s="25"/>
      <c r="AL1042" s="25"/>
      <c r="AM1042" s="25"/>
      <c r="AN1042" s="25"/>
      <c r="AO1042" s="25"/>
      <c r="AP1042" s="25"/>
      <c r="AQ1042" s="25"/>
      <c r="AR1042" s="25"/>
      <c r="AS1042" s="25"/>
      <c r="AT1042" s="25"/>
      <c r="AU1042" s="25"/>
      <c r="AV1042" s="43"/>
      <c r="AW1042" s="43"/>
      <c r="AX1042" s="114" t="s">
        <v>76</v>
      </c>
      <c r="AY1042" s="43"/>
      <c r="AZ1042" s="43"/>
      <c r="BA1042" s="43"/>
      <c r="BB1042" s="43"/>
    </row>
    <row r="1043" spans="2:54" ht="12.75" customHeight="1">
      <c r="B1043" s="320"/>
      <c r="C1043" s="134"/>
      <c r="D1043" s="98"/>
      <c r="E1043" s="504"/>
      <c r="F1043" s="306"/>
      <c r="G1043" s="265"/>
      <c r="H1043" s="266"/>
      <c r="I1043" s="297"/>
      <c r="J1043" s="298"/>
      <c r="K1043" s="298"/>
      <c r="L1043" s="298"/>
      <c r="M1043" s="41"/>
      <c r="N1043" s="21"/>
      <c r="O1043" s="21"/>
      <c r="P1043" s="21"/>
      <c r="Q1043" s="326"/>
      <c r="R1043" s="40"/>
      <c r="S1043" s="84"/>
      <c r="T1043" s="40"/>
      <c r="U1043" s="42"/>
      <c r="V1043" s="78"/>
      <c r="Z1043" s="181"/>
      <c r="AA1043" s="183"/>
      <c r="AC1043" s="26"/>
      <c r="AD1043" s="279"/>
      <c r="AE1043" s="26"/>
      <c r="AF1043" s="26"/>
      <c r="AG1043" s="278" t="str">
        <f t="shared" si="128"/>
        <v/>
      </c>
      <c r="AH1043" s="278" t="str">
        <f t="shared" si="129"/>
        <v/>
      </c>
      <c r="AJ1043" s="25"/>
      <c r="AK1043" s="25"/>
      <c r="AL1043" s="25"/>
      <c r="AM1043" s="25"/>
      <c r="AN1043" s="25"/>
      <c r="AO1043" s="25"/>
      <c r="AP1043" s="25"/>
      <c r="AQ1043" s="25"/>
      <c r="AR1043" s="25"/>
      <c r="AS1043" s="25"/>
      <c r="AT1043" s="25"/>
      <c r="AU1043" s="25"/>
      <c r="AV1043" s="43"/>
      <c r="AW1043" s="43"/>
      <c r="AX1043" s="114" t="s">
        <v>76</v>
      </c>
      <c r="AY1043" s="43"/>
      <c r="AZ1043" s="43"/>
      <c r="BA1043" s="43"/>
      <c r="BB1043" s="43"/>
    </row>
    <row r="1044" spans="2:54" ht="12.75" customHeight="1">
      <c r="B1044" s="320"/>
      <c r="C1044" s="134"/>
      <c r="D1044" s="98"/>
      <c r="E1044" s="504"/>
      <c r="F1044" s="306"/>
      <c r="G1044" s="265"/>
      <c r="H1044" s="266"/>
      <c r="I1044" s="297"/>
      <c r="J1044" s="298"/>
      <c r="K1044" s="298"/>
      <c r="L1044" s="298"/>
      <c r="M1044" s="41"/>
      <c r="N1044" s="21"/>
      <c r="O1044" s="21"/>
      <c r="P1044" s="21"/>
      <c r="Q1044" s="326"/>
      <c r="R1044" s="40"/>
      <c r="S1044" s="84"/>
      <c r="T1044" s="40"/>
      <c r="U1044" s="42"/>
      <c r="V1044" s="78"/>
      <c r="Z1044" s="181"/>
      <c r="AA1044" s="183"/>
      <c r="AC1044" s="26"/>
      <c r="AD1044" s="279"/>
      <c r="AE1044" s="26"/>
      <c r="AF1044" s="26"/>
      <c r="AG1044" s="278" t="str">
        <f t="shared" si="128"/>
        <v/>
      </c>
      <c r="AH1044" s="278" t="str">
        <f t="shared" si="129"/>
        <v/>
      </c>
      <c r="AJ1044" s="25"/>
      <c r="AK1044" s="25"/>
      <c r="AL1044" s="25"/>
      <c r="AM1044" s="25"/>
      <c r="AN1044" s="25"/>
      <c r="AO1044" s="25"/>
      <c r="AP1044" s="25"/>
      <c r="AQ1044" s="25"/>
      <c r="AR1044" s="25"/>
      <c r="AS1044" s="25"/>
      <c r="AT1044" s="25"/>
      <c r="AU1044" s="25"/>
      <c r="AV1044" s="43"/>
      <c r="AW1044" s="43"/>
      <c r="AX1044" s="114" t="s">
        <v>76</v>
      </c>
      <c r="AY1044" s="43"/>
      <c r="AZ1044" s="43"/>
      <c r="BA1044" s="43"/>
      <c r="BB1044" s="43"/>
    </row>
    <row r="1045" spans="2:54" ht="12.75" customHeight="1">
      <c r="B1045" s="320"/>
      <c r="C1045" s="134"/>
      <c r="D1045" s="98"/>
      <c r="E1045" s="504"/>
      <c r="F1045" s="306"/>
      <c r="G1045" s="265"/>
      <c r="H1045" s="266"/>
      <c r="I1045" s="297"/>
      <c r="J1045" s="298"/>
      <c r="K1045" s="298"/>
      <c r="L1045" s="298"/>
      <c r="M1045" s="41"/>
      <c r="N1045" s="21"/>
      <c r="O1045" s="21"/>
      <c r="P1045" s="21"/>
      <c r="Q1045" s="326"/>
      <c r="R1045" s="40"/>
      <c r="S1045" s="84"/>
      <c r="T1045" s="40"/>
      <c r="U1045" s="42"/>
      <c r="V1045" s="78"/>
      <c r="Z1045" s="181"/>
      <c r="AA1045" s="183"/>
      <c r="AC1045" s="26"/>
      <c r="AD1045" s="279"/>
      <c r="AE1045" s="26"/>
      <c r="AF1045" s="26"/>
      <c r="AG1045" s="278" t="str">
        <f t="shared" si="128"/>
        <v/>
      </c>
      <c r="AH1045" s="278" t="str">
        <f t="shared" si="129"/>
        <v/>
      </c>
      <c r="AJ1045" s="25"/>
      <c r="AK1045" s="25"/>
      <c r="AL1045" s="25"/>
      <c r="AM1045" s="25"/>
      <c r="AN1045" s="25"/>
      <c r="AO1045" s="25"/>
      <c r="AP1045" s="25"/>
      <c r="AQ1045" s="25"/>
      <c r="AR1045" s="25"/>
      <c r="AS1045" s="25"/>
      <c r="AT1045" s="25"/>
      <c r="AU1045" s="25"/>
      <c r="AV1045" s="43"/>
      <c r="AW1045" s="43"/>
      <c r="AX1045" s="114" t="s">
        <v>76</v>
      </c>
      <c r="AY1045" s="43"/>
      <c r="AZ1045" s="43"/>
      <c r="BA1045" s="43"/>
      <c r="BB1045" s="43"/>
    </row>
    <row r="1046" spans="2:54" ht="12.75" customHeight="1">
      <c r="B1046" s="320"/>
      <c r="C1046" s="134"/>
      <c r="D1046" s="98"/>
      <c r="E1046" s="504"/>
      <c r="F1046" s="306"/>
      <c r="G1046" s="265"/>
      <c r="H1046" s="266"/>
      <c r="I1046" s="297"/>
      <c r="J1046" s="298"/>
      <c r="K1046" s="298"/>
      <c r="L1046" s="298"/>
      <c r="M1046" s="41"/>
      <c r="N1046" s="21"/>
      <c r="O1046" s="21"/>
      <c r="P1046" s="21"/>
      <c r="Q1046" s="326"/>
      <c r="R1046" s="40"/>
      <c r="S1046" s="84"/>
      <c r="T1046" s="40"/>
      <c r="U1046" s="42"/>
      <c r="V1046" s="78"/>
      <c r="Z1046" s="181"/>
      <c r="AA1046" s="183"/>
      <c r="AC1046" s="26"/>
      <c r="AD1046" s="279"/>
      <c r="AE1046" s="26"/>
      <c r="AF1046" s="26"/>
      <c r="AG1046" s="278" t="str">
        <f t="shared" si="128"/>
        <v/>
      </c>
      <c r="AH1046" s="278" t="str">
        <f t="shared" si="129"/>
        <v/>
      </c>
      <c r="AJ1046" s="25"/>
      <c r="AK1046" s="25"/>
      <c r="AL1046" s="25"/>
      <c r="AM1046" s="25"/>
      <c r="AN1046" s="25"/>
      <c r="AO1046" s="25"/>
      <c r="AP1046" s="25"/>
      <c r="AQ1046" s="25"/>
      <c r="AR1046" s="25"/>
      <c r="AS1046" s="25"/>
      <c r="AT1046" s="25"/>
      <c r="AU1046" s="25"/>
      <c r="AV1046" s="43"/>
      <c r="AW1046" s="43"/>
      <c r="AX1046" s="114" t="s">
        <v>76</v>
      </c>
      <c r="AY1046" s="43"/>
      <c r="AZ1046" s="43"/>
      <c r="BA1046" s="43"/>
      <c r="BB1046" s="43"/>
    </row>
    <row r="1047" spans="2:54" ht="12.75" customHeight="1">
      <c r="B1047" s="320"/>
      <c r="C1047" s="134"/>
      <c r="D1047" s="98"/>
      <c r="E1047" s="504"/>
      <c r="F1047" s="306"/>
      <c r="G1047" s="265"/>
      <c r="H1047" s="266"/>
      <c r="I1047" s="297"/>
      <c r="J1047" s="298"/>
      <c r="K1047" s="298"/>
      <c r="L1047" s="298"/>
      <c r="M1047" s="41"/>
      <c r="N1047" s="21"/>
      <c r="O1047" s="21"/>
      <c r="P1047" s="21"/>
      <c r="Q1047" s="326"/>
      <c r="R1047" s="40"/>
      <c r="S1047" s="84"/>
      <c r="T1047" s="40"/>
      <c r="U1047" s="42"/>
      <c r="V1047" s="78"/>
      <c r="Z1047" s="181"/>
      <c r="AA1047" s="183"/>
      <c r="AC1047" s="26"/>
      <c r="AD1047" s="279"/>
      <c r="AE1047" s="26"/>
      <c r="AF1047" s="26"/>
      <c r="AG1047" s="278" t="str">
        <f t="shared" si="128"/>
        <v/>
      </c>
      <c r="AH1047" s="278" t="str">
        <f t="shared" si="129"/>
        <v/>
      </c>
      <c r="AJ1047" s="25"/>
      <c r="AK1047" s="25"/>
      <c r="AL1047" s="25"/>
      <c r="AM1047" s="25"/>
      <c r="AN1047" s="25"/>
      <c r="AO1047" s="25"/>
      <c r="AP1047" s="25"/>
      <c r="AQ1047" s="25"/>
      <c r="AR1047" s="25"/>
      <c r="AS1047" s="25"/>
      <c r="AT1047" s="25"/>
      <c r="AU1047" s="25"/>
      <c r="AV1047" s="43"/>
      <c r="AW1047" s="43"/>
      <c r="AX1047" s="114" t="s">
        <v>76</v>
      </c>
      <c r="AY1047" s="43"/>
      <c r="AZ1047" s="43"/>
      <c r="BA1047" s="43"/>
      <c r="BB1047" s="43"/>
    </row>
    <row r="1048" spans="2:54" ht="12.75" customHeight="1">
      <c r="B1048" s="320"/>
      <c r="C1048" s="134"/>
      <c r="D1048" s="98"/>
      <c r="E1048" s="504"/>
      <c r="F1048" s="306"/>
      <c r="G1048" s="265"/>
      <c r="H1048" s="266"/>
      <c r="I1048" s="297"/>
      <c r="J1048" s="298"/>
      <c r="K1048" s="298"/>
      <c r="L1048" s="298"/>
      <c r="M1048" s="41"/>
      <c r="N1048" s="21"/>
      <c r="O1048" s="21"/>
      <c r="P1048" s="21"/>
      <c r="Q1048" s="326"/>
      <c r="R1048" s="40"/>
      <c r="S1048" s="84"/>
      <c r="T1048" s="40"/>
      <c r="U1048" s="42"/>
      <c r="V1048" s="78"/>
      <c r="Z1048" s="181"/>
      <c r="AA1048" s="183"/>
      <c r="AC1048" s="26"/>
      <c r="AD1048" s="279"/>
      <c r="AE1048" s="26"/>
      <c r="AF1048" s="26"/>
      <c r="AG1048" s="278" t="str">
        <f t="shared" si="128"/>
        <v/>
      </c>
      <c r="AH1048" s="278" t="str">
        <f t="shared" si="129"/>
        <v/>
      </c>
      <c r="AJ1048" s="25"/>
      <c r="AK1048" s="25"/>
      <c r="AL1048" s="25"/>
      <c r="AM1048" s="25"/>
      <c r="AN1048" s="25"/>
      <c r="AO1048" s="25"/>
      <c r="AP1048" s="25"/>
      <c r="AQ1048" s="25"/>
      <c r="AR1048" s="25"/>
      <c r="AS1048" s="25"/>
      <c r="AT1048" s="25"/>
      <c r="AU1048" s="25"/>
      <c r="AV1048" s="43"/>
      <c r="AW1048" s="43"/>
      <c r="AX1048" s="114" t="s">
        <v>76</v>
      </c>
      <c r="AY1048" s="43"/>
      <c r="AZ1048" s="43"/>
      <c r="BA1048" s="43"/>
      <c r="BB1048" s="43"/>
    </row>
    <row r="1049" spans="2:54" ht="12.75" customHeight="1">
      <c r="B1049" s="320"/>
      <c r="C1049" s="134"/>
      <c r="D1049" s="98"/>
      <c r="E1049" s="504"/>
      <c r="F1049" s="306"/>
      <c r="G1049" s="265"/>
      <c r="H1049" s="266"/>
      <c r="I1049" s="297"/>
      <c r="J1049" s="298"/>
      <c r="K1049" s="298"/>
      <c r="L1049" s="298"/>
      <c r="M1049" s="41"/>
      <c r="N1049" s="21"/>
      <c r="O1049" s="21"/>
      <c r="P1049" s="21"/>
      <c r="Q1049" s="326"/>
      <c r="R1049" s="40"/>
      <c r="S1049" s="84"/>
      <c r="T1049" s="40"/>
      <c r="U1049" s="42"/>
      <c r="V1049" s="78"/>
      <c r="Z1049" s="181"/>
      <c r="AA1049" s="183"/>
      <c r="AC1049" s="26"/>
      <c r="AD1049" s="279"/>
      <c r="AE1049" s="26"/>
      <c r="AF1049" s="26"/>
      <c r="AG1049" s="278" t="str">
        <f t="shared" si="128"/>
        <v/>
      </c>
      <c r="AH1049" s="278" t="str">
        <f t="shared" si="129"/>
        <v/>
      </c>
      <c r="AJ1049" s="25"/>
      <c r="AK1049" s="25"/>
      <c r="AL1049" s="25"/>
      <c r="AM1049" s="25"/>
      <c r="AN1049" s="25"/>
      <c r="AO1049" s="25"/>
      <c r="AP1049" s="25"/>
      <c r="AQ1049" s="25"/>
      <c r="AR1049" s="25"/>
      <c r="AS1049" s="25"/>
      <c r="AT1049" s="25"/>
      <c r="AU1049" s="25"/>
      <c r="AV1049" s="43"/>
      <c r="AW1049" s="43"/>
      <c r="AX1049" s="114" t="s">
        <v>76</v>
      </c>
      <c r="AY1049" s="43"/>
      <c r="AZ1049" s="43"/>
      <c r="BA1049" s="43"/>
      <c r="BB1049" s="43"/>
    </row>
    <row r="1050" spans="2:54" ht="12.75" customHeight="1">
      <c r="B1050" s="320"/>
      <c r="C1050" s="134"/>
      <c r="D1050" s="98"/>
      <c r="E1050" s="504"/>
      <c r="F1050" s="306"/>
      <c r="G1050" s="265"/>
      <c r="H1050" s="266"/>
      <c r="I1050" s="297"/>
      <c r="J1050" s="298"/>
      <c r="K1050" s="298"/>
      <c r="L1050" s="298"/>
      <c r="M1050" s="41"/>
      <c r="N1050" s="21"/>
      <c r="O1050" s="21"/>
      <c r="P1050" s="21"/>
      <c r="Q1050" s="326"/>
      <c r="R1050" s="40"/>
      <c r="S1050" s="84"/>
      <c r="T1050" s="40"/>
      <c r="U1050" s="42"/>
      <c r="V1050" s="78"/>
      <c r="Z1050" s="181"/>
      <c r="AA1050" s="183"/>
      <c r="AC1050" s="26"/>
      <c r="AD1050" s="279"/>
      <c r="AE1050" s="26"/>
      <c r="AF1050" s="26"/>
      <c r="AG1050" s="278" t="str">
        <f t="shared" si="128"/>
        <v/>
      </c>
      <c r="AH1050" s="278" t="str">
        <f t="shared" si="129"/>
        <v/>
      </c>
      <c r="AJ1050" s="25"/>
      <c r="AK1050" s="25"/>
      <c r="AL1050" s="25"/>
      <c r="AM1050" s="25"/>
      <c r="AN1050" s="25"/>
      <c r="AO1050" s="25"/>
      <c r="AP1050" s="25"/>
      <c r="AQ1050" s="25"/>
      <c r="AR1050" s="25"/>
      <c r="AS1050" s="25"/>
      <c r="AT1050" s="25"/>
      <c r="AU1050" s="25"/>
      <c r="AV1050" s="43"/>
      <c r="AW1050" s="43"/>
      <c r="AX1050" s="114" t="s">
        <v>76</v>
      </c>
      <c r="AY1050" s="43"/>
      <c r="AZ1050" s="43"/>
      <c r="BA1050" s="43"/>
      <c r="BB1050" s="43"/>
    </row>
    <row r="1051" spans="2:54" ht="12.75" customHeight="1">
      <c r="B1051" s="320"/>
      <c r="C1051" s="134"/>
      <c r="D1051" s="98"/>
      <c r="E1051" s="504"/>
      <c r="F1051" s="306"/>
      <c r="G1051" s="265"/>
      <c r="H1051" s="266"/>
      <c r="I1051" s="297"/>
      <c r="J1051" s="298"/>
      <c r="K1051" s="298"/>
      <c r="L1051" s="298"/>
      <c r="M1051" s="41"/>
      <c r="N1051" s="21"/>
      <c r="O1051" s="21"/>
      <c r="P1051" s="21"/>
      <c r="Q1051" s="326"/>
      <c r="R1051" s="40"/>
      <c r="S1051" s="84"/>
      <c r="T1051" s="40"/>
      <c r="U1051" s="42"/>
      <c r="V1051" s="78"/>
      <c r="Z1051" s="181"/>
      <c r="AA1051" s="183"/>
      <c r="AC1051" s="26"/>
      <c r="AD1051" s="279"/>
      <c r="AE1051" s="26"/>
      <c r="AF1051" s="26"/>
      <c r="AG1051" s="278" t="str">
        <f t="shared" si="128"/>
        <v/>
      </c>
      <c r="AH1051" s="278" t="str">
        <f t="shared" si="129"/>
        <v/>
      </c>
      <c r="AJ1051" s="25"/>
      <c r="AK1051" s="25"/>
      <c r="AL1051" s="25"/>
      <c r="AM1051" s="25"/>
      <c r="AN1051" s="25"/>
      <c r="AO1051" s="25"/>
      <c r="AP1051" s="25"/>
      <c r="AQ1051" s="25"/>
      <c r="AR1051" s="25"/>
      <c r="AS1051" s="25"/>
      <c r="AT1051" s="25"/>
      <c r="AU1051" s="25"/>
      <c r="AV1051" s="43"/>
      <c r="AW1051" s="43"/>
      <c r="AX1051" s="114" t="s">
        <v>76</v>
      </c>
      <c r="AY1051" s="43"/>
      <c r="AZ1051" s="43"/>
      <c r="BA1051" s="43"/>
      <c r="BB1051" s="43"/>
    </row>
    <row r="1052" spans="2:54" ht="12.75" customHeight="1">
      <c r="B1052" s="320"/>
      <c r="C1052" s="134"/>
      <c r="D1052" s="98"/>
      <c r="E1052" s="504"/>
      <c r="F1052" s="306"/>
      <c r="G1052" s="265"/>
      <c r="H1052" s="266"/>
      <c r="I1052" s="297"/>
      <c r="J1052" s="298"/>
      <c r="K1052" s="298"/>
      <c r="L1052" s="298"/>
      <c r="M1052" s="41"/>
      <c r="N1052" s="21"/>
      <c r="O1052" s="21"/>
      <c r="P1052" s="21"/>
      <c r="Q1052" s="326"/>
      <c r="R1052" s="40"/>
      <c r="S1052" s="84"/>
      <c r="T1052" s="40"/>
      <c r="U1052" s="42"/>
      <c r="V1052" s="78"/>
      <c r="Z1052" s="181"/>
      <c r="AA1052" s="183"/>
      <c r="AC1052" s="26"/>
      <c r="AD1052" s="279"/>
      <c r="AE1052" s="26"/>
      <c r="AF1052" s="26"/>
      <c r="AG1052" s="278" t="str">
        <f t="shared" si="128"/>
        <v/>
      </c>
      <c r="AH1052" s="278" t="str">
        <f t="shared" si="129"/>
        <v/>
      </c>
      <c r="AJ1052" s="25"/>
      <c r="AK1052" s="25"/>
      <c r="AL1052" s="25"/>
      <c r="AM1052" s="25"/>
      <c r="AN1052" s="25"/>
      <c r="AO1052" s="25"/>
      <c r="AP1052" s="25"/>
      <c r="AQ1052" s="25"/>
      <c r="AR1052" s="25"/>
      <c r="AS1052" s="25"/>
      <c r="AT1052" s="25"/>
      <c r="AU1052" s="25"/>
      <c r="AV1052" s="43"/>
      <c r="AW1052" s="43"/>
      <c r="AX1052" s="114" t="s">
        <v>76</v>
      </c>
      <c r="AY1052" s="43"/>
      <c r="AZ1052" s="43"/>
      <c r="BA1052" s="43"/>
      <c r="BB1052" s="43"/>
    </row>
    <row r="1053" spans="2:54" ht="12.75" customHeight="1">
      <c r="B1053" s="320"/>
      <c r="C1053" s="134"/>
      <c r="D1053" s="98"/>
      <c r="E1053" s="504"/>
      <c r="F1053" s="306"/>
      <c r="G1053" s="265"/>
      <c r="H1053" s="266"/>
      <c r="I1053" s="297"/>
      <c r="J1053" s="298"/>
      <c r="K1053" s="298"/>
      <c r="L1053" s="298"/>
      <c r="M1053" s="41"/>
      <c r="N1053" s="21"/>
      <c r="O1053" s="21"/>
      <c r="P1053" s="21"/>
      <c r="Q1053" s="326"/>
      <c r="R1053" s="40"/>
      <c r="S1053" s="84"/>
      <c r="T1053" s="40"/>
      <c r="U1053" s="42"/>
      <c r="V1053" s="78"/>
      <c r="Z1053" s="181"/>
      <c r="AA1053" s="183"/>
      <c r="AC1053" s="26"/>
      <c r="AD1053" s="279"/>
      <c r="AE1053" s="26"/>
      <c r="AF1053" s="26"/>
      <c r="AG1053" s="278" t="str">
        <f t="shared" si="128"/>
        <v/>
      </c>
      <c r="AH1053" s="278" t="str">
        <f t="shared" si="129"/>
        <v/>
      </c>
      <c r="AJ1053" s="25"/>
      <c r="AK1053" s="25"/>
      <c r="AL1053" s="25"/>
      <c r="AM1053" s="25"/>
      <c r="AN1053" s="25"/>
      <c r="AO1053" s="25"/>
      <c r="AP1053" s="25"/>
      <c r="AQ1053" s="25"/>
      <c r="AR1053" s="25"/>
      <c r="AS1053" s="25"/>
      <c r="AT1053" s="25"/>
      <c r="AU1053" s="25"/>
      <c r="AV1053" s="43"/>
      <c r="AW1053" s="43"/>
      <c r="AX1053" s="114" t="s">
        <v>76</v>
      </c>
      <c r="AY1053" s="43"/>
      <c r="AZ1053" s="43"/>
      <c r="BA1053" s="43"/>
      <c r="BB1053" s="43"/>
    </row>
    <row r="1054" spans="2:54" ht="12.75" customHeight="1">
      <c r="B1054" s="320"/>
      <c r="C1054" s="134"/>
      <c r="D1054" s="98"/>
      <c r="E1054" s="504"/>
      <c r="F1054" s="306"/>
      <c r="G1054" s="265"/>
      <c r="H1054" s="266"/>
      <c r="I1054" s="297"/>
      <c r="J1054" s="298"/>
      <c r="K1054" s="298"/>
      <c r="L1054" s="298"/>
      <c r="M1054" s="41"/>
      <c r="N1054" s="21"/>
      <c r="O1054" s="21"/>
      <c r="P1054" s="21"/>
      <c r="Q1054" s="326"/>
      <c r="R1054" s="40"/>
      <c r="S1054" s="84"/>
      <c r="T1054" s="40"/>
      <c r="U1054" s="42"/>
      <c r="V1054" s="78"/>
      <c r="Z1054" s="181"/>
      <c r="AA1054" s="183"/>
      <c r="AC1054" s="26"/>
      <c r="AD1054" s="279"/>
      <c r="AE1054" s="26"/>
      <c r="AF1054" s="26"/>
      <c r="AG1054" s="278" t="str">
        <f t="shared" si="128"/>
        <v/>
      </c>
      <c r="AH1054" s="278" t="str">
        <f t="shared" si="129"/>
        <v/>
      </c>
      <c r="AJ1054" s="25"/>
      <c r="AK1054" s="25"/>
      <c r="AL1054" s="25"/>
      <c r="AM1054" s="25"/>
      <c r="AN1054" s="25"/>
      <c r="AO1054" s="25"/>
      <c r="AP1054" s="25"/>
      <c r="AQ1054" s="25"/>
      <c r="AR1054" s="25"/>
      <c r="AS1054" s="25"/>
      <c r="AT1054" s="25"/>
      <c r="AU1054" s="25"/>
      <c r="AV1054" s="43"/>
      <c r="AW1054" s="43"/>
      <c r="AX1054" s="114" t="s">
        <v>76</v>
      </c>
      <c r="AY1054" s="43"/>
      <c r="AZ1054" s="43"/>
      <c r="BA1054" s="43"/>
      <c r="BB1054" s="43"/>
    </row>
    <row r="1055" spans="2:54" ht="12.75" customHeight="1">
      <c r="B1055" s="320"/>
      <c r="C1055" s="134"/>
      <c r="D1055" s="98"/>
      <c r="E1055" s="504"/>
      <c r="F1055" s="306"/>
      <c r="G1055" s="265"/>
      <c r="H1055" s="266"/>
      <c r="I1055" s="297"/>
      <c r="J1055" s="298"/>
      <c r="K1055" s="298"/>
      <c r="L1055" s="298"/>
      <c r="M1055" s="41"/>
      <c r="N1055" s="21"/>
      <c r="O1055" s="21"/>
      <c r="P1055" s="21"/>
      <c r="Q1055" s="326"/>
      <c r="R1055" s="40"/>
      <c r="S1055" s="84"/>
      <c r="T1055" s="40"/>
      <c r="U1055" s="42"/>
      <c r="V1055" s="78"/>
      <c r="Z1055" s="181"/>
      <c r="AA1055" s="183"/>
      <c r="AC1055" s="26"/>
      <c r="AD1055" s="279"/>
      <c r="AE1055" s="26"/>
      <c r="AF1055" s="26"/>
      <c r="AG1055" s="278" t="str">
        <f t="shared" si="128"/>
        <v/>
      </c>
      <c r="AH1055" s="278" t="str">
        <f t="shared" si="129"/>
        <v/>
      </c>
      <c r="AJ1055" s="25"/>
      <c r="AK1055" s="25"/>
      <c r="AL1055" s="25"/>
      <c r="AM1055" s="25"/>
      <c r="AN1055" s="25"/>
      <c r="AO1055" s="25"/>
      <c r="AP1055" s="25"/>
      <c r="AQ1055" s="25"/>
      <c r="AR1055" s="25"/>
      <c r="AS1055" s="25"/>
      <c r="AT1055" s="25"/>
      <c r="AU1055" s="25"/>
      <c r="AV1055" s="43"/>
      <c r="AW1055" s="43"/>
      <c r="AX1055" s="114" t="s">
        <v>76</v>
      </c>
      <c r="AY1055" s="43"/>
      <c r="AZ1055" s="43"/>
      <c r="BA1055" s="43"/>
      <c r="BB1055" s="43"/>
    </row>
    <row r="1056" spans="2:54" ht="12.75" customHeight="1">
      <c r="B1056" s="320"/>
      <c r="C1056" s="134"/>
      <c r="D1056" s="98"/>
      <c r="E1056" s="504"/>
      <c r="F1056" s="306"/>
      <c r="G1056" s="265"/>
      <c r="H1056" s="266"/>
      <c r="I1056" s="297"/>
      <c r="J1056" s="298"/>
      <c r="K1056" s="298"/>
      <c r="L1056" s="298"/>
      <c r="M1056" s="41"/>
      <c r="N1056" s="21"/>
      <c r="O1056" s="21"/>
      <c r="P1056" s="21"/>
      <c r="Q1056" s="326"/>
      <c r="R1056" s="40"/>
      <c r="S1056" s="84"/>
      <c r="T1056" s="40"/>
      <c r="U1056" s="42"/>
      <c r="V1056" s="78"/>
      <c r="Z1056" s="181"/>
      <c r="AA1056" s="183"/>
      <c r="AC1056" s="26"/>
      <c r="AD1056" s="279"/>
      <c r="AE1056" s="26"/>
      <c r="AF1056" s="26"/>
      <c r="AG1056" s="278" t="str">
        <f t="shared" si="128"/>
        <v/>
      </c>
      <c r="AH1056" s="278" t="str">
        <f t="shared" si="129"/>
        <v/>
      </c>
      <c r="AJ1056" s="25"/>
      <c r="AK1056" s="25"/>
      <c r="AL1056" s="25"/>
      <c r="AM1056" s="25"/>
      <c r="AN1056" s="25"/>
      <c r="AO1056" s="25"/>
      <c r="AP1056" s="25"/>
      <c r="AQ1056" s="25"/>
      <c r="AR1056" s="25"/>
      <c r="AS1056" s="25"/>
      <c r="AT1056" s="25"/>
      <c r="AU1056" s="25"/>
      <c r="AV1056" s="43"/>
      <c r="AW1056" s="43"/>
      <c r="AX1056" s="114" t="s">
        <v>76</v>
      </c>
      <c r="AY1056" s="43"/>
      <c r="AZ1056" s="43"/>
      <c r="BA1056" s="43"/>
      <c r="BB1056" s="43"/>
    </row>
    <row r="1057" spans="2:54" ht="12.75" customHeight="1">
      <c r="B1057" s="320"/>
      <c r="C1057" s="134"/>
      <c r="D1057" s="98"/>
      <c r="E1057" s="504"/>
      <c r="F1057" s="306"/>
      <c r="G1057" s="265"/>
      <c r="H1057" s="266"/>
      <c r="I1057" s="297"/>
      <c r="J1057" s="298"/>
      <c r="K1057" s="298"/>
      <c r="L1057" s="298"/>
      <c r="M1057" s="41"/>
      <c r="N1057" s="21"/>
      <c r="O1057" s="21"/>
      <c r="P1057" s="21"/>
      <c r="Q1057" s="326"/>
      <c r="R1057" s="40"/>
      <c r="S1057" s="84"/>
      <c r="T1057" s="40"/>
      <c r="U1057" s="42"/>
      <c r="V1057" s="78"/>
      <c r="Z1057" s="181"/>
      <c r="AA1057" s="183"/>
      <c r="AC1057" s="26"/>
      <c r="AD1057" s="279"/>
      <c r="AE1057" s="26"/>
      <c r="AF1057" s="26"/>
      <c r="AG1057" s="278" t="str">
        <f t="shared" si="128"/>
        <v/>
      </c>
      <c r="AH1057" s="278" t="str">
        <f t="shared" si="129"/>
        <v/>
      </c>
      <c r="AJ1057" s="25"/>
      <c r="AK1057" s="25"/>
      <c r="AL1057" s="25"/>
      <c r="AM1057" s="25"/>
      <c r="AN1057" s="25"/>
      <c r="AO1057" s="25"/>
      <c r="AP1057" s="25"/>
      <c r="AQ1057" s="25"/>
      <c r="AR1057" s="25"/>
      <c r="AS1057" s="25"/>
      <c r="AT1057" s="25"/>
      <c r="AU1057" s="25"/>
      <c r="AV1057" s="43"/>
      <c r="AW1057" s="43"/>
      <c r="AX1057" s="114" t="s">
        <v>76</v>
      </c>
      <c r="AY1057" s="43"/>
      <c r="AZ1057" s="43"/>
      <c r="BA1057" s="43"/>
      <c r="BB1057" s="43"/>
    </row>
    <row r="1058" spans="2:54" ht="12.75" customHeight="1">
      <c r="B1058" s="320"/>
      <c r="C1058" s="134"/>
      <c r="D1058" s="98"/>
      <c r="E1058" s="504"/>
      <c r="F1058" s="306"/>
      <c r="G1058" s="265"/>
      <c r="H1058" s="266"/>
      <c r="I1058" s="297"/>
      <c r="J1058" s="298"/>
      <c r="K1058" s="298"/>
      <c r="L1058" s="298"/>
      <c r="M1058" s="41"/>
      <c r="N1058" s="21"/>
      <c r="O1058" s="21"/>
      <c r="P1058" s="21"/>
      <c r="Q1058" s="326"/>
      <c r="R1058" s="40"/>
      <c r="S1058" s="84"/>
      <c r="T1058" s="40"/>
      <c r="U1058" s="42"/>
      <c r="V1058" s="78"/>
      <c r="Z1058" s="181"/>
      <c r="AA1058" s="183"/>
      <c r="AC1058" s="26"/>
      <c r="AD1058" s="279"/>
      <c r="AE1058" s="26"/>
      <c r="AF1058" s="26"/>
      <c r="AG1058" s="278" t="str">
        <f t="shared" si="128"/>
        <v/>
      </c>
      <c r="AH1058" s="278" t="str">
        <f t="shared" si="129"/>
        <v/>
      </c>
      <c r="AJ1058" s="25"/>
      <c r="AK1058" s="25"/>
      <c r="AL1058" s="25"/>
      <c r="AM1058" s="25"/>
      <c r="AN1058" s="25"/>
      <c r="AO1058" s="25"/>
      <c r="AP1058" s="25"/>
      <c r="AQ1058" s="25"/>
      <c r="AR1058" s="25"/>
      <c r="AS1058" s="25"/>
      <c r="AT1058" s="25"/>
      <c r="AU1058" s="25"/>
      <c r="AV1058" s="43"/>
      <c r="AW1058" s="43"/>
      <c r="AX1058" s="114" t="s">
        <v>76</v>
      </c>
      <c r="AY1058" s="43"/>
      <c r="AZ1058" s="43"/>
      <c r="BA1058" s="43"/>
      <c r="BB1058" s="43"/>
    </row>
    <row r="1059" spans="2:54" ht="12.75" customHeight="1">
      <c r="B1059" s="320"/>
      <c r="C1059" s="134"/>
      <c r="D1059" s="98"/>
      <c r="E1059" s="504"/>
      <c r="F1059" s="306"/>
      <c r="G1059" s="265"/>
      <c r="H1059" s="266"/>
      <c r="I1059" s="297"/>
      <c r="J1059" s="298"/>
      <c r="K1059" s="298"/>
      <c r="L1059" s="298"/>
      <c r="M1059" s="41"/>
      <c r="N1059" s="21"/>
      <c r="O1059" s="21"/>
      <c r="P1059" s="21"/>
      <c r="Q1059" s="326"/>
      <c r="R1059" s="40"/>
      <c r="S1059" s="84"/>
      <c r="T1059" s="40"/>
      <c r="U1059" s="42"/>
      <c r="V1059" s="78"/>
      <c r="Z1059" s="181"/>
      <c r="AA1059" s="183"/>
      <c r="AC1059" s="26"/>
      <c r="AD1059" s="279"/>
      <c r="AE1059" s="26"/>
      <c r="AF1059" s="26"/>
      <c r="AG1059" s="278" t="str">
        <f t="shared" si="128"/>
        <v/>
      </c>
      <c r="AH1059" s="278" t="str">
        <f t="shared" si="129"/>
        <v/>
      </c>
      <c r="AJ1059" s="25"/>
      <c r="AK1059" s="25"/>
      <c r="AL1059" s="25"/>
      <c r="AM1059" s="25"/>
      <c r="AN1059" s="25"/>
      <c r="AO1059" s="25"/>
      <c r="AP1059" s="25"/>
      <c r="AQ1059" s="25"/>
      <c r="AR1059" s="25"/>
      <c r="AS1059" s="25"/>
      <c r="AT1059" s="25"/>
      <c r="AU1059" s="25"/>
      <c r="AV1059" s="43"/>
      <c r="AW1059" s="43"/>
      <c r="AX1059" s="114" t="s">
        <v>76</v>
      </c>
      <c r="AY1059" s="43"/>
      <c r="AZ1059" s="43"/>
      <c r="BA1059" s="43"/>
      <c r="BB1059" s="43"/>
    </row>
    <row r="1060" spans="2:54" ht="12.75" customHeight="1">
      <c r="B1060" s="320"/>
      <c r="C1060" s="134"/>
      <c r="D1060" s="98"/>
      <c r="E1060" s="504"/>
      <c r="F1060" s="306"/>
      <c r="G1060" s="265"/>
      <c r="H1060" s="266"/>
      <c r="I1060" s="297"/>
      <c r="J1060" s="298"/>
      <c r="K1060" s="298"/>
      <c r="L1060" s="298"/>
      <c r="M1060" s="41"/>
      <c r="N1060" s="21"/>
      <c r="O1060" s="21"/>
      <c r="P1060" s="21"/>
      <c r="Q1060" s="326"/>
      <c r="R1060" s="40"/>
      <c r="S1060" s="84"/>
      <c r="T1060" s="40"/>
      <c r="U1060" s="42"/>
      <c r="V1060" s="78"/>
      <c r="Z1060" s="181"/>
      <c r="AA1060" s="183"/>
      <c r="AC1060" s="26"/>
      <c r="AD1060" s="279"/>
      <c r="AE1060" s="26"/>
      <c r="AF1060" s="26"/>
      <c r="AG1060" s="278" t="str">
        <f t="shared" si="128"/>
        <v/>
      </c>
      <c r="AH1060" s="278" t="str">
        <f t="shared" si="129"/>
        <v/>
      </c>
      <c r="AJ1060" s="25"/>
      <c r="AK1060" s="25"/>
      <c r="AL1060" s="25"/>
      <c r="AM1060" s="25"/>
      <c r="AN1060" s="25"/>
      <c r="AO1060" s="25"/>
      <c r="AP1060" s="25"/>
      <c r="AQ1060" s="25"/>
      <c r="AR1060" s="25"/>
      <c r="AS1060" s="25"/>
      <c r="AT1060" s="25"/>
      <c r="AU1060" s="25"/>
      <c r="AV1060" s="43"/>
      <c r="AW1060" s="43"/>
      <c r="AX1060" s="114" t="s">
        <v>76</v>
      </c>
      <c r="AY1060" s="43"/>
      <c r="AZ1060" s="43"/>
      <c r="BA1060" s="43"/>
      <c r="BB1060" s="43"/>
    </row>
    <row r="1061" spans="2:54" ht="12.75" customHeight="1">
      <c r="B1061" s="320"/>
      <c r="C1061" s="134"/>
      <c r="D1061" s="98"/>
      <c r="E1061" s="504"/>
      <c r="F1061" s="306"/>
      <c r="G1061" s="265"/>
      <c r="H1061" s="266"/>
      <c r="I1061" s="297"/>
      <c r="J1061" s="298"/>
      <c r="K1061" s="298"/>
      <c r="L1061" s="298"/>
      <c r="M1061" s="41"/>
      <c r="N1061" s="21"/>
      <c r="O1061" s="21"/>
      <c r="P1061" s="21"/>
      <c r="Q1061" s="326"/>
      <c r="R1061" s="40"/>
      <c r="S1061" s="84"/>
      <c r="T1061" s="40"/>
      <c r="U1061" s="42"/>
      <c r="V1061" s="78"/>
      <c r="Z1061" s="181"/>
      <c r="AA1061" s="183"/>
      <c r="AC1061" s="26"/>
      <c r="AD1061" s="279"/>
      <c r="AE1061" s="26"/>
      <c r="AF1061" s="26"/>
      <c r="AG1061" s="278" t="str">
        <f t="shared" si="128"/>
        <v/>
      </c>
      <c r="AH1061" s="278" t="str">
        <f t="shared" si="129"/>
        <v/>
      </c>
      <c r="AJ1061" s="25"/>
      <c r="AK1061" s="25"/>
      <c r="AL1061" s="25"/>
      <c r="AM1061" s="25"/>
      <c r="AN1061" s="25"/>
      <c r="AO1061" s="25"/>
      <c r="AP1061" s="25"/>
      <c r="AQ1061" s="25"/>
      <c r="AR1061" s="25"/>
      <c r="AS1061" s="25"/>
      <c r="AT1061" s="25"/>
      <c r="AU1061" s="25"/>
      <c r="AV1061" s="43"/>
      <c r="AW1061" s="43"/>
      <c r="AX1061" s="114" t="s">
        <v>76</v>
      </c>
      <c r="AY1061" s="43"/>
      <c r="AZ1061" s="43"/>
      <c r="BA1061" s="43"/>
      <c r="BB1061" s="43"/>
    </row>
    <row r="1062" spans="2:54" ht="12.75" customHeight="1">
      <c r="B1062" s="320"/>
      <c r="C1062" s="134"/>
      <c r="D1062" s="98"/>
      <c r="E1062" s="504"/>
      <c r="F1062" s="306"/>
      <c r="G1062" s="265"/>
      <c r="H1062" s="266"/>
      <c r="I1062" s="297"/>
      <c r="J1062" s="298"/>
      <c r="K1062" s="298"/>
      <c r="L1062" s="298"/>
      <c r="M1062" s="41"/>
      <c r="N1062" s="21"/>
      <c r="O1062" s="21"/>
      <c r="P1062" s="21"/>
      <c r="Q1062" s="326"/>
      <c r="R1062" s="40"/>
      <c r="S1062" s="84"/>
      <c r="T1062" s="40"/>
      <c r="U1062" s="42"/>
      <c r="V1062" s="78"/>
      <c r="Z1062" s="181"/>
      <c r="AA1062" s="183"/>
      <c r="AC1062" s="26"/>
      <c r="AD1062" s="279"/>
      <c r="AE1062" s="26"/>
      <c r="AF1062" s="26"/>
      <c r="AG1062" s="278" t="str">
        <f t="shared" si="128"/>
        <v/>
      </c>
      <c r="AH1062" s="278" t="str">
        <f t="shared" si="129"/>
        <v/>
      </c>
      <c r="AJ1062" s="25"/>
      <c r="AK1062" s="25"/>
      <c r="AL1062" s="25"/>
      <c r="AM1062" s="25"/>
      <c r="AN1062" s="25"/>
      <c r="AO1062" s="25"/>
      <c r="AP1062" s="25"/>
      <c r="AQ1062" s="25"/>
      <c r="AR1062" s="25"/>
      <c r="AS1062" s="25"/>
      <c r="AT1062" s="25"/>
      <c r="AU1062" s="25"/>
      <c r="AV1062" s="43"/>
      <c r="AW1062" s="43"/>
      <c r="AX1062" s="114" t="s">
        <v>76</v>
      </c>
      <c r="AY1062" s="43"/>
      <c r="AZ1062" s="43"/>
      <c r="BA1062" s="43"/>
      <c r="BB1062" s="43"/>
    </row>
    <row r="1063" spans="2:54" ht="12.75" customHeight="1">
      <c r="B1063" s="320"/>
      <c r="C1063" s="134"/>
      <c r="D1063" s="98"/>
      <c r="E1063" s="504"/>
      <c r="F1063" s="306"/>
      <c r="G1063" s="265"/>
      <c r="H1063" s="266"/>
      <c r="I1063" s="297"/>
      <c r="J1063" s="298"/>
      <c r="K1063" s="298"/>
      <c r="L1063" s="298"/>
      <c r="M1063" s="41"/>
      <c r="N1063" s="21"/>
      <c r="O1063" s="21"/>
      <c r="P1063" s="21"/>
      <c r="Q1063" s="326"/>
      <c r="R1063" s="40"/>
      <c r="S1063" s="84"/>
      <c r="T1063" s="40"/>
      <c r="U1063" s="42"/>
      <c r="V1063" s="78"/>
      <c r="Z1063" s="181"/>
      <c r="AA1063" s="183"/>
      <c r="AC1063" s="26"/>
      <c r="AD1063" s="279"/>
      <c r="AE1063" s="26"/>
      <c r="AF1063" s="26"/>
      <c r="AG1063" s="278" t="str">
        <f t="shared" si="128"/>
        <v/>
      </c>
      <c r="AH1063" s="278" t="str">
        <f t="shared" si="129"/>
        <v/>
      </c>
      <c r="AJ1063" s="25"/>
      <c r="AK1063" s="25"/>
      <c r="AL1063" s="25"/>
      <c r="AM1063" s="25"/>
      <c r="AN1063" s="25"/>
      <c r="AO1063" s="25"/>
      <c r="AP1063" s="25"/>
      <c r="AQ1063" s="25"/>
      <c r="AR1063" s="25"/>
      <c r="AS1063" s="25"/>
      <c r="AT1063" s="25"/>
      <c r="AU1063" s="25"/>
      <c r="AV1063" s="43"/>
      <c r="AW1063" s="43"/>
      <c r="AX1063" s="114" t="s">
        <v>76</v>
      </c>
      <c r="AY1063" s="43"/>
      <c r="AZ1063" s="43"/>
      <c r="BA1063" s="43"/>
      <c r="BB1063" s="43"/>
    </row>
    <row r="1064" spans="2:54" ht="12.75" customHeight="1">
      <c r="B1064" s="320"/>
      <c r="C1064" s="134"/>
      <c r="D1064" s="98"/>
      <c r="E1064" s="504"/>
      <c r="F1064" s="306"/>
      <c r="G1064" s="265"/>
      <c r="H1064" s="266"/>
      <c r="I1064" s="297"/>
      <c r="J1064" s="298"/>
      <c r="K1064" s="298"/>
      <c r="L1064" s="298"/>
      <c r="M1064" s="41"/>
      <c r="N1064" s="21"/>
      <c r="O1064" s="21"/>
      <c r="P1064" s="21"/>
      <c r="Q1064" s="326"/>
      <c r="R1064" s="40"/>
      <c r="S1064" s="84"/>
      <c r="T1064" s="40"/>
      <c r="U1064" s="42"/>
      <c r="V1064" s="78"/>
      <c r="Z1064" s="181"/>
      <c r="AA1064" s="183"/>
      <c r="AC1064" s="26"/>
      <c r="AD1064" s="279"/>
      <c r="AE1064" s="26"/>
      <c r="AF1064" s="26"/>
      <c r="AG1064" s="278" t="str">
        <f t="shared" si="128"/>
        <v/>
      </c>
      <c r="AH1064" s="278" t="str">
        <f t="shared" si="129"/>
        <v/>
      </c>
      <c r="AJ1064" s="25"/>
      <c r="AK1064" s="25"/>
      <c r="AL1064" s="25"/>
      <c r="AM1064" s="25"/>
      <c r="AN1064" s="25"/>
      <c r="AO1064" s="25"/>
      <c r="AP1064" s="25"/>
      <c r="AQ1064" s="25"/>
      <c r="AR1064" s="25"/>
      <c r="AS1064" s="25"/>
      <c r="AT1064" s="25"/>
      <c r="AU1064" s="25"/>
      <c r="AV1064" s="43"/>
      <c r="AW1064" s="43"/>
      <c r="AX1064" s="114" t="s">
        <v>76</v>
      </c>
      <c r="AY1064" s="43"/>
      <c r="AZ1064" s="43"/>
      <c r="BA1064" s="43"/>
      <c r="BB1064" s="43"/>
    </row>
    <row r="1065" spans="2:54" ht="12.75" customHeight="1">
      <c r="B1065" s="320"/>
      <c r="C1065" s="134"/>
      <c r="D1065" s="98"/>
      <c r="E1065" s="504"/>
      <c r="F1065" s="306"/>
      <c r="G1065" s="265"/>
      <c r="H1065" s="266"/>
      <c r="I1065" s="297"/>
      <c r="J1065" s="298"/>
      <c r="K1065" s="298"/>
      <c r="L1065" s="298"/>
      <c r="M1065" s="41"/>
      <c r="N1065" s="21"/>
      <c r="O1065" s="21"/>
      <c r="P1065" s="21"/>
      <c r="Q1065" s="326"/>
      <c r="R1065" s="40"/>
      <c r="S1065" s="84"/>
      <c r="T1065" s="40"/>
      <c r="U1065" s="42"/>
      <c r="V1065" s="78"/>
      <c r="Z1065" s="181"/>
      <c r="AA1065" s="183"/>
      <c r="AC1065" s="26"/>
      <c r="AD1065" s="279"/>
      <c r="AE1065" s="26"/>
      <c r="AF1065" s="26"/>
      <c r="AG1065" s="278" t="str">
        <f t="shared" si="128"/>
        <v/>
      </c>
      <c r="AH1065" s="278" t="str">
        <f t="shared" si="129"/>
        <v/>
      </c>
      <c r="AJ1065" s="25"/>
      <c r="AK1065" s="25"/>
      <c r="AL1065" s="25"/>
      <c r="AM1065" s="25"/>
      <c r="AN1065" s="25"/>
      <c r="AO1065" s="25"/>
      <c r="AP1065" s="25"/>
      <c r="AQ1065" s="25"/>
      <c r="AR1065" s="25"/>
      <c r="AS1065" s="25"/>
      <c r="AT1065" s="25"/>
      <c r="AU1065" s="25"/>
      <c r="AV1065" s="43"/>
      <c r="AW1065" s="43"/>
      <c r="AX1065" s="114" t="s">
        <v>76</v>
      </c>
      <c r="AY1065" s="43"/>
      <c r="AZ1065" s="43"/>
      <c r="BA1065" s="43"/>
      <c r="BB1065" s="43"/>
    </row>
    <row r="1066" spans="2:54" ht="12.75" customHeight="1">
      <c r="B1066" s="320"/>
      <c r="C1066" s="134"/>
      <c r="D1066" s="98"/>
      <c r="E1066" s="504"/>
      <c r="F1066" s="306"/>
      <c r="G1066" s="265"/>
      <c r="H1066" s="266"/>
      <c r="I1066" s="297"/>
      <c r="J1066" s="298"/>
      <c r="K1066" s="298"/>
      <c r="L1066" s="298"/>
      <c r="M1066" s="41"/>
      <c r="N1066" s="21"/>
      <c r="O1066" s="21"/>
      <c r="P1066" s="21"/>
      <c r="Q1066" s="326"/>
      <c r="R1066" s="40"/>
      <c r="S1066" s="84"/>
      <c r="T1066" s="40"/>
      <c r="U1066" s="42"/>
      <c r="V1066" s="78"/>
      <c r="Z1066" s="181"/>
      <c r="AA1066" s="183"/>
      <c r="AC1066" s="26"/>
      <c r="AD1066" s="279"/>
      <c r="AE1066" s="26"/>
      <c r="AF1066" s="26"/>
      <c r="AG1066" s="278" t="str">
        <f t="shared" si="128"/>
        <v/>
      </c>
      <c r="AH1066" s="278" t="str">
        <f t="shared" si="129"/>
        <v/>
      </c>
      <c r="AJ1066" s="25"/>
      <c r="AK1066" s="25"/>
      <c r="AL1066" s="25"/>
      <c r="AM1066" s="25"/>
      <c r="AN1066" s="25"/>
      <c r="AO1066" s="25"/>
      <c r="AP1066" s="25"/>
      <c r="AQ1066" s="25"/>
      <c r="AR1066" s="25"/>
      <c r="AS1066" s="25"/>
      <c r="AT1066" s="25"/>
      <c r="AU1066" s="25"/>
      <c r="AV1066" s="43"/>
      <c r="AW1066" s="43"/>
      <c r="AX1066" s="114" t="s">
        <v>76</v>
      </c>
      <c r="AY1066" s="43"/>
      <c r="AZ1066" s="43"/>
      <c r="BA1066" s="43"/>
      <c r="BB1066" s="43"/>
    </row>
    <row r="1067" spans="2:54" ht="12.75" customHeight="1">
      <c r="B1067" s="320"/>
      <c r="C1067" s="134"/>
      <c r="D1067" s="98"/>
      <c r="E1067" s="504"/>
      <c r="F1067" s="306"/>
      <c r="G1067" s="265"/>
      <c r="H1067" s="266"/>
      <c r="I1067" s="297"/>
      <c r="J1067" s="298"/>
      <c r="K1067" s="298"/>
      <c r="L1067" s="298"/>
      <c r="M1067" s="41"/>
      <c r="N1067" s="21"/>
      <c r="O1067" s="21"/>
      <c r="P1067" s="21"/>
      <c r="Q1067" s="326"/>
      <c r="R1067" s="40"/>
      <c r="S1067" s="84"/>
      <c r="T1067" s="40"/>
      <c r="U1067" s="42"/>
      <c r="V1067" s="78"/>
      <c r="Z1067" s="181"/>
      <c r="AA1067" s="183"/>
      <c r="AC1067" s="26"/>
      <c r="AD1067" s="279"/>
      <c r="AE1067" s="26"/>
      <c r="AF1067" s="26"/>
      <c r="AG1067" s="278" t="str">
        <f t="shared" si="128"/>
        <v/>
      </c>
      <c r="AH1067" s="278" t="str">
        <f t="shared" si="129"/>
        <v/>
      </c>
      <c r="AJ1067" s="25"/>
      <c r="AK1067" s="25"/>
      <c r="AL1067" s="25"/>
      <c r="AM1067" s="25"/>
      <c r="AN1067" s="25"/>
      <c r="AO1067" s="25"/>
      <c r="AP1067" s="25"/>
      <c r="AQ1067" s="25"/>
      <c r="AR1067" s="25"/>
      <c r="AS1067" s="25"/>
      <c r="AT1067" s="25"/>
      <c r="AU1067" s="25"/>
      <c r="AV1067" s="43"/>
      <c r="AW1067" s="43"/>
      <c r="AX1067" s="114" t="s">
        <v>76</v>
      </c>
      <c r="AY1067" s="43"/>
      <c r="AZ1067" s="43"/>
      <c r="BA1067" s="43"/>
      <c r="BB1067" s="43"/>
    </row>
    <row r="1068" spans="2:54" ht="12.75" customHeight="1">
      <c r="B1068" s="320"/>
      <c r="C1068" s="134"/>
      <c r="D1068" s="98"/>
      <c r="E1068" s="504"/>
      <c r="F1068" s="306"/>
      <c r="G1068" s="265"/>
      <c r="H1068" s="266"/>
      <c r="I1068" s="297"/>
      <c r="J1068" s="298"/>
      <c r="K1068" s="298"/>
      <c r="L1068" s="298"/>
      <c r="M1068" s="41"/>
      <c r="N1068" s="21"/>
      <c r="O1068" s="21"/>
      <c r="P1068" s="21"/>
      <c r="Q1068" s="326"/>
      <c r="R1068" s="40"/>
      <c r="S1068" s="84"/>
      <c r="T1068" s="40"/>
      <c r="U1068" s="42"/>
      <c r="V1068" s="78"/>
      <c r="Z1068" s="181"/>
      <c r="AA1068" s="183"/>
      <c r="AC1068" s="26"/>
      <c r="AD1068" s="279"/>
      <c r="AE1068" s="26"/>
      <c r="AF1068" s="26"/>
      <c r="AG1068" s="278" t="str">
        <f t="shared" si="128"/>
        <v/>
      </c>
      <c r="AH1068" s="278" t="str">
        <f t="shared" si="129"/>
        <v/>
      </c>
      <c r="AJ1068" s="25"/>
      <c r="AK1068" s="25"/>
      <c r="AL1068" s="25"/>
      <c r="AM1068" s="25"/>
      <c r="AN1068" s="25"/>
      <c r="AO1068" s="25"/>
      <c r="AP1068" s="25"/>
      <c r="AQ1068" s="25"/>
      <c r="AR1068" s="25"/>
      <c r="AS1068" s="25"/>
      <c r="AT1068" s="25"/>
      <c r="AU1068" s="25"/>
      <c r="AV1068" s="43"/>
      <c r="AW1068" s="43"/>
      <c r="AX1068" s="114" t="s">
        <v>76</v>
      </c>
      <c r="AY1068" s="43"/>
      <c r="AZ1068" s="43"/>
      <c r="BA1068" s="43"/>
      <c r="BB1068" s="43"/>
    </row>
    <row r="1069" spans="2:54" ht="12.75" customHeight="1">
      <c r="B1069" s="320"/>
      <c r="C1069" s="134"/>
      <c r="D1069" s="98"/>
      <c r="E1069" s="504"/>
      <c r="F1069" s="306"/>
      <c r="G1069" s="265"/>
      <c r="H1069" s="266"/>
      <c r="I1069" s="297"/>
      <c r="J1069" s="298"/>
      <c r="K1069" s="298"/>
      <c r="L1069" s="298"/>
      <c r="M1069" s="41"/>
      <c r="N1069" s="21"/>
      <c r="O1069" s="21"/>
      <c r="P1069" s="21"/>
      <c r="Q1069" s="326"/>
      <c r="R1069" s="40"/>
      <c r="S1069" s="84"/>
      <c r="T1069" s="40"/>
      <c r="U1069" s="42"/>
      <c r="V1069" s="78"/>
      <c r="Z1069" s="181"/>
      <c r="AA1069" s="183"/>
      <c r="AC1069" s="26"/>
      <c r="AD1069" s="279"/>
      <c r="AE1069" s="26"/>
      <c r="AF1069" s="26"/>
      <c r="AG1069" s="278" t="str">
        <f t="shared" si="128"/>
        <v/>
      </c>
      <c r="AH1069" s="278" t="str">
        <f t="shared" si="129"/>
        <v/>
      </c>
      <c r="AJ1069" s="25"/>
      <c r="AK1069" s="25"/>
      <c r="AL1069" s="25"/>
      <c r="AM1069" s="25"/>
      <c r="AN1069" s="25"/>
      <c r="AO1069" s="25"/>
      <c r="AP1069" s="25"/>
      <c r="AQ1069" s="25"/>
      <c r="AR1069" s="25"/>
      <c r="AS1069" s="25"/>
      <c r="AT1069" s="25"/>
      <c r="AU1069" s="25"/>
      <c r="AV1069" s="43"/>
      <c r="AW1069" s="43"/>
      <c r="AX1069" s="114" t="s">
        <v>76</v>
      </c>
      <c r="AY1069" s="43"/>
      <c r="AZ1069" s="43"/>
      <c r="BA1069" s="43"/>
      <c r="BB1069" s="43"/>
    </row>
    <row r="1070" spans="2:54" ht="12.75" customHeight="1">
      <c r="B1070" s="320"/>
      <c r="C1070" s="134"/>
      <c r="D1070" s="98"/>
      <c r="E1070" s="504"/>
      <c r="F1070" s="306"/>
      <c r="G1070" s="265"/>
      <c r="H1070" s="266"/>
      <c r="I1070" s="297"/>
      <c r="J1070" s="298"/>
      <c r="K1070" s="298"/>
      <c r="L1070" s="298"/>
      <c r="M1070" s="41"/>
      <c r="N1070" s="21"/>
      <c r="O1070" s="21"/>
      <c r="P1070" s="21"/>
      <c r="Q1070" s="326"/>
      <c r="R1070" s="40"/>
      <c r="S1070" s="84"/>
      <c r="T1070" s="40"/>
      <c r="U1070" s="42"/>
      <c r="V1070" s="78"/>
      <c r="Z1070" s="181"/>
      <c r="AA1070" s="183"/>
      <c r="AC1070" s="26"/>
      <c r="AD1070" s="279"/>
      <c r="AE1070" s="26"/>
      <c r="AF1070" s="26"/>
      <c r="AG1070" s="278" t="str">
        <f t="shared" si="128"/>
        <v/>
      </c>
      <c r="AH1070" s="278" t="str">
        <f t="shared" si="129"/>
        <v/>
      </c>
      <c r="AJ1070" s="25"/>
      <c r="AK1070" s="25"/>
      <c r="AL1070" s="25"/>
      <c r="AM1070" s="25"/>
      <c r="AN1070" s="25"/>
      <c r="AO1070" s="25"/>
      <c r="AP1070" s="25"/>
      <c r="AQ1070" s="25"/>
      <c r="AR1070" s="25"/>
      <c r="AS1070" s="25"/>
      <c r="AT1070" s="25"/>
      <c r="AU1070" s="25"/>
      <c r="AV1070" s="43"/>
      <c r="AW1070" s="43"/>
      <c r="AX1070" s="114" t="s">
        <v>76</v>
      </c>
      <c r="AY1070" s="43"/>
      <c r="AZ1070" s="43"/>
      <c r="BA1070" s="43"/>
      <c r="BB1070" s="43"/>
    </row>
    <row r="1071" spans="2:54" ht="12.75" customHeight="1">
      <c r="B1071" s="320"/>
      <c r="C1071" s="134"/>
      <c r="D1071" s="98"/>
      <c r="E1071" s="504"/>
      <c r="F1071" s="306"/>
      <c r="G1071" s="265"/>
      <c r="H1071" s="266"/>
      <c r="I1071" s="297"/>
      <c r="J1071" s="298"/>
      <c r="K1071" s="298"/>
      <c r="L1071" s="298"/>
      <c r="M1071" s="41"/>
      <c r="N1071" s="21"/>
      <c r="O1071" s="21"/>
      <c r="P1071" s="21"/>
      <c r="Q1071" s="326"/>
      <c r="R1071" s="40"/>
      <c r="S1071" s="84"/>
      <c r="T1071" s="40"/>
      <c r="U1071" s="42"/>
      <c r="V1071" s="78"/>
      <c r="Z1071" s="181"/>
      <c r="AA1071" s="183"/>
      <c r="AC1071" s="26"/>
      <c r="AD1071" s="279"/>
      <c r="AE1071" s="26"/>
      <c r="AF1071" s="26"/>
      <c r="AG1071" s="278" t="str">
        <f t="shared" si="128"/>
        <v/>
      </c>
      <c r="AH1071" s="278" t="str">
        <f t="shared" si="129"/>
        <v/>
      </c>
      <c r="AJ1071" s="25"/>
      <c r="AK1071" s="25"/>
      <c r="AL1071" s="25"/>
      <c r="AM1071" s="25"/>
      <c r="AN1071" s="25"/>
      <c r="AO1071" s="25"/>
      <c r="AP1071" s="25"/>
      <c r="AQ1071" s="25"/>
      <c r="AR1071" s="25"/>
      <c r="AS1071" s="25"/>
      <c r="AT1071" s="25"/>
      <c r="AU1071" s="25"/>
      <c r="AV1071" s="43"/>
      <c r="AW1071" s="43"/>
      <c r="AX1071" s="114" t="s">
        <v>76</v>
      </c>
      <c r="AY1071" s="43"/>
      <c r="AZ1071" s="43"/>
      <c r="BA1071" s="43"/>
      <c r="BB1071" s="43"/>
    </row>
    <row r="1072" spans="2:54" ht="12.75" customHeight="1">
      <c r="B1072" s="320"/>
      <c r="C1072" s="134"/>
      <c r="D1072" s="98"/>
      <c r="E1072" s="504"/>
      <c r="F1072" s="306"/>
      <c r="G1072" s="265"/>
      <c r="H1072" s="266"/>
      <c r="I1072" s="297"/>
      <c r="J1072" s="298"/>
      <c r="K1072" s="298"/>
      <c r="L1072" s="298"/>
      <c r="M1072" s="41"/>
      <c r="N1072" s="21"/>
      <c r="O1072" s="21"/>
      <c r="P1072" s="21"/>
      <c r="Q1072" s="326"/>
      <c r="R1072" s="40"/>
      <c r="S1072" s="84"/>
      <c r="T1072" s="40"/>
      <c r="U1072" s="42"/>
      <c r="V1072" s="78"/>
      <c r="Z1072" s="181"/>
      <c r="AA1072" s="183"/>
      <c r="AC1072" s="26"/>
      <c r="AD1072" s="279"/>
      <c r="AE1072" s="26"/>
      <c r="AF1072" s="26"/>
      <c r="AG1072" s="278" t="str">
        <f t="shared" si="128"/>
        <v/>
      </c>
      <c r="AH1072" s="278" t="str">
        <f t="shared" si="129"/>
        <v/>
      </c>
      <c r="AJ1072" s="25"/>
      <c r="AK1072" s="25"/>
      <c r="AL1072" s="25"/>
      <c r="AM1072" s="25"/>
      <c r="AN1072" s="25"/>
      <c r="AO1072" s="25"/>
      <c r="AP1072" s="25"/>
      <c r="AQ1072" s="25"/>
      <c r="AR1072" s="25"/>
      <c r="AS1072" s="25"/>
      <c r="AT1072" s="25"/>
      <c r="AU1072" s="25"/>
      <c r="AV1072" s="43"/>
      <c r="AW1072" s="43"/>
      <c r="AX1072" s="114" t="s">
        <v>76</v>
      </c>
      <c r="AY1072" s="43"/>
      <c r="AZ1072" s="43"/>
      <c r="BA1072" s="43"/>
      <c r="BB1072" s="43"/>
    </row>
    <row r="1073" spans="2:54" ht="12.75" customHeight="1">
      <c r="B1073" s="320"/>
      <c r="C1073" s="134"/>
      <c r="D1073" s="98"/>
      <c r="E1073" s="504"/>
      <c r="F1073" s="306"/>
      <c r="G1073" s="265"/>
      <c r="H1073" s="266"/>
      <c r="I1073" s="297"/>
      <c r="J1073" s="298"/>
      <c r="K1073" s="298"/>
      <c r="L1073" s="298"/>
      <c r="M1073" s="41"/>
      <c r="N1073" s="21"/>
      <c r="O1073" s="21"/>
      <c r="P1073" s="21"/>
      <c r="Q1073" s="326"/>
      <c r="R1073" s="40"/>
      <c r="S1073" s="84"/>
      <c r="T1073" s="40"/>
      <c r="U1073" s="42"/>
      <c r="V1073" s="78"/>
      <c r="Z1073" s="181"/>
      <c r="AA1073" s="183"/>
      <c r="AC1073" s="26"/>
      <c r="AD1073" s="279"/>
      <c r="AE1073" s="26"/>
      <c r="AF1073" s="26"/>
      <c r="AG1073" s="278" t="str">
        <f t="shared" si="128"/>
        <v/>
      </c>
      <c r="AH1073" s="278" t="str">
        <f t="shared" si="129"/>
        <v/>
      </c>
      <c r="AJ1073" s="25"/>
      <c r="AK1073" s="25"/>
      <c r="AL1073" s="25"/>
      <c r="AM1073" s="25"/>
      <c r="AN1073" s="25"/>
      <c r="AO1073" s="25"/>
      <c r="AP1073" s="25"/>
      <c r="AQ1073" s="25"/>
      <c r="AR1073" s="25"/>
      <c r="AS1073" s="25"/>
      <c r="AT1073" s="25"/>
      <c r="AU1073" s="25"/>
      <c r="AV1073" s="43"/>
      <c r="AW1073" s="43"/>
      <c r="AX1073" s="114" t="s">
        <v>76</v>
      </c>
      <c r="AY1073" s="43"/>
      <c r="AZ1073" s="43"/>
      <c r="BA1073" s="43"/>
      <c r="BB1073" s="43"/>
    </row>
    <row r="1074" spans="2:54" ht="12.75" customHeight="1">
      <c r="B1074" s="320"/>
      <c r="C1074" s="134"/>
      <c r="D1074" s="98"/>
      <c r="E1074" s="504"/>
      <c r="F1074" s="306"/>
      <c r="G1074" s="265"/>
      <c r="H1074" s="266"/>
      <c r="I1074" s="297"/>
      <c r="J1074" s="298"/>
      <c r="K1074" s="298"/>
      <c r="L1074" s="298"/>
      <c r="M1074" s="41"/>
      <c r="N1074" s="21"/>
      <c r="O1074" s="21"/>
      <c r="P1074" s="21"/>
      <c r="Q1074" s="326"/>
      <c r="R1074" s="40"/>
      <c r="S1074" s="84"/>
      <c r="T1074" s="40"/>
      <c r="U1074" s="42"/>
      <c r="V1074" s="78"/>
      <c r="Z1074" s="181"/>
      <c r="AA1074" s="183"/>
      <c r="AC1074" s="26"/>
      <c r="AD1074" s="279"/>
      <c r="AE1074" s="26"/>
      <c r="AF1074" s="26"/>
      <c r="AG1074" s="278" t="str">
        <f t="shared" si="128"/>
        <v/>
      </c>
      <c r="AH1074" s="278" t="str">
        <f t="shared" si="129"/>
        <v/>
      </c>
      <c r="AJ1074" s="25"/>
      <c r="AK1074" s="25"/>
      <c r="AL1074" s="25"/>
      <c r="AM1074" s="25"/>
      <c r="AN1074" s="25"/>
      <c r="AO1074" s="25"/>
      <c r="AP1074" s="25"/>
      <c r="AQ1074" s="25"/>
      <c r="AR1074" s="25"/>
      <c r="AS1074" s="25"/>
      <c r="AT1074" s="25"/>
      <c r="AU1074" s="25"/>
      <c r="AV1074" s="43"/>
      <c r="AW1074" s="43"/>
      <c r="AX1074" s="114" t="s">
        <v>76</v>
      </c>
      <c r="AY1074" s="43"/>
      <c r="AZ1074" s="43"/>
      <c r="BA1074" s="43"/>
      <c r="BB1074" s="43"/>
    </row>
    <row r="1075" spans="2:54" ht="12.75" customHeight="1">
      <c r="B1075" s="320"/>
      <c r="C1075" s="134"/>
      <c r="D1075" s="98"/>
      <c r="E1075" s="504"/>
      <c r="F1075" s="306"/>
      <c r="G1075" s="265"/>
      <c r="H1075" s="266"/>
      <c r="I1075" s="297"/>
      <c r="J1075" s="298"/>
      <c r="K1075" s="298"/>
      <c r="L1075" s="298"/>
      <c r="M1075" s="41"/>
      <c r="N1075" s="21"/>
      <c r="O1075" s="21"/>
      <c r="P1075" s="21"/>
      <c r="Q1075" s="326"/>
      <c r="R1075" s="40"/>
      <c r="S1075" s="84"/>
      <c r="T1075" s="40"/>
      <c r="U1075" s="42"/>
      <c r="V1075" s="78"/>
      <c r="Z1075" s="181"/>
      <c r="AA1075" s="183"/>
      <c r="AC1075" s="26"/>
      <c r="AD1075" s="279"/>
      <c r="AE1075" s="26"/>
      <c r="AF1075" s="26"/>
      <c r="AG1075" s="278" t="str">
        <f t="shared" si="128"/>
        <v/>
      </c>
      <c r="AH1075" s="278" t="str">
        <f t="shared" si="129"/>
        <v/>
      </c>
      <c r="AJ1075" s="25"/>
      <c r="AK1075" s="25"/>
      <c r="AL1075" s="25"/>
      <c r="AM1075" s="25"/>
      <c r="AN1075" s="25"/>
      <c r="AO1075" s="25"/>
      <c r="AP1075" s="25"/>
      <c r="AQ1075" s="25"/>
      <c r="AR1075" s="25"/>
      <c r="AS1075" s="25"/>
      <c r="AT1075" s="25"/>
      <c r="AU1075" s="25"/>
      <c r="AV1075" s="43"/>
      <c r="AW1075" s="43"/>
      <c r="AX1075" s="114" t="s">
        <v>76</v>
      </c>
      <c r="AY1075" s="43"/>
      <c r="AZ1075" s="43"/>
      <c r="BA1075" s="43"/>
      <c r="BB1075" s="43"/>
    </row>
    <row r="1076" spans="2:54" ht="12.75" customHeight="1">
      <c r="B1076" s="320"/>
      <c r="C1076" s="134"/>
      <c r="D1076" s="98"/>
      <c r="E1076" s="504"/>
      <c r="F1076" s="306"/>
      <c r="G1076" s="265"/>
      <c r="H1076" s="266"/>
      <c r="I1076" s="297"/>
      <c r="J1076" s="298"/>
      <c r="K1076" s="298"/>
      <c r="L1076" s="298"/>
      <c r="M1076" s="41"/>
      <c r="N1076" s="21"/>
      <c r="O1076" s="21"/>
      <c r="P1076" s="21"/>
      <c r="Q1076" s="326"/>
      <c r="R1076" s="40"/>
      <c r="S1076" s="84"/>
      <c r="T1076" s="40"/>
      <c r="U1076" s="42"/>
      <c r="V1076" s="78"/>
      <c r="Z1076" s="181"/>
      <c r="AA1076" s="183"/>
      <c r="AC1076" s="26"/>
      <c r="AD1076" s="279"/>
      <c r="AE1076" s="26"/>
      <c r="AF1076" s="26"/>
      <c r="AG1076" s="278" t="str">
        <f t="shared" si="128"/>
        <v/>
      </c>
      <c r="AH1076" s="278" t="str">
        <f t="shared" si="129"/>
        <v/>
      </c>
      <c r="AJ1076" s="25"/>
      <c r="AK1076" s="25"/>
      <c r="AL1076" s="25"/>
      <c r="AM1076" s="25"/>
      <c r="AN1076" s="25"/>
      <c r="AO1076" s="25"/>
      <c r="AP1076" s="25"/>
      <c r="AQ1076" s="25"/>
      <c r="AR1076" s="25"/>
      <c r="AS1076" s="25"/>
      <c r="AT1076" s="25"/>
      <c r="AU1076" s="25"/>
      <c r="AV1076" s="43"/>
      <c r="AW1076" s="43"/>
      <c r="AX1076" s="114" t="s">
        <v>76</v>
      </c>
      <c r="AY1076" s="43"/>
      <c r="AZ1076" s="43"/>
      <c r="BA1076" s="43"/>
      <c r="BB1076" s="43"/>
    </row>
    <row r="1077" spans="2:54" ht="12.75" customHeight="1">
      <c r="B1077" s="320"/>
      <c r="C1077" s="134"/>
      <c r="D1077" s="98"/>
      <c r="E1077" s="504"/>
      <c r="F1077" s="306"/>
      <c r="G1077" s="265"/>
      <c r="H1077" s="266"/>
      <c r="I1077" s="297"/>
      <c r="J1077" s="298"/>
      <c r="K1077" s="298"/>
      <c r="L1077" s="298"/>
      <c r="M1077" s="41"/>
      <c r="N1077" s="21"/>
      <c r="O1077" s="21"/>
      <c r="P1077" s="21"/>
      <c r="Q1077" s="326"/>
      <c r="R1077" s="40"/>
      <c r="S1077" s="84"/>
      <c r="T1077" s="40"/>
      <c r="U1077" s="42"/>
      <c r="V1077" s="78"/>
      <c r="Z1077" s="181"/>
      <c r="AA1077" s="183"/>
      <c r="AC1077" s="26"/>
      <c r="AD1077" s="279"/>
      <c r="AE1077" s="26"/>
      <c r="AF1077" s="26"/>
      <c r="AG1077" s="278" t="str">
        <f t="shared" si="128"/>
        <v/>
      </c>
      <c r="AH1077" s="278" t="str">
        <f t="shared" si="129"/>
        <v/>
      </c>
      <c r="AJ1077" s="25"/>
      <c r="AK1077" s="25"/>
      <c r="AL1077" s="25"/>
      <c r="AM1077" s="25"/>
      <c r="AN1077" s="25"/>
      <c r="AO1077" s="25"/>
      <c r="AP1077" s="25"/>
      <c r="AQ1077" s="25"/>
      <c r="AR1077" s="25"/>
      <c r="AS1077" s="25"/>
      <c r="AT1077" s="25"/>
      <c r="AU1077" s="25"/>
      <c r="AV1077" s="43"/>
      <c r="AW1077" s="43"/>
      <c r="AX1077" s="114" t="s">
        <v>76</v>
      </c>
      <c r="AY1077" s="43"/>
      <c r="AZ1077" s="43"/>
      <c r="BA1077" s="43"/>
      <c r="BB1077" s="43"/>
    </row>
    <row r="1078" spans="2:54" ht="12.75" customHeight="1">
      <c r="B1078" s="320"/>
      <c r="C1078" s="134"/>
      <c r="D1078" s="98"/>
      <c r="E1078" s="504"/>
      <c r="F1078" s="306"/>
      <c r="G1078" s="265"/>
      <c r="H1078" s="266"/>
      <c r="I1078" s="297"/>
      <c r="J1078" s="298"/>
      <c r="K1078" s="298"/>
      <c r="L1078" s="298"/>
      <c r="M1078" s="41"/>
      <c r="N1078" s="21"/>
      <c r="O1078" s="21"/>
      <c r="P1078" s="21"/>
      <c r="Q1078" s="326"/>
      <c r="R1078" s="40"/>
      <c r="S1078" s="84"/>
      <c r="T1078" s="40"/>
      <c r="U1078" s="42"/>
      <c r="V1078" s="78"/>
      <c r="Z1078" s="181"/>
      <c r="AA1078" s="183"/>
      <c r="AC1078" s="26"/>
      <c r="AD1078" s="279"/>
      <c r="AE1078" s="26"/>
      <c r="AF1078" s="26"/>
      <c r="AG1078" s="278" t="str">
        <f t="shared" si="128"/>
        <v/>
      </c>
      <c r="AH1078" s="278" t="str">
        <f t="shared" si="129"/>
        <v/>
      </c>
      <c r="AJ1078" s="25"/>
      <c r="AK1078" s="25"/>
      <c r="AL1078" s="25"/>
      <c r="AM1078" s="25"/>
      <c r="AN1078" s="25"/>
      <c r="AO1078" s="25"/>
      <c r="AP1078" s="25"/>
      <c r="AQ1078" s="25"/>
      <c r="AR1078" s="25"/>
      <c r="AS1078" s="25"/>
      <c r="AT1078" s="25"/>
      <c r="AU1078" s="25"/>
      <c r="AV1078" s="43"/>
      <c r="AW1078" s="43"/>
      <c r="AX1078" s="114" t="s">
        <v>76</v>
      </c>
      <c r="AY1078" s="43"/>
      <c r="AZ1078" s="43"/>
      <c r="BA1078" s="43"/>
      <c r="BB1078" s="43"/>
    </row>
    <row r="1079" spans="2:54" ht="12.75" customHeight="1">
      <c r="B1079" s="320"/>
      <c r="C1079" s="134"/>
      <c r="D1079" s="98"/>
      <c r="E1079" s="504"/>
      <c r="F1079" s="306"/>
      <c r="G1079" s="265"/>
      <c r="H1079" s="266"/>
      <c r="I1079" s="297"/>
      <c r="J1079" s="298"/>
      <c r="K1079" s="298"/>
      <c r="L1079" s="298"/>
      <c r="M1079" s="41"/>
      <c r="N1079" s="21"/>
      <c r="O1079" s="21"/>
      <c r="P1079" s="21"/>
      <c r="Q1079" s="326"/>
      <c r="R1079" s="40"/>
      <c r="S1079" s="84"/>
      <c r="T1079" s="40"/>
      <c r="U1079" s="42"/>
      <c r="V1079" s="78"/>
      <c r="Z1079" s="181"/>
      <c r="AA1079" s="183"/>
      <c r="AC1079" s="26"/>
      <c r="AD1079" s="279"/>
      <c r="AE1079" s="26"/>
      <c r="AF1079" s="26"/>
      <c r="AG1079" s="278" t="str">
        <f t="shared" si="128"/>
        <v/>
      </c>
      <c r="AH1079" s="278" t="str">
        <f t="shared" si="129"/>
        <v/>
      </c>
      <c r="AJ1079" s="25"/>
      <c r="AK1079" s="25"/>
      <c r="AL1079" s="25"/>
      <c r="AM1079" s="25"/>
      <c r="AN1079" s="25"/>
      <c r="AO1079" s="25"/>
      <c r="AP1079" s="25"/>
      <c r="AQ1079" s="25"/>
      <c r="AR1079" s="25"/>
      <c r="AS1079" s="25"/>
      <c r="AT1079" s="25"/>
      <c r="AU1079" s="25"/>
      <c r="AV1079" s="43"/>
      <c r="AW1079" s="43"/>
      <c r="AX1079" s="114" t="s">
        <v>76</v>
      </c>
      <c r="AY1079" s="43"/>
      <c r="AZ1079" s="43"/>
      <c r="BA1079" s="43"/>
      <c r="BB1079" s="43"/>
    </row>
    <row r="1080" spans="2:54" ht="12.75" customHeight="1">
      <c r="B1080" s="320"/>
      <c r="C1080" s="134"/>
      <c r="D1080" s="98"/>
      <c r="E1080" s="504"/>
      <c r="F1080" s="306"/>
      <c r="G1080" s="265"/>
      <c r="H1080" s="266"/>
      <c r="I1080" s="297"/>
      <c r="J1080" s="298"/>
      <c r="K1080" s="298"/>
      <c r="L1080" s="298"/>
      <c r="M1080" s="41"/>
      <c r="N1080" s="21"/>
      <c r="O1080" s="21"/>
      <c r="P1080" s="21"/>
      <c r="Q1080" s="326"/>
      <c r="R1080" s="40"/>
      <c r="S1080" s="84"/>
      <c r="T1080" s="40"/>
      <c r="U1080" s="42"/>
      <c r="V1080" s="78"/>
      <c r="Z1080" s="181"/>
      <c r="AA1080" s="183"/>
      <c r="AC1080" s="26"/>
      <c r="AD1080" s="279"/>
      <c r="AE1080" s="26"/>
      <c r="AF1080" s="26"/>
      <c r="AG1080" s="278" t="str">
        <f t="shared" si="128"/>
        <v/>
      </c>
      <c r="AH1080" s="278" t="str">
        <f t="shared" si="129"/>
        <v/>
      </c>
      <c r="AJ1080" s="25"/>
      <c r="AK1080" s="25"/>
      <c r="AL1080" s="25"/>
      <c r="AM1080" s="25"/>
      <c r="AN1080" s="25"/>
      <c r="AO1080" s="25"/>
      <c r="AP1080" s="25"/>
      <c r="AQ1080" s="25"/>
      <c r="AR1080" s="25"/>
      <c r="AS1080" s="25"/>
      <c r="AT1080" s="25"/>
      <c r="AU1080" s="25"/>
      <c r="AV1080" s="43"/>
      <c r="AW1080" s="43"/>
      <c r="AX1080" s="114" t="s">
        <v>76</v>
      </c>
      <c r="AY1080" s="43"/>
      <c r="AZ1080" s="43"/>
      <c r="BA1080" s="43"/>
      <c r="BB1080" s="43"/>
    </row>
    <row r="1081" spans="2:54" ht="12.75" customHeight="1">
      <c r="B1081" s="320"/>
      <c r="C1081" s="134"/>
      <c r="D1081" s="98"/>
      <c r="E1081" s="504"/>
      <c r="F1081" s="306"/>
      <c r="G1081" s="265"/>
      <c r="H1081" s="266"/>
      <c r="I1081" s="297"/>
      <c r="J1081" s="298"/>
      <c r="K1081" s="298"/>
      <c r="L1081" s="298"/>
      <c r="M1081" s="41"/>
      <c r="N1081" s="21"/>
      <c r="O1081" s="21"/>
      <c r="P1081" s="21"/>
      <c r="Q1081" s="326"/>
      <c r="R1081" s="40"/>
      <c r="S1081" s="84"/>
      <c r="T1081" s="40"/>
      <c r="U1081" s="42"/>
      <c r="V1081" s="78"/>
      <c r="Z1081" s="181"/>
      <c r="AA1081" s="183"/>
      <c r="AC1081" s="26"/>
      <c r="AD1081" s="279"/>
      <c r="AE1081" s="26"/>
      <c r="AF1081" s="26"/>
      <c r="AG1081" s="278" t="str">
        <f t="shared" si="128"/>
        <v/>
      </c>
      <c r="AH1081" s="278" t="str">
        <f t="shared" si="129"/>
        <v/>
      </c>
      <c r="AJ1081" s="25"/>
      <c r="AK1081" s="25"/>
      <c r="AL1081" s="25"/>
      <c r="AM1081" s="25"/>
      <c r="AN1081" s="25"/>
      <c r="AO1081" s="25"/>
      <c r="AP1081" s="25"/>
      <c r="AQ1081" s="25"/>
      <c r="AR1081" s="25"/>
      <c r="AS1081" s="25"/>
      <c r="AT1081" s="25"/>
      <c r="AU1081" s="25"/>
      <c r="AV1081" s="43"/>
      <c r="AW1081" s="43"/>
      <c r="AX1081" s="114" t="s">
        <v>76</v>
      </c>
      <c r="AY1081" s="43"/>
      <c r="AZ1081" s="43"/>
      <c r="BA1081" s="43"/>
      <c r="BB1081" s="43"/>
    </row>
    <row r="1082" spans="2:54" ht="12.75" customHeight="1">
      <c r="B1082" s="320"/>
      <c r="C1082" s="134"/>
      <c r="D1082" s="98"/>
      <c r="E1082" s="504"/>
      <c r="F1082" s="306"/>
      <c r="G1082" s="265"/>
      <c r="H1082" s="266"/>
      <c r="I1082" s="297"/>
      <c r="J1082" s="298"/>
      <c r="K1082" s="298"/>
      <c r="L1082" s="298"/>
      <c r="M1082" s="41"/>
      <c r="N1082" s="21"/>
      <c r="O1082" s="21"/>
      <c r="P1082" s="21"/>
      <c r="Q1082" s="326"/>
      <c r="R1082" s="40"/>
      <c r="S1082" s="84"/>
      <c r="T1082" s="40"/>
      <c r="U1082" s="42"/>
      <c r="V1082" s="78"/>
      <c r="Z1082" s="181"/>
      <c r="AA1082" s="183"/>
      <c r="AC1082" s="26"/>
      <c r="AD1082" s="279"/>
      <c r="AE1082" s="26"/>
      <c r="AF1082" s="26"/>
      <c r="AG1082" s="278" t="str">
        <f t="shared" si="128"/>
        <v/>
      </c>
      <c r="AH1082" s="278" t="str">
        <f t="shared" si="129"/>
        <v/>
      </c>
      <c r="AJ1082" s="25"/>
      <c r="AK1082" s="25"/>
      <c r="AL1082" s="25"/>
      <c r="AM1082" s="25"/>
      <c r="AN1082" s="25"/>
      <c r="AO1082" s="25"/>
      <c r="AP1082" s="25"/>
      <c r="AQ1082" s="25"/>
      <c r="AR1082" s="25"/>
      <c r="AS1082" s="25"/>
      <c r="AT1082" s="25"/>
      <c r="AU1082" s="25"/>
      <c r="AV1082" s="43"/>
      <c r="AW1082" s="43"/>
      <c r="AX1082" s="114" t="s">
        <v>76</v>
      </c>
      <c r="AY1082" s="43"/>
      <c r="AZ1082" s="43"/>
      <c r="BA1082" s="43"/>
      <c r="BB1082" s="43"/>
    </row>
    <row r="1083" spans="2:54" ht="12.75" customHeight="1">
      <c r="B1083" s="320"/>
      <c r="C1083" s="134"/>
      <c r="D1083" s="98"/>
      <c r="E1083" s="504"/>
      <c r="F1083" s="306"/>
      <c r="G1083" s="265"/>
      <c r="H1083" s="266"/>
      <c r="I1083" s="297"/>
      <c r="J1083" s="298"/>
      <c r="K1083" s="298"/>
      <c r="L1083" s="298"/>
      <c r="M1083" s="41"/>
      <c r="N1083" s="21"/>
      <c r="O1083" s="21"/>
      <c r="P1083" s="21"/>
      <c r="Q1083" s="326"/>
      <c r="R1083" s="40"/>
      <c r="S1083" s="84"/>
      <c r="T1083" s="40"/>
      <c r="U1083" s="42"/>
      <c r="V1083" s="78"/>
      <c r="Z1083" s="181"/>
      <c r="AA1083" s="183"/>
      <c r="AC1083" s="26"/>
      <c r="AD1083" s="279"/>
      <c r="AE1083" s="26"/>
      <c r="AF1083" s="26"/>
      <c r="AG1083" s="278" t="str">
        <f t="shared" si="128"/>
        <v/>
      </c>
      <c r="AH1083" s="278" t="str">
        <f t="shared" si="129"/>
        <v/>
      </c>
      <c r="AJ1083" s="25"/>
      <c r="AK1083" s="25"/>
      <c r="AL1083" s="25"/>
      <c r="AM1083" s="25"/>
      <c r="AN1083" s="25"/>
      <c r="AO1083" s="25"/>
      <c r="AP1083" s="25"/>
      <c r="AQ1083" s="25"/>
      <c r="AR1083" s="25"/>
      <c r="AS1083" s="25"/>
      <c r="AT1083" s="25"/>
      <c r="AU1083" s="25"/>
      <c r="AV1083" s="43"/>
      <c r="AW1083" s="43"/>
      <c r="AX1083" s="114" t="s">
        <v>76</v>
      </c>
      <c r="AY1083" s="43"/>
      <c r="AZ1083" s="43"/>
      <c r="BA1083" s="43"/>
      <c r="BB1083" s="43"/>
    </row>
    <row r="1084" spans="2:54" ht="12.75" customHeight="1">
      <c r="B1084" s="320"/>
      <c r="C1084" s="134"/>
      <c r="D1084" s="98"/>
      <c r="E1084" s="504"/>
      <c r="F1084" s="306"/>
      <c r="G1084" s="265"/>
      <c r="H1084" s="266"/>
      <c r="I1084" s="297"/>
      <c r="J1084" s="298"/>
      <c r="K1084" s="298"/>
      <c r="L1084" s="298"/>
      <c r="M1084" s="41"/>
      <c r="N1084" s="21"/>
      <c r="O1084" s="21"/>
      <c r="P1084" s="21"/>
      <c r="Q1084" s="326"/>
      <c r="R1084" s="40"/>
      <c r="S1084" s="84"/>
      <c r="T1084" s="40"/>
      <c r="U1084" s="42"/>
      <c r="V1084" s="78"/>
      <c r="Z1084" s="181"/>
      <c r="AA1084" s="183"/>
      <c r="AC1084" s="26"/>
      <c r="AD1084" s="279"/>
      <c r="AE1084" s="26"/>
      <c r="AF1084" s="26"/>
      <c r="AG1084" s="278" t="str">
        <f t="shared" si="128"/>
        <v/>
      </c>
      <c r="AH1084" s="278" t="str">
        <f t="shared" si="129"/>
        <v/>
      </c>
      <c r="AJ1084" s="25"/>
      <c r="AK1084" s="25"/>
      <c r="AL1084" s="25"/>
      <c r="AM1084" s="25"/>
      <c r="AN1084" s="25"/>
      <c r="AO1084" s="25"/>
      <c r="AP1084" s="25"/>
      <c r="AQ1084" s="25"/>
      <c r="AR1084" s="25"/>
      <c r="AS1084" s="25"/>
      <c r="AT1084" s="25"/>
      <c r="AU1084" s="25"/>
      <c r="AV1084" s="43"/>
      <c r="AW1084" s="43"/>
      <c r="AX1084" s="114" t="s">
        <v>76</v>
      </c>
      <c r="AY1084" s="43"/>
      <c r="AZ1084" s="43"/>
      <c r="BA1084" s="43"/>
      <c r="BB1084" s="43"/>
    </row>
    <row r="1085" spans="2:54" ht="12.75" customHeight="1">
      <c r="B1085" s="320"/>
      <c r="C1085" s="134"/>
      <c r="D1085" s="98"/>
      <c r="E1085" s="504"/>
      <c r="F1085" s="306"/>
      <c r="G1085" s="265"/>
      <c r="H1085" s="266"/>
      <c r="I1085" s="297"/>
      <c r="J1085" s="298"/>
      <c r="K1085" s="298"/>
      <c r="L1085" s="298"/>
      <c r="M1085" s="41"/>
      <c r="N1085" s="21"/>
      <c r="O1085" s="21"/>
      <c r="P1085" s="21"/>
      <c r="Q1085" s="326"/>
      <c r="R1085" s="40"/>
      <c r="S1085" s="84"/>
      <c r="T1085" s="40"/>
      <c r="U1085" s="42"/>
      <c r="V1085" s="78"/>
      <c r="Z1085" s="181"/>
      <c r="AA1085" s="183"/>
      <c r="AC1085" s="26"/>
      <c r="AD1085" s="279"/>
      <c r="AE1085" s="26"/>
      <c r="AF1085" s="26"/>
      <c r="AG1085" s="278" t="str">
        <f t="shared" si="128"/>
        <v/>
      </c>
      <c r="AH1085" s="278" t="str">
        <f t="shared" si="129"/>
        <v/>
      </c>
      <c r="AJ1085" s="25"/>
      <c r="AK1085" s="25"/>
      <c r="AL1085" s="25"/>
      <c r="AM1085" s="25"/>
      <c r="AN1085" s="25"/>
      <c r="AO1085" s="25"/>
      <c r="AP1085" s="25"/>
      <c r="AQ1085" s="25"/>
      <c r="AR1085" s="25"/>
      <c r="AS1085" s="25"/>
      <c r="AT1085" s="25"/>
      <c r="AU1085" s="25"/>
      <c r="AV1085" s="43"/>
      <c r="AW1085" s="43"/>
      <c r="AX1085" s="114" t="s">
        <v>76</v>
      </c>
      <c r="AY1085" s="43"/>
      <c r="AZ1085" s="43"/>
      <c r="BA1085" s="43"/>
      <c r="BB1085" s="43"/>
    </row>
    <row r="1086" spans="2:54" ht="12.75" customHeight="1">
      <c r="B1086" s="320"/>
      <c r="C1086" s="134"/>
      <c r="D1086" s="98"/>
      <c r="E1086" s="504"/>
      <c r="F1086" s="306"/>
      <c r="G1086" s="265"/>
      <c r="H1086" s="266"/>
      <c r="I1086" s="297"/>
      <c r="J1086" s="298"/>
      <c r="K1086" s="298"/>
      <c r="L1086" s="298"/>
      <c r="M1086" s="41"/>
      <c r="N1086" s="21"/>
      <c r="O1086" s="21"/>
      <c r="P1086" s="21"/>
      <c r="Q1086" s="326"/>
      <c r="R1086" s="40"/>
      <c r="S1086" s="84"/>
      <c r="T1086" s="40"/>
      <c r="U1086" s="42"/>
      <c r="V1086" s="78"/>
      <c r="Z1086" s="181"/>
      <c r="AA1086" s="183"/>
      <c r="AC1086" s="26"/>
      <c r="AD1086" s="279"/>
      <c r="AE1086" s="26"/>
      <c r="AF1086" s="26"/>
      <c r="AG1086" s="278" t="str">
        <f t="shared" si="128"/>
        <v/>
      </c>
      <c r="AH1086" s="278" t="str">
        <f t="shared" si="129"/>
        <v/>
      </c>
      <c r="AJ1086" s="25"/>
      <c r="AK1086" s="25"/>
      <c r="AL1086" s="25"/>
      <c r="AM1086" s="25"/>
      <c r="AN1086" s="25"/>
      <c r="AO1086" s="25"/>
      <c r="AP1086" s="25"/>
      <c r="AQ1086" s="25"/>
      <c r="AR1086" s="25"/>
      <c r="AS1086" s="25"/>
      <c r="AT1086" s="25"/>
      <c r="AU1086" s="25"/>
      <c r="AV1086" s="43"/>
      <c r="AW1086" s="43"/>
      <c r="AX1086" s="114" t="s">
        <v>76</v>
      </c>
      <c r="AY1086" s="43"/>
      <c r="AZ1086" s="43"/>
      <c r="BA1086" s="43"/>
      <c r="BB1086" s="43"/>
    </row>
    <row r="1087" spans="2:54" ht="12.75" customHeight="1">
      <c r="B1087" s="320"/>
      <c r="C1087" s="134"/>
      <c r="D1087" s="98"/>
      <c r="E1087" s="504"/>
      <c r="F1087" s="306"/>
      <c r="G1087" s="265"/>
      <c r="H1087" s="266"/>
      <c r="I1087" s="297"/>
      <c r="J1087" s="298"/>
      <c r="K1087" s="298"/>
      <c r="L1087" s="298"/>
      <c r="M1087" s="41"/>
      <c r="N1087" s="21"/>
      <c r="O1087" s="21"/>
      <c r="P1087" s="21"/>
      <c r="Q1087" s="326"/>
      <c r="R1087" s="40"/>
      <c r="S1087" s="84"/>
      <c r="T1087" s="40"/>
      <c r="U1087" s="42"/>
      <c r="V1087" s="78"/>
      <c r="Z1087" s="181"/>
      <c r="AA1087" s="183"/>
      <c r="AC1087" s="26"/>
      <c r="AD1087" s="279"/>
      <c r="AE1087" s="26"/>
      <c r="AF1087" s="26"/>
      <c r="AG1087" s="278" t="str">
        <f t="shared" si="128"/>
        <v/>
      </c>
      <c r="AH1087" s="278" t="str">
        <f t="shared" si="129"/>
        <v/>
      </c>
      <c r="AJ1087" s="25"/>
      <c r="AK1087" s="25"/>
      <c r="AL1087" s="25"/>
      <c r="AM1087" s="25"/>
      <c r="AN1087" s="25"/>
      <c r="AO1087" s="25"/>
      <c r="AP1087" s="25"/>
      <c r="AQ1087" s="25"/>
      <c r="AR1087" s="25"/>
      <c r="AS1087" s="25"/>
      <c r="AT1087" s="25"/>
      <c r="AU1087" s="25"/>
      <c r="AV1087" s="43"/>
      <c r="AW1087" s="43"/>
      <c r="AX1087" s="114" t="s">
        <v>76</v>
      </c>
      <c r="AY1087" s="43"/>
      <c r="AZ1087" s="43"/>
      <c r="BA1087" s="43"/>
      <c r="BB1087" s="43"/>
    </row>
    <row r="1088" spans="2:54" ht="12.75" customHeight="1">
      <c r="B1088" s="320"/>
      <c r="C1088" s="134"/>
      <c r="D1088" s="98"/>
      <c r="E1088" s="504"/>
      <c r="F1088" s="306"/>
      <c r="G1088" s="265"/>
      <c r="H1088" s="266"/>
      <c r="I1088" s="297"/>
      <c r="J1088" s="298"/>
      <c r="K1088" s="298"/>
      <c r="L1088" s="298"/>
      <c r="M1088" s="41"/>
      <c r="N1088" s="21"/>
      <c r="O1088" s="21"/>
      <c r="P1088" s="21"/>
      <c r="Q1088" s="326"/>
      <c r="R1088" s="40"/>
      <c r="S1088" s="84"/>
      <c r="T1088" s="40"/>
      <c r="U1088" s="42"/>
      <c r="V1088" s="78"/>
      <c r="Z1088" s="181"/>
      <c r="AA1088" s="183"/>
      <c r="AC1088" s="26"/>
      <c r="AD1088" s="279"/>
      <c r="AE1088" s="26"/>
      <c r="AF1088" s="26"/>
      <c r="AG1088" s="278" t="str">
        <f t="shared" si="128"/>
        <v/>
      </c>
      <c r="AH1088" s="278" t="str">
        <f t="shared" si="129"/>
        <v/>
      </c>
      <c r="AJ1088" s="25"/>
      <c r="AK1088" s="25"/>
      <c r="AL1088" s="25"/>
      <c r="AM1088" s="25"/>
      <c r="AN1088" s="25"/>
      <c r="AO1088" s="25"/>
      <c r="AP1088" s="25"/>
      <c r="AQ1088" s="25"/>
      <c r="AR1088" s="25"/>
      <c r="AS1088" s="25"/>
      <c r="AT1088" s="25"/>
      <c r="AU1088" s="25"/>
      <c r="AV1088" s="43"/>
      <c r="AW1088" s="43"/>
      <c r="AX1088" s="114" t="s">
        <v>76</v>
      </c>
      <c r="AY1088" s="43"/>
      <c r="AZ1088" s="43"/>
      <c r="BA1088" s="43"/>
      <c r="BB1088" s="43"/>
    </row>
    <row r="1089" spans="2:54" ht="12.75" customHeight="1">
      <c r="B1089" s="320"/>
      <c r="C1089" s="134"/>
      <c r="D1089" s="98"/>
      <c r="E1089" s="504"/>
      <c r="F1089" s="306"/>
      <c r="G1089" s="265"/>
      <c r="H1089" s="266"/>
      <c r="I1089" s="297"/>
      <c r="J1089" s="298"/>
      <c r="K1089" s="298"/>
      <c r="L1089" s="298"/>
      <c r="M1089" s="41"/>
      <c r="N1089" s="21"/>
      <c r="O1089" s="21"/>
      <c r="P1089" s="21"/>
      <c r="Q1089" s="326"/>
      <c r="R1089" s="40"/>
      <c r="S1089" s="84"/>
      <c r="T1089" s="40"/>
      <c r="U1089" s="42"/>
      <c r="V1089" s="78"/>
      <c r="Z1089" s="181"/>
      <c r="AA1089" s="183"/>
      <c r="AC1089" s="26"/>
      <c r="AD1089" s="279"/>
      <c r="AE1089" s="26"/>
      <c r="AF1089" s="26"/>
      <c r="AG1089" s="278" t="str">
        <f t="shared" si="128"/>
        <v/>
      </c>
      <c r="AH1089" s="278" t="str">
        <f t="shared" si="129"/>
        <v/>
      </c>
      <c r="AJ1089" s="25"/>
      <c r="AK1089" s="25"/>
      <c r="AL1089" s="25"/>
      <c r="AM1089" s="25"/>
      <c r="AN1089" s="25"/>
      <c r="AO1089" s="25"/>
      <c r="AP1089" s="25"/>
      <c r="AQ1089" s="25"/>
      <c r="AR1089" s="25"/>
      <c r="AS1089" s="25"/>
      <c r="AT1089" s="25"/>
      <c r="AU1089" s="25"/>
      <c r="AV1089" s="43"/>
      <c r="AW1089" s="43"/>
      <c r="AX1089" s="114" t="s">
        <v>76</v>
      </c>
      <c r="AY1089" s="43"/>
      <c r="AZ1089" s="43"/>
      <c r="BA1089" s="43"/>
      <c r="BB1089" s="43"/>
    </row>
    <row r="1090" spans="2:54" ht="12.75" customHeight="1">
      <c r="B1090" s="320"/>
      <c r="C1090" s="134"/>
      <c r="D1090" s="98"/>
      <c r="E1090" s="504"/>
      <c r="F1090" s="306"/>
      <c r="G1090" s="265"/>
      <c r="H1090" s="266"/>
      <c r="I1090" s="297"/>
      <c r="J1090" s="298"/>
      <c r="K1090" s="298"/>
      <c r="L1090" s="298"/>
      <c r="M1090" s="41"/>
      <c r="N1090" s="21"/>
      <c r="O1090" s="21"/>
      <c r="P1090" s="21"/>
      <c r="Q1090" s="326"/>
      <c r="R1090" s="40"/>
      <c r="S1090" s="84"/>
      <c r="T1090" s="40"/>
      <c r="U1090" s="42"/>
      <c r="V1090" s="78"/>
      <c r="Z1090" s="181"/>
      <c r="AA1090" s="183"/>
      <c r="AC1090" s="26"/>
      <c r="AD1090" s="279"/>
      <c r="AE1090" s="26"/>
      <c r="AF1090" s="26"/>
      <c r="AG1090" s="278" t="str">
        <f t="shared" si="128"/>
        <v/>
      </c>
      <c r="AH1090" s="278" t="str">
        <f t="shared" si="129"/>
        <v/>
      </c>
      <c r="AJ1090" s="25"/>
      <c r="AK1090" s="25"/>
      <c r="AL1090" s="25"/>
      <c r="AM1090" s="25"/>
      <c r="AN1090" s="25"/>
      <c r="AO1090" s="25"/>
      <c r="AP1090" s="25"/>
      <c r="AQ1090" s="25"/>
      <c r="AR1090" s="25"/>
      <c r="AS1090" s="25"/>
      <c r="AT1090" s="25"/>
      <c r="AU1090" s="25"/>
      <c r="AV1090" s="43"/>
      <c r="AW1090" s="43"/>
      <c r="AX1090" s="114" t="s">
        <v>76</v>
      </c>
      <c r="AY1090" s="43"/>
      <c r="AZ1090" s="43"/>
      <c r="BA1090" s="43"/>
      <c r="BB1090" s="43"/>
    </row>
    <row r="1091" spans="2:54" ht="12.75" customHeight="1">
      <c r="B1091" s="320"/>
      <c r="C1091" s="134"/>
      <c r="D1091" s="98"/>
      <c r="E1091" s="504"/>
      <c r="F1091" s="306"/>
      <c r="G1091" s="265"/>
      <c r="H1091" s="266"/>
      <c r="I1091" s="297"/>
      <c r="J1091" s="298"/>
      <c r="K1091" s="298"/>
      <c r="L1091" s="298"/>
      <c r="M1091" s="41"/>
      <c r="N1091" s="21"/>
      <c r="O1091" s="21"/>
      <c r="P1091" s="21"/>
      <c r="Q1091" s="326"/>
      <c r="R1091" s="40"/>
      <c r="S1091" s="84"/>
      <c r="T1091" s="40"/>
      <c r="U1091" s="42"/>
      <c r="V1091" s="78"/>
      <c r="Z1091" s="181"/>
      <c r="AA1091" s="183"/>
      <c r="AC1091" s="26"/>
      <c r="AD1091" s="279"/>
      <c r="AE1091" s="26"/>
      <c r="AF1091" s="26"/>
      <c r="AG1091" s="278" t="str">
        <f t="shared" si="128"/>
        <v/>
      </c>
      <c r="AH1091" s="278" t="str">
        <f t="shared" si="129"/>
        <v/>
      </c>
      <c r="AJ1091" s="25"/>
      <c r="AK1091" s="25"/>
      <c r="AL1091" s="25"/>
      <c r="AM1091" s="25"/>
      <c r="AN1091" s="25"/>
      <c r="AO1091" s="25"/>
      <c r="AP1091" s="25"/>
      <c r="AQ1091" s="25"/>
      <c r="AR1091" s="25"/>
      <c r="AS1091" s="25"/>
      <c r="AT1091" s="25"/>
      <c r="AU1091" s="25"/>
      <c r="AV1091" s="43"/>
      <c r="AW1091" s="43"/>
      <c r="AX1091" s="114" t="s">
        <v>76</v>
      </c>
      <c r="AY1091" s="43"/>
      <c r="AZ1091" s="43"/>
      <c r="BA1091" s="43"/>
      <c r="BB1091" s="43"/>
    </row>
    <row r="1092" spans="2:54" ht="12.75" customHeight="1">
      <c r="B1092" s="320"/>
      <c r="C1092" s="134"/>
      <c r="D1092" s="98"/>
      <c r="E1092" s="504"/>
      <c r="F1092" s="306"/>
      <c r="G1092" s="265"/>
      <c r="H1092" s="266"/>
      <c r="I1092" s="297"/>
      <c r="J1092" s="298"/>
      <c r="K1092" s="298"/>
      <c r="L1092" s="298"/>
      <c r="M1092" s="41"/>
      <c r="N1092" s="21"/>
      <c r="O1092" s="21"/>
      <c r="P1092" s="21"/>
      <c r="Q1092" s="326"/>
      <c r="R1092" s="40"/>
      <c r="S1092" s="84"/>
      <c r="T1092" s="40"/>
      <c r="U1092" s="42"/>
      <c r="V1092" s="78"/>
      <c r="Z1092" s="181"/>
      <c r="AA1092" s="183"/>
      <c r="AC1092" s="26"/>
      <c r="AD1092" s="279"/>
      <c r="AE1092" s="26"/>
      <c r="AF1092" s="26"/>
      <c r="AG1092" s="278" t="str">
        <f t="shared" si="128"/>
        <v/>
      </c>
      <c r="AH1092" s="278" t="str">
        <f t="shared" si="129"/>
        <v/>
      </c>
      <c r="AJ1092" s="25"/>
      <c r="AK1092" s="25"/>
      <c r="AL1092" s="25"/>
      <c r="AM1092" s="25"/>
      <c r="AN1092" s="25"/>
      <c r="AO1092" s="25"/>
      <c r="AP1092" s="25"/>
      <c r="AQ1092" s="25"/>
      <c r="AR1092" s="25"/>
      <c r="AS1092" s="25"/>
      <c r="AT1092" s="25"/>
      <c r="AU1092" s="25"/>
      <c r="AV1092" s="43"/>
      <c r="AW1092" s="43"/>
      <c r="AX1092" s="114" t="s">
        <v>76</v>
      </c>
      <c r="AY1092" s="43"/>
      <c r="AZ1092" s="43"/>
      <c r="BA1092" s="43"/>
      <c r="BB1092" s="43"/>
    </row>
    <row r="1093" spans="2:54" ht="12.75" customHeight="1">
      <c r="B1093" s="320"/>
      <c r="C1093" s="134"/>
      <c r="D1093" s="98"/>
      <c r="E1093" s="504"/>
      <c r="F1093" s="306"/>
      <c r="G1093" s="265"/>
      <c r="H1093" s="266"/>
      <c r="I1093" s="297"/>
      <c r="J1093" s="298"/>
      <c r="K1093" s="298"/>
      <c r="L1093" s="298"/>
      <c r="M1093" s="41"/>
      <c r="N1093" s="21"/>
      <c r="O1093" s="21"/>
      <c r="P1093" s="21"/>
      <c r="Q1093" s="326"/>
      <c r="R1093" s="40"/>
      <c r="S1093" s="84"/>
      <c r="T1093" s="40"/>
      <c r="U1093" s="42"/>
      <c r="V1093" s="78"/>
      <c r="Z1093" s="181"/>
      <c r="AA1093" s="183"/>
      <c r="AC1093" s="26"/>
      <c r="AD1093" s="279"/>
      <c r="AE1093" s="26"/>
      <c r="AF1093" s="26"/>
      <c r="AG1093" s="278" t="str">
        <f t="shared" si="128"/>
        <v/>
      </c>
      <c r="AH1093" s="278" t="str">
        <f t="shared" si="129"/>
        <v/>
      </c>
      <c r="AJ1093" s="25"/>
      <c r="AK1093" s="25"/>
      <c r="AL1093" s="25"/>
      <c r="AM1093" s="25"/>
      <c r="AN1093" s="25"/>
      <c r="AO1093" s="25"/>
      <c r="AP1093" s="25"/>
      <c r="AQ1093" s="25"/>
      <c r="AR1093" s="25"/>
      <c r="AS1093" s="25"/>
      <c r="AT1093" s="25"/>
      <c r="AU1093" s="25"/>
      <c r="AV1093" s="43"/>
      <c r="AW1093" s="43"/>
      <c r="AX1093" s="114" t="s">
        <v>76</v>
      </c>
      <c r="AY1093" s="43"/>
      <c r="AZ1093" s="43"/>
      <c r="BA1093" s="43"/>
      <c r="BB1093" s="43"/>
    </row>
    <row r="1094" spans="2:54" ht="12.75" customHeight="1">
      <c r="B1094" s="320"/>
      <c r="C1094" s="134"/>
      <c r="D1094" s="98"/>
      <c r="E1094" s="504"/>
      <c r="F1094" s="306"/>
      <c r="G1094" s="265"/>
      <c r="H1094" s="266"/>
      <c r="I1094" s="297"/>
      <c r="J1094" s="298"/>
      <c r="K1094" s="298"/>
      <c r="L1094" s="298"/>
      <c r="M1094" s="41"/>
      <c r="N1094" s="21"/>
      <c r="O1094" s="21"/>
      <c r="P1094" s="21"/>
      <c r="Q1094" s="326"/>
      <c r="R1094" s="40"/>
      <c r="S1094" s="84"/>
      <c r="T1094" s="40"/>
      <c r="U1094" s="42"/>
      <c r="V1094" s="78"/>
      <c r="Z1094" s="181"/>
      <c r="AA1094" s="183"/>
      <c r="AC1094" s="26"/>
      <c r="AD1094" s="279"/>
      <c r="AE1094" s="26"/>
      <c r="AF1094" s="26"/>
      <c r="AG1094" s="278" t="str">
        <f t="shared" ref="AG1094:AG1157" si="130">IF(AE1094="","",AE1094*AltBounce)</f>
        <v/>
      </c>
      <c r="AH1094" s="278" t="str">
        <f t="shared" ref="AH1094:AH1157" si="131">IF(AA1094="","",AE1094*(1/AltBounce))</f>
        <v/>
      </c>
      <c r="AJ1094" s="25"/>
      <c r="AK1094" s="25"/>
      <c r="AL1094" s="25"/>
      <c r="AM1094" s="25"/>
      <c r="AN1094" s="25"/>
      <c r="AO1094" s="25"/>
      <c r="AP1094" s="25"/>
      <c r="AQ1094" s="25"/>
      <c r="AR1094" s="25"/>
      <c r="AS1094" s="25"/>
      <c r="AT1094" s="25"/>
      <c r="AU1094" s="25"/>
      <c r="AV1094" s="43"/>
      <c r="AW1094" s="43"/>
      <c r="AX1094" s="114" t="s">
        <v>76</v>
      </c>
      <c r="AY1094" s="43"/>
      <c r="AZ1094" s="43"/>
      <c r="BA1094" s="43"/>
      <c r="BB1094" s="43"/>
    </row>
    <row r="1095" spans="2:54" ht="12.75" customHeight="1">
      <c r="B1095" s="320"/>
      <c r="C1095" s="134"/>
      <c r="D1095" s="98"/>
      <c r="E1095" s="504"/>
      <c r="F1095" s="306"/>
      <c r="G1095" s="265"/>
      <c r="H1095" s="266"/>
      <c r="I1095" s="297"/>
      <c r="J1095" s="298"/>
      <c r="K1095" s="298"/>
      <c r="L1095" s="298"/>
      <c r="M1095" s="41"/>
      <c r="N1095" s="21"/>
      <c r="O1095" s="21"/>
      <c r="P1095" s="21"/>
      <c r="Q1095" s="326"/>
      <c r="R1095" s="40"/>
      <c r="S1095" s="84"/>
      <c r="T1095" s="40"/>
      <c r="U1095" s="42"/>
      <c r="V1095" s="78"/>
      <c r="Z1095" s="181"/>
      <c r="AA1095" s="183"/>
      <c r="AC1095" s="26"/>
      <c r="AD1095" s="279"/>
      <c r="AE1095" s="26"/>
      <c r="AF1095" s="26"/>
      <c r="AG1095" s="278" t="str">
        <f t="shared" si="130"/>
        <v/>
      </c>
      <c r="AH1095" s="278" t="str">
        <f t="shared" si="131"/>
        <v/>
      </c>
      <c r="AJ1095" s="25"/>
      <c r="AK1095" s="25"/>
      <c r="AL1095" s="25"/>
      <c r="AM1095" s="25"/>
      <c r="AN1095" s="25"/>
      <c r="AO1095" s="25"/>
      <c r="AP1095" s="25"/>
      <c r="AQ1095" s="25"/>
      <c r="AR1095" s="25"/>
      <c r="AS1095" s="25"/>
      <c r="AT1095" s="25"/>
      <c r="AU1095" s="25"/>
      <c r="AV1095" s="43"/>
      <c r="AW1095" s="43"/>
      <c r="AX1095" s="114" t="s">
        <v>76</v>
      </c>
      <c r="AY1095" s="43"/>
      <c r="AZ1095" s="43"/>
      <c r="BA1095" s="43"/>
      <c r="BB1095" s="43"/>
    </row>
    <row r="1096" spans="2:54" ht="12.75" customHeight="1">
      <c r="B1096" s="320"/>
      <c r="C1096" s="134"/>
      <c r="D1096" s="98"/>
      <c r="E1096" s="504"/>
      <c r="F1096" s="306"/>
      <c r="G1096" s="265"/>
      <c r="H1096" s="266"/>
      <c r="I1096" s="297"/>
      <c r="J1096" s="298"/>
      <c r="K1096" s="298"/>
      <c r="L1096" s="298"/>
      <c r="M1096" s="41"/>
      <c r="N1096" s="21"/>
      <c r="O1096" s="21"/>
      <c r="P1096" s="21"/>
      <c r="Q1096" s="326"/>
      <c r="R1096" s="40"/>
      <c r="S1096" s="84"/>
      <c r="T1096" s="40"/>
      <c r="U1096" s="42"/>
      <c r="V1096" s="78"/>
      <c r="Z1096" s="181"/>
      <c r="AA1096" s="183"/>
      <c r="AC1096" s="26"/>
      <c r="AD1096" s="279"/>
      <c r="AE1096" s="26"/>
      <c r="AF1096" s="26"/>
      <c r="AG1096" s="278" t="str">
        <f t="shared" si="130"/>
        <v/>
      </c>
      <c r="AH1096" s="278" t="str">
        <f t="shared" si="131"/>
        <v/>
      </c>
      <c r="AJ1096" s="25"/>
      <c r="AK1096" s="25"/>
      <c r="AL1096" s="25"/>
      <c r="AM1096" s="25"/>
      <c r="AN1096" s="25"/>
      <c r="AO1096" s="25"/>
      <c r="AP1096" s="25"/>
      <c r="AQ1096" s="25"/>
      <c r="AR1096" s="25"/>
      <c r="AS1096" s="25"/>
      <c r="AT1096" s="25"/>
      <c r="AU1096" s="25"/>
      <c r="AV1096" s="43"/>
      <c r="AW1096" s="43"/>
      <c r="AX1096" s="114" t="s">
        <v>76</v>
      </c>
      <c r="AY1096" s="43"/>
      <c r="AZ1096" s="43"/>
      <c r="BA1096" s="43"/>
      <c r="BB1096" s="43"/>
    </row>
    <row r="1097" spans="2:54" ht="12.75" customHeight="1">
      <c r="B1097" s="320"/>
      <c r="C1097" s="134"/>
      <c r="D1097" s="98"/>
      <c r="E1097" s="504"/>
      <c r="F1097" s="306"/>
      <c r="G1097" s="265"/>
      <c r="H1097" s="266"/>
      <c r="I1097" s="297"/>
      <c r="J1097" s="298"/>
      <c r="K1097" s="298"/>
      <c r="L1097" s="298"/>
      <c r="M1097" s="41"/>
      <c r="N1097" s="21"/>
      <c r="O1097" s="21"/>
      <c r="P1097" s="21"/>
      <c r="Q1097" s="326"/>
      <c r="R1097" s="40"/>
      <c r="S1097" s="84"/>
      <c r="T1097" s="40"/>
      <c r="U1097" s="42"/>
      <c r="V1097" s="78"/>
      <c r="Z1097" s="181"/>
      <c r="AA1097" s="183"/>
      <c r="AC1097" s="26"/>
      <c r="AD1097" s="279"/>
      <c r="AE1097" s="26"/>
      <c r="AF1097" s="26"/>
      <c r="AG1097" s="278" t="str">
        <f t="shared" si="130"/>
        <v/>
      </c>
      <c r="AH1097" s="278" t="str">
        <f t="shared" si="131"/>
        <v/>
      </c>
      <c r="AJ1097" s="25"/>
      <c r="AK1097" s="25"/>
      <c r="AL1097" s="25"/>
      <c r="AM1097" s="25"/>
      <c r="AN1097" s="25"/>
      <c r="AO1097" s="25"/>
      <c r="AP1097" s="25"/>
      <c r="AQ1097" s="25"/>
      <c r="AR1097" s="25"/>
      <c r="AS1097" s="25"/>
      <c r="AT1097" s="25"/>
      <c r="AU1097" s="25"/>
      <c r="AV1097" s="43"/>
      <c r="AW1097" s="43"/>
      <c r="AX1097" s="114" t="s">
        <v>76</v>
      </c>
      <c r="AY1097" s="43"/>
      <c r="AZ1097" s="43"/>
      <c r="BA1097" s="43"/>
      <c r="BB1097" s="43"/>
    </row>
    <row r="1098" spans="2:54" ht="12.75" customHeight="1">
      <c r="B1098" s="320"/>
      <c r="C1098" s="134"/>
      <c r="D1098" s="98"/>
      <c r="E1098" s="504"/>
      <c r="F1098" s="306"/>
      <c r="G1098" s="265"/>
      <c r="H1098" s="266"/>
      <c r="I1098" s="297"/>
      <c r="J1098" s="298"/>
      <c r="K1098" s="298"/>
      <c r="L1098" s="298"/>
      <c r="M1098" s="41"/>
      <c r="N1098" s="21"/>
      <c r="O1098" s="21"/>
      <c r="P1098" s="21"/>
      <c r="Q1098" s="326"/>
      <c r="R1098" s="40"/>
      <c r="S1098" s="84"/>
      <c r="T1098" s="40"/>
      <c r="U1098" s="42"/>
      <c r="V1098" s="78"/>
      <c r="Z1098" s="181"/>
      <c r="AA1098" s="183"/>
      <c r="AC1098" s="26"/>
      <c r="AD1098" s="279"/>
      <c r="AE1098" s="26"/>
      <c r="AF1098" s="26"/>
      <c r="AG1098" s="278" t="str">
        <f t="shared" si="130"/>
        <v/>
      </c>
      <c r="AH1098" s="278" t="str">
        <f t="shared" si="131"/>
        <v/>
      </c>
      <c r="AJ1098" s="25"/>
      <c r="AK1098" s="25"/>
      <c r="AL1098" s="25"/>
      <c r="AM1098" s="25"/>
      <c r="AN1098" s="25"/>
      <c r="AO1098" s="25"/>
      <c r="AP1098" s="25"/>
      <c r="AQ1098" s="25"/>
      <c r="AR1098" s="25"/>
      <c r="AS1098" s="25"/>
      <c r="AT1098" s="25"/>
      <c r="AU1098" s="25"/>
      <c r="AV1098" s="43"/>
      <c r="AW1098" s="43"/>
      <c r="AX1098" s="114" t="s">
        <v>76</v>
      </c>
      <c r="AY1098" s="43"/>
      <c r="AZ1098" s="43"/>
      <c r="BA1098" s="43"/>
      <c r="BB1098" s="43"/>
    </row>
    <row r="1099" spans="2:54" ht="12.75" customHeight="1">
      <c r="B1099" s="320"/>
      <c r="C1099" s="134"/>
      <c r="D1099" s="98"/>
      <c r="E1099" s="504"/>
      <c r="F1099" s="306"/>
      <c r="G1099" s="265"/>
      <c r="H1099" s="266"/>
      <c r="I1099" s="297"/>
      <c r="J1099" s="298"/>
      <c r="K1099" s="298"/>
      <c r="L1099" s="298"/>
      <c r="M1099" s="41"/>
      <c r="N1099" s="21"/>
      <c r="O1099" s="21"/>
      <c r="P1099" s="21"/>
      <c r="Q1099" s="326"/>
      <c r="R1099" s="40"/>
      <c r="S1099" s="84"/>
      <c r="T1099" s="40"/>
      <c r="U1099" s="42"/>
      <c r="V1099" s="78"/>
      <c r="Z1099" s="181"/>
      <c r="AA1099" s="183"/>
      <c r="AC1099" s="26"/>
      <c r="AD1099" s="279"/>
      <c r="AE1099" s="26"/>
      <c r="AF1099" s="26"/>
      <c r="AG1099" s="278" t="str">
        <f t="shared" si="130"/>
        <v/>
      </c>
      <c r="AH1099" s="278" t="str">
        <f t="shared" si="131"/>
        <v/>
      </c>
      <c r="AJ1099" s="25"/>
      <c r="AK1099" s="25"/>
      <c r="AL1099" s="25"/>
      <c r="AM1099" s="25"/>
      <c r="AN1099" s="25"/>
      <c r="AO1099" s="25"/>
      <c r="AP1099" s="25"/>
      <c r="AQ1099" s="25"/>
      <c r="AR1099" s="25"/>
      <c r="AS1099" s="25"/>
      <c r="AT1099" s="25"/>
      <c r="AU1099" s="25"/>
      <c r="AV1099" s="43"/>
      <c r="AW1099" s="43"/>
      <c r="AX1099" s="114" t="s">
        <v>76</v>
      </c>
      <c r="AY1099" s="43"/>
      <c r="AZ1099" s="43"/>
      <c r="BA1099" s="43"/>
      <c r="BB1099" s="43"/>
    </row>
    <row r="1100" spans="2:54" ht="12.75" customHeight="1">
      <c r="B1100" s="320"/>
      <c r="C1100" s="134"/>
      <c r="D1100" s="98"/>
      <c r="E1100" s="504"/>
      <c r="F1100" s="306"/>
      <c r="G1100" s="265"/>
      <c r="H1100" s="266"/>
      <c r="I1100" s="297"/>
      <c r="J1100" s="298"/>
      <c r="K1100" s="298"/>
      <c r="L1100" s="298"/>
      <c r="M1100" s="41"/>
      <c r="N1100" s="21"/>
      <c r="O1100" s="21"/>
      <c r="P1100" s="21"/>
      <c r="Q1100" s="326"/>
      <c r="R1100" s="40"/>
      <c r="S1100" s="84"/>
      <c r="T1100" s="40"/>
      <c r="U1100" s="42"/>
      <c r="V1100" s="78"/>
      <c r="Z1100" s="181"/>
      <c r="AA1100" s="183"/>
      <c r="AC1100" s="26"/>
      <c r="AD1100" s="279"/>
      <c r="AE1100" s="26"/>
      <c r="AF1100" s="26"/>
      <c r="AG1100" s="278" t="str">
        <f t="shared" si="130"/>
        <v/>
      </c>
      <c r="AH1100" s="278" t="str">
        <f t="shared" si="131"/>
        <v/>
      </c>
      <c r="AJ1100" s="25"/>
      <c r="AK1100" s="25"/>
      <c r="AL1100" s="25"/>
      <c r="AM1100" s="25"/>
      <c r="AN1100" s="25"/>
      <c r="AO1100" s="25"/>
      <c r="AP1100" s="25"/>
      <c r="AQ1100" s="25"/>
      <c r="AR1100" s="25"/>
      <c r="AS1100" s="25"/>
      <c r="AT1100" s="25"/>
      <c r="AU1100" s="25"/>
      <c r="AV1100" s="43"/>
      <c r="AW1100" s="43"/>
      <c r="AX1100" s="114" t="s">
        <v>76</v>
      </c>
      <c r="AY1100" s="43"/>
      <c r="AZ1100" s="43"/>
      <c r="BA1100" s="43"/>
      <c r="BB1100" s="43"/>
    </row>
    <row r="1101" spans="2:54" ht="12.75" customHeight="1">
      <c r="B1101" s="320"/>
      <c r="C1101" s="134"/>
      <c r="D1101" s="98"/>
      <c r="E1101" s="504"/>
      <c r="F1101" s="306"/>
      <c r="G1101" s="265"/>
      <c r="H1101" s="266"/>
      <c r="I1101" s="297"/>
      <c r="J1101" s="298"/>
      <c r="K1101" s="298"/>
      <c r="L1101" s="298"/>
      <c r="M1101" s="41"/>
      <c r="N1101" s="21"/>
      <c r="O1101" s="21"/>
      <c r="P1101" s="21"/>
      <c r="Q1101" s="326"/>
      <c r="R1101" s="40"/>
      <c r="S1101" s="84"/>
      <c r="T1101" s="40"/>
      <c r="U1101" s="42"/>
      <c r="V1101" s="78"/>
      <c r="Z1101" s="181"/>
      <c r="AA1101" s="183"/>
      <c r="AC1101" s="26"/>
      <c r="AD1101" s="279"/>
      <c r="AE1101" s="26"/>
      <c r="AF1101" s="26"/>
      <c r="AG1101" s="278" t="str">
        <f t="shared" si="130"/>
        <v/>
      </c>
      <c r="AH1101" s="278" t="str">
        <f t="shared" si="131"/>
        <v/>
      </c>
      <c r="AJ1101" s="25"/>
      <c r="AK1101" s="25"/>
      <c r="AL1101" s="25"/>
      <c r="AM1101" s="25"/>
      <c r="AN1101" s="25"/>
      <c r="AO1101" s="25"/>
      <c r="AP1101" s="25"/>
      <c r="AQ1101" s="25"/>
      <c r="AR1101" s="25"/>
      <c r="AS1101" s="25"/>
      <c r="AT1101" s="25"/>
      <c r="AU1101" s="25"/>
      <c r="AV1101" s="43"/>
      <c r="AW1101" s="43"/>
      <c r="AX1101" s="114" t="s">
        <v>76</v>
      </c>
      <c r="AY1101" s="43"/>
      <c r="AZ1101" s="43"/>
      <c r="BA1101" s="43"/>
      <c r="BB1101" s="43"/>
    </row>
    <row r="1102" spans="2:54" ht="12.75" customHeight="1">
      <c r="B1102" s="320"/>
      <c r="C1102" s="134"/>
      <c r="D1102" s="98"/>
      <c r="E1102" s="504"/>
      <c r="F1102" s="306"/>
      <c r="G1102" s="265"/>
      <c r="H1102" s="266"/>
      <c r="I1102" s="297"/>
      <c r="J1102" s="298"/>
      <c r="K1102" s="298"/>
      <c r="L1102" s="298"/>
      <c r="M1102" s="41"/>
      <c r="N1102" s="21"/>
      <c r="O1102" s="21"/>
      <c r="P1102" s="21"/>
      <c r="Q1102" s="326"/>
      <c r="R1102" s="40"/>
      <c r="S1102" s="84"/>
      <c r="T1102" s="40"/>
      <c r="U1102" s="42"/>
      <c r="V1102" s="78"/>
      <c r="Z1102" s="181"/>
      <c r="AA1102" s="183"/>
      <c r="AC1102" s="26"/>
      <c r="AD1102" s="279"/>
      <c r="AE1102" s="26"/>
      <c r="AF1102" s="26"/>
      <c r="AG1102" s="278" t="str">
        <f t="shared" si="130"/>
        <v/>
      </c>
      <c r="AH1102" s="278" t="str">
        <f t="shared" si="131"/>
        <v/>
      </c>
      <c r="AJ1102" s="25"/>
      <c r="AK1102" s="25"/>
      <c r="AL1102" s="25"/>
      <c r="AM1102" s="25"/>
      <c r="AN1102" s="25"/>
      <c r="AO1102" s="25"/>
      <c r="AP1102" s="25"/>
      <c r="AQ1102" s="25"/>
      <c r="AR1102" s="25"/>
      <c r="AS1102" s="25"/>
      <c r="AT1102" s="25"/>
      <c r="AU1102" s="25"/>
      <c r="AV1102" s="43"/>
      <c r="AW1102" s="43"/>
      <c r="AX1102" s="114" t="s">
        <v>76</v>
      </c>
      <c r="AY1102" s="43"/>
      <c r="AZ1102" s="43"/>
      <c r="BA1102" s="43"/>
      <c r="BB1102" s="43"/>
    </row>
    <row r="1103" spans="2:54" ht="12.75" customHeight="1">
      <c r="B1103" s="320"/>
      <c r="C1103" s="134"/>
      <c r="D1103" s="98"/>
      <c r="E1103" s="504"/>
      <c r="F1103" s="306"/>
      <c r="G1103" s="265"/>
      <c r="H1103" s="266"/>
      <c r="I1103" s="297"/>
      <c r="J1103" s="298"/>
      <c r="K1103" s="298"/>
      <c r="L1103" s="298"/>
      <c r="M1103" s="41"/>
      <c r="N1103" s="21"/>
      <c r="O1103" s="21"/>
      <c r="P1103" s="21"/>
      <c r="Q1103" s="326"/>
      <c r="R1103" s="40"/>
      <c r="S1103" s="84"/>
      <c r="T1103" s="40"/>
      <c r="U1103" s="42"/>
      <c r="V1103" s="78"/>
      <c r="Z1103" s="181"/>
      <c r="AA1103" s="183"/>
      <c r="AC1103" s="26"/>
      <c r="AD1103" s="279"/>
      <c r="AE1103" s="26"/>
      <c r="AF1103" s="26"/>
      <c r="AG1103" s="278" t="str">
        <f t="shared" si="130"/>
        <v/>
      </c>
      <c r="AH1103" s="278" t="str">
        <f t="shared" si="131"/>
        <v/>
      </c>
      <c r="AJ1103" s="25"/>
      <c r="AK1103" s="25"/>
      <c r="AL1103" s="25"/>
      <c r="AM1103" s="25"/>
      <c r="AN1103" s="25"/>
      <c r="AO1103" s="25"/>
      <c r="AP1103" s="25"/>
      <c r="AQ1103" s="25"/>
      <c r="AR1103" s="25"/>
      <c r="AS1103" s="25"/>
      <c r="AT1103" s="25"/>
      <c r="AU1103" s="25"/>
      <c r="AV1103" s="43"/>
      <c r="AW1103" s="43"/>
      <c r="AX1103" s="114" t="s">
        <v>76</v>
      </c>
      <c r="AY1103" s="43"/>
      <c r="AZ1103" s="43"/>
      <c r="BA1103" s="43"/>
      <c r="BB1103" s="43"/>
    </row>
    <row r="1104" spans="2:54" ht="12.75" customHeight="1">
      <c r="B1104" s="320"/>
      <c r="C1104" s="134"/>
      <c r="D1104" s="98"/>
      <c r="E1104" s="504"/>
      <c r="F1104" s="306"/>
      <c r="G1104" s="265"/>
      <c r="H1104" s="266"/>
      <c r="I1104" s="297"/>
      <c r="J1104" s="298"/>
      <c r="K1104" s="298"/>
      <c r="L1104" s="298"/>
      <c r="M1104" s="41"/>
      <c r="N1104" s="21"/>
      <c r="O1104" s="21"/>
      <c r="P1104" s="21"/>
      <c r="Q1104" s="326"/>
      <c r="R1104" s="40"/>
      <c r="S1104" s="84"/>
      <c r="T1104" s="40"/>
      <c r="U1104" s="42"/>
      <c r="V1104" s="78"/>
      <c r="Z1104" s="181"/>
      <c r="AA1104" s="183"/>
      <c r="AC1104" s="26"/>
      <c r="AD1104" s="279"/>
      <c r="AE1104" s="26"/>
      <c r="AF1104" s="26"/>
      <c r="AG1104" s="278" t="str">
        <f t="shared" si="130"/>
        <v/>
      </c>
      <c r="AH1104" s="278" t="str">
        <f t="shared" si="131"/>
        <v/>
      </c>
      <c r="AJ1104" s="25"/>
      <c r="AK1104" s="25"/>
      <c r="AL1104" s="25"/>
      <c r="AM1104" s="25"/>
      <c r="AN1104" s="25"/>
      <c r="AO1104" s="25"/>
      <c r="AP1104" s="25"/>
      <c r="AQ1104" s="25"/>
      <c r="AR1104" s="25"/>
      <c r="AS1104" s="25"/>
      <c r="AT1104" s="25"/>
      <c r="AU1104" s="25"/>
      <c r="AV1104" s="43"/>
      <c r="AW1104" s="43"/>
      <c r="AX1104" s="114" t="s">
        <v>76</v>
      </c>
      <c r="AY1104" s="43"/>
      <c r="AZ1104" s="43"/>
      <c r="BA1104" s="43"/>
      <c r="BB1104" s="43"/>
    </row>
    <row r="1105" spans="2:54" ht="12.75" customHeight="1">
      <c r="B1105" s="320"/>
      <c r="C1105" s="134"/>
      <c r="D1105" s="98"/>
      <c r="E1105" s="504"/>
      <c r="F1105" s="306"/>
      <c r="G1105" s="265"/>
      <c r="H1105" s="266"/>
      <c r="I1105" s="297"/>
      <c r="J1105" s="298"/>
      <c r="K1105" s="298"/>
      <c r="L1105" s="298"/>
      <c r="M1105" s="41"/>
      <c r="N1105" s="21"/>
      <c r="O1105" s="21"/>
      <c r="P1105" s="21"/>
      <c r="Q1105" s="326"/>
      <c r="R1105" s="40"/>
      <c r="S1105" s="84"/>
      <c r="T1105" s="40"/>
      <c r="U1105" s="42"/>
      <c r="V1105" s="78"/>
      <c r="Z1105" s="181"/>
      <c r="AA1105" s="183"/>
      <c r="AC1105" s="26"/>
      <c r="AD1105" s="279"/>
      <c r="AE1105" s="26"/>
      <c r="AF1105" s="26"/>
      <c r="AG1105" s="278" t="str">
        <f t="shared" si="130"/>
        <v/>
      </c>
      <c r="AH1105" s="278" t="str">
        <f t="shared" si="131"/>
        <v/>
      </c>
      <c r="AJ1105" s="25"/>
      <c r="AK1105" s="25"/>
      <c r="AL1105" s="25"/>
      <c r="AM1105" s="25"/>
      <c r="AN1105" s="25"/>
      <c r="AO1105" s="25"/>
      <c r="AP1105" s="25"/>
      <c r="AQ1105" s="25"/>
      <c r="AR1105" s="25"/>
      <c r="AS1105" s="25"/>
      <c r="AT1105" s="25"/>
      <c r="AU1105" s="25"/>
      <c r="AV1105" s="43"/>
      <c r="AW1105" s="43"/>
      <c r="AX1105" s="114" t="s">
        <v>76</v>
      </c>
      <c r="AY1105" s="43"/>
      <c r="AZ1105" s="43"/>
      <c r="BA1105" s="43"/>
      <c r="BB1105" s="43"/>
    </row>
    <row r="1106" spans="2:54" ht="12.75" customHeight="1">
      <c r="B1106" s="320"/>
      <c r="C1106" s="134"/>
      <c r="D1106" s="98"/>
      <c r="E1106" s="504"/>
      <c r="F1106" s="306"/>
      <c r="G1106" s="265"/>
      <c r="H1106" s="266"/>
      <c r="I1106" s="297"/>
      <c r="J1106" s="298"/>
      <c r="K1106" s="298"/>
      <c r="L1106" s="298"/>
      <c r="M1106" s="41"/>
      <c r="N1106" s="21"/>
      <c r="O1106" s="21"/>
      <c r="P1106" s="21"/>
      <c r="Q1106" s="326"/>
      <c r="R1106" s="40"/>
      <c r="S1106" s="84"/>
      <c r="T1106" s="40"/>
      <c r="U1106" s="42"/>
      <c r="V1106" s="78"/>
      <c r="Z1106" s="181"/>
      <c r="AA1106" s="183"/>
      <c r="AC1106" s="26"/>
      <c r="AD1106" s="279"/>
      <c r="AE1106" s="26"/>
      <c r="AF1106" s="26"/>
      <c r="AG1106" s="278" t="str">
        <f t="shared" si="130"/>
        <v/>
      </c>
      <c r="AH1106" s="278" t="str">
        <f t="shared" si="131"/>
        <v/>
      </c>
      <c r="AJ1106" s="25"/>
      <c r="AK1106" s="25"/>
      <c r="AL1106" s="25"/>
      <c r="AM1106" s="25"/>
      <c r="AN1106" s="25"/>
      <c r="AO1106" s="25"/>
      <c r="AP1106" s="25"/>
      <c r="AQ1106" s="25"/>
      <c r="AR1106" s="25"/>
      <c r="AS1106" s="25"/>
      <c r="AT1106" s="25"/>
      <c r="AU1106" s="25"/>
      <c r="AV1106" s="43"/>
      <c r="AW1106" s="43"/>
      <c r="AX1106" s="114" t="s">
        <v>76</v>
      </c>
      <c r="AY1106" s="43"/>
      <c r="AZ1106" s="43"/>
      <c r="BA1106" s="43"/>
      <c r="BB1106" s="43"/>
    </row>
    <row r="1107" spans="2:54" ht="12.75" customHeight="1">
      <c r="B1107" s="320"/>
      <c r="C1107" s="134"/>
      <c r="D1107" s="98"/>
      <c r="E1107" s="504"/>
      <c r="F1107" s="306"/>
      <c r="G1107" s="265"/>
      <c r="H1107" s="266"/>
      <c r="I1107" s="297"/>
      <c r="J1107" s="298"/>
      <c r="K1107" s="298"/>
      <c r="L1107" s="298"/>
      <c r="M1107" s="41"/>
      <c r="N1107" s="21"/>
      <c r="O1107" s="21"/>
      <c r="P1107" s="21"/>
      <c r="Q1107" s="326"/>
      <c r="R1107" s="40"/>
      <c r="S1107" s="84"/>
      <c r="T1107" s="40"/>
      <c r="U1107" s="42"/>
      <c r="V1107" s="78"/>
      <c r="Z1107" s="181"/>
      <c r="AA1107" s="183"/>
      <c r="AC1107" s="26"/>
      <c r="AD1107" s="279"/>
      <c r="AE1107" s="26"/>
      <c r="AF1107" s="26"/>
      <c r="AG1107" s="278" t="str">
        <f t="shared" si="130"/>
        <v/>
      </c>
      <c r="AH1107" s="278" t="str">
        <f t="shared" si="131"/>
        <v/>
      </c>
      <c r="AJ1107" s="25"/>
      <c r="AK1107" s="25"/>
      <c r="AL1107" s="25"/>
      <c r="AM1107" s="25"/>
      <c r="AN1107" s="25"/>
      <c r="AO1107" s="25"/>
      <c r="AP1107" s="25"/>
      <c r="AQ1107" s="25"/>
      <c r="AR1107" s="25"/>
      <c r="AS1107" s="25"/>
      <c r="AT1107" s="25"/>
      <c r="AU1107" s="25"/>
      <c r="AV1107" s="43"/>
      <c r="AW1107" s="43"/>
      <c r="AX1107" s="114" t="s">
        <v>76</v>
      </c>
      <c r="AY1107" s="43"/>
      <c r="AZ1107" s="43"/>
      <c r="BA1107" s="43"/>
      <c r="BB1107" s="43"/>
    </row>
    <row r="1108" spans="2:54" ht="12.75" customHeight="1">
      <c r="B1108" s="320"/>
      <c r="C1108" s="134"/>
      <c r="D1108" s="98"/>
      <c r="E1108" s="504"/>
      <c r="F1108" s="306"/>
      <c r="G1108" s="265"/>
      <c r="H1108" s="266"/>
      <c r="I1108" s="297"/>
      <c r="J1108" s="298"/>
      <c r="K1108" s="298"/>
      <c r="L1108" s="298"/>
      <c r="M1108" s="41"/>
      <c r="N1108" s="21"/>
      <c r="O1108" s="21"/>
      <c r="P1108" s="21"/>
      <c r="Q1108" s="326"/>
      <c r="R1108" s="40"/>
      <c r="S1108" s="84"/>
      <c r="T1108" s="40"/>
      <c r="U1108" s="42"/>
      <c r="V1108" s="78"/>
      <c r="Z1108" s="181"/>
      <c r="AA1108" s="183"/>
      <c r="AC1108" s="26"/>
      <c r="AD1108" s="279"/>
      <c r="AE1108" s="26"/>
      <c r="AF1108" s="26"/>
      <c r="AG1108" s="278" t="str">
        <f t="shared" si="130"/>
        <v/>
      </c>
      <c r="AH1108" s="278" t="str">
        <f t="shared" si="131"/>
        <v/>
      </c>
      <c r="AJ1108" s="25"/>
      <c r="AK1108" s="25"/>
      <c r="AL1108" s="25"/>
      <c r="AM1108" s="25"/>
      <c r="AN1108" s="25"/>
      <c r="AO1108" s="25"/>
      <c r="AP1108" s="25"/>
      <c r="AQ1108" s="25"/>
      <c r="AR1108" s="25"/>
      <c r="AS1108" s="25"/>
      <c r="AT1108" s="25"/>
      <c r="AU1108" s="25"/>
      <c r="AV1108" s="43"/>
      <c r="AW1108" s="43"/>
      <c r="AX1108" s="114" t="s">
        <v>76</v>
      </c>
      <c r="AY1108" s="43"/>
      <c r="AZ1108" s="43"/>
      <c r="BA1108" s="43"/>
      <c r="BB1108" s="43"/>
    </row>
    <row r="1109" spans="2:54" ht="12.75" customHeight="1">
      <c r="B1109" s="320"/>
      <c r="C1109" s="134"/>
      <c r="D1109" s="98"/>
      <c r="E1109" s="504"/>
      <c r="F1109" s="306"/>
      <c r="G1109" s="265"/>
      <c r="H1109" s="266"/>
      <c r="I1109" s="297"/>
      <c r="J1109" s="298"/>
      <c r="K1109" s="298"/>
      <c r="L1109" s="298"/>
      <c r="M1109" s="41"/>
      <c r="N1109" s="21"/>
      <c r="O1109" s="21"/>
      <c r="P1109" s="21"/>
      <c r="Q1109" s="326"/>
      <c r="R1109" s="40"/>
      <c r="S1109" s="84"/>
      <c r="T1109" s="40"/>
      <c r="U1109" s="42"/>
      <c r="V1109" s="78"/>
      <c r="Z1109" s="181"/>
      <c r="AA1109" s="183"/>
      <c r="AC1109" s="26"/>
      <c r="AD1109" s="279"/>
      <c r="AE1109" s="26"/>
      <c r="AF1109" s="26"/>
      <c r="AG1109" s="278" t="str">
        <f t="shared" si="130"/>
        <v/>
      </c>
      <c r="AH1109" s="278" t="str">
        <f t="shared" si="131"/>
        <v/>
      </c>
      <c r="AJ1109" s="25"/>
      <c r="AK1109" s="25"/>
      <c r="AL1109" s="25"/>
      <c r="AM1109" s="25"/>
      <c r="AN1109" s="25"/>
      <c r="AO1109" s="25"/>
      <c r="AP1109" s="25"/>
      <c r="AQ1109" s="25"/>
      <c r="AR1109" s="25"/>
      <c r="AS1109" s="25"/>
      <c r="AT1109" s="25"/>
      <c r="AU1109" s="25"/>
      <c r="AV1109" s="43"/>
      <c r="AW1109" s="43"/>
      <c r="AX1109" s="114" t="s">
        <v>76</v>
      </c>
      <c r="AY1109" s="43"/>
      <c r="AZ1109" s="43"/>
      <c r="BA1109" s="43"/>
      <c r="BB1109" s="43"/>
    </row>
    <row r="1110" spans="2:54" ht="12.75" customHeight="1">
      <c r="B1110" s="320"/>
      <c r="C1110" s="134"/>
      <c r="D1110" s="98"/>
      <c r="E1110" s="504"/>
      <c r="F1110" s="306"/>
      <c r="G1110" s="265"/>
      <c r="H1110" s="266"/>
      <c r="I1110" s="297"/>
      <c r="J1110" s="298"/>
      <c r="K1110" s="298"/>
      <c r="L1110" s="298"/>
      <c r="M1110" s="41"/>
      <c r="N1110" s="21"/>
      <c r="O1110" s="21"/>
      <c r="P1110" s="21"/>
      <c r="Q1110" s="326"/>
      <c r="R1110" s="40"/>
      <c r="S1110" s="84"/>
      <c r="T1110" s="40"/>
      <c r="U1110" s="42"/>
      <c r="V1110" s="78"/>
      <c r="Z1110" s="181"/>
      <c r="AA1110" s="183"/>
      <c r="AC1110" s="26"/>
      <c r="AD1110" s="279"/>
      <c r="AE1110" s="26"/>
      <c r="AF1110" s="26"/>
      <c r="AG1110" s="278" t="str">
        <f t="shared" si="130"/>
        <v/>
      </c>
      <c r="AH1110" s="278" t="str">
        <f t="shared" si="131"/>
        <v/>
      </c>
      <c r="AJ1110" s="25"/>
      <c r="AK1110" s="25"/>
      <c r="AL1110" s="25"/>
      <c r="AM1110" s="25"/>
      <c r="AN1110" s="25"/>
      <c r="AO1110" s="25"/>
      <c r="AP1110" s="25"/>
      <c r="AQ1110" s="25"/>
      <c r="AR1110" s="25"/>
      <c r="AS1110" s="25"/>
      <c r="AT1110" s="25"/>
      <c r="AU1110" s="25"/>
      <c r="AV1110" s="43"/>
      <c r="AW1110" s="43"/>
      <c r="AX1110" s="114" t="s">
        <v>76</v>
      </c>
      <c r="AY1110" s="43"/>
      <c r="AZ1110" s="43"/>
      <c r="BA1110" s="43"/>
      <c r="BB1110" s="43"/>
    </row>
    <row r="1111" spans="2:54" ht="12.75" customHeight="1">
      <c r="B1111" s="320"/>
      <c r="C1111" s="134"/>
      <c r="D1111" s="98"/>
      <c r="E1111" s="504"/>
      <c r="F1111" s="306"/>
      <c r="G1111" s="265"/>
      <c r="H1111" s="266"/>
      <c r="I1111" s="297"/>
      <c r="J1111" s="298"/>
      <c r="K1111" s="298"/>
      <c r="L1111" s="298"/>
      <c r="M1111" s="41"/>
      <c r="N1111" s="21"/>
      <c r="O1111" s="21"/>
      <c r="P1111" s="21"/>
      <c r="Q1111" s="326"/>
      <c r="R1111" s="40"/>
      <c r="S1111" s="84"/>
      <c r="T1111" s="40"/>
      <c r="U1111" s="42"/>
      <c r="V1111" s="78"/>
      <c r="Z1111" s="181"/>
      <c r="AA1111" s="183"/>
      <c r="AC1111" s="26"/>
      <c r="AD1111" s="279"/>
      <c r="AE1111" s="26"/>
      <c r="AF1111" s="26"/>
      <c r="AG1111" s="278" t="str">
        <f t="shared" si="130"/>
        <v/>
      </c>
      <c r="AH1111" s="278" t="str">
        <f t="shared" si="131"/>
        <v/>
      </c>
      <c r="AJ1111" s="25"/>
      <c r="AK1111" s="25"/>
      <c r="AL1111" s="25"/>
      <c r="AM1111" s="25"/>
      <c r="AN1111" s="25"/>
      <c r="AO1111" s="25"/>
      <c r="AP1111" s="25"/>
      <c r="AQ1111" s="25"/>
      <c r="AR1111" s="25"/>
      <c r="AS1111" s="25"/>
      <c r="AT1111" s="25"/>
      <c r="AU1111" s="25"/>
      <c r="AV1111" s="43"/>
      <c r="AW1111" s="43"/>
      <c r="AX1111" s="114" t="s">
        <v>76</v>
      </c>
      <c r="AY1111" s="43"/>
      <c r="AZ1111" s="43"/>
      <c r="BA1111" s="43"/>
      <c r="BB1111" s="43"/>
    </row>
    <row r="1112" spans="2:54" ht="12.75" customHeight="1">
      <c r="B1112" s="320"/>
      <c r="C1112" s="134"/>
      <c r="D1112" s="98"/>
      <c r="E1112" s="504"/>
      <c r="F1112" s="306"/>
      <c r="G1112" s="265"/>
      <c r="H1112" s="266"/>
      <c r="I1112" s="297"/>
      <c r="J1112" s="298"/>
      <c r="K1112" s="298"/>
      <c r="L1112" s="298"/>
      <c r="M1112" s="41"/>
      <c r="N1112" s="21"/>
      <c r="O1112" s="21"/>
      <c r="P1112" s="21"/>
      <c r="Q1112" s="326"/>
      <c r="R1112" s="40"/>
      <c r="S1112" s="84"/>
      <c r="T1112" s="40"/>
      <c r="U1112" s="42"/>
      <c r="V1112" s="78"/>
      <c r="Z1112" s="181"/>
      <c r="AA1112" s="183"/>
      <c r="AC1112" s="26"/>
      <c r="AD1112" s="279"/>
      <c r="AE1112" s="26"/>
      <c r="AF1112" s="26"/>
      <c r="AG1112" s="278" t="str">
        <f t="shared" si="130"/>
        <v/>
      </c>
      <c r="AH1112" s="278" t="str">
        <f t="shared" si="131"/>
        <v/>
      </c>
      <c r="AJ1112" s="25"/>
      <c r="AK1112" s="25"/>
      <c r="AL1112" s="25"/>
      <c r="AM1112" s="25"/>
      <c r="AN1112" s="25"/>
      <c r="AO1112" s="25"/>
      <c r="AP1112" s="25"/>
      <c r="AQ1112" s="25"/>
      <c r="AR1112" s="25"/>
      <c r="AS1112" s="25"/>
      <c r="AT1112" s="25"/>
      <c r="AU1112" s="25"/>
      <c r="AV1112" s="43"/>
      <c r="AW1112" s="43"/>
      <c r="AX1112" s="114" t="s">
        <v>76</v>
      </c>
      <c r="AY1112" s="43"/>
      <c r="AZ1112" s="43"/>
      <c r="BA1112" s="43"/>
      <c r="BB1112" s="43"/>
    </row>
    <row r="1113" spans="2:54" ht="12.75" customHeight="1">
      <c r="B1113" s="320"/>
      <c r="C1113" s="134"/>
      <c r="D1113" s="98"/>
      <c r="E1113" s="504"/>
      <c r="F1113" s="306"/>
      <c r="G1113" s="265"/>
      <c r="H1113" s="266"/>
      <c r="I1113" s="297"/>
      <c r="J1113" s="298"/>
      <c r="K1113" s="298"/>
      <c r="L1113" s="298"/>
      <c r="M1113" s="41"/>
      <c r="N1113" s="21"/>
      <c r="O1113" s="21"/>
      <c r="P1113" s="21"/>
      <c r="Q1113" s="326"/>
      <c r="R1113" s="40"/>
      <c r="S1113" s="84"/>
      <c r="T1113" s="40"/>
      <c r="U1113" s="42"/>
      <c r="V1113" s="78"/>
      <c r="Z1113" s="181"/>
      <c r="AA1113" s="183"/>
      <c r="AC1113" s="26"/>
      <c r="AD1113" s="279"/>
      <c r="AE1113" s="26"/>
      <c r="AF1113" s="26"/>
      <c r="AG1113" s="278" t="str">
        <f t="shared" si="130"/>
        <v/>
      </c>
      <c r="AH1113" s="278" t="str">
        <f t="shared" si="131"/>
        <v/>
      </c>
      <c r="AJ1113" s="25"/>
      <c r="AK1113" s="25"/>
      <c r="AL1113" s="25"/>
      <c r="AM1113" s="25"/>
      <c r="AN1113" s="25"/>
      <c r="AO1113" s="25"/>
      <c r="AP1113" s="25"/>
      <c r="AQ1113" s="25"/>
      <c r="AR1113" s="25"/>
      <c r="AS1113" s="25"/>
      <c r="AT1113" s="25"/>
      <c r="AU1113" s="25"/>
      <c r="AV1113" s="43"/>
      <c r="AW1113" s="43"/>
      <c r="AX1113" s="114" t="s">
        <v>76</v>
      </c>
      <c r="AY1113" s="43"/>
      <c r="AZ1113" s="43"/>
      <c r="BA1113" s="43"/>
      <c r="BB1113" s="43"/>
    </row>
    <row r="1114" spans="2:54" ht="12.75" customHeight="1">
      <c r="B1114" s="320"/>
      <c r="C1114" s="134"/>
      <c r="D1114" s="98"/>
      <c r="E1114" s="504"/>
      <c r="F1114" s="306"/>
      <c r="G1114" s="265"/>
      <c r="H1114" s="266"/>
      <c r="I1114" s="297"/>
      <c r="J1114" s="298"/>
      <c r="K1114" s="298"/>
      <c r="L1114" s="298"/>
      <c r="M1114" s="41"/>
      <c r="N1114" s="21"/>
      <c r="O1114" s="21"/>
      <c r="P1114" s="21"/>
      <c r="Q1114" s="326"/>
      <c r="R1114" s="40"/>
      <c r="S1114" s="84"/>
      <c r="T1114" s="40"/>
      <c r="U1114" s="42"/>
      <c r="V1114" s="78"/>
      <c r="Z1114" s="181"/>
      <c r="AA1114" s="183"/>
      <c r="AC1114" s="26"/>
      <c r="AD1114" s="279"/>
      <c r="AE1114" s="26"/>
      <c r="AF1114" s="26"/>
      <c r="AG1114" s="278" t="str">
        <f t="shared" si="130"/>
        <v/>
      </c>
      <c r="AH1114" s="278" t="str">
        <f t="shared" si="131"/>
        <v/>
      </c>
      <c r="AJ1114" s="25"/>
      <c r="AK1114" s="25"/>
      <c r="AL1114" s="25"/>
      <c r="AM1114" s="25"/>
      <c r="AN1114" s="25"/>
      <c r="AO1114" s="25"/>
      <c r="AP1114" s="25"/>
      <c r="AQ1114" s="25"/>
      <c r="AR1114" s="25"/>
      <c r="AS1114" s="25"/>
      <c r="AT1114" s="25"/>
      <c r="AU1114" s="25"/>
      <c r="AV1114" s="43"/>
      <c r="AW1114" s="43"/>
      <c r="AX1114" s="114" t="s">
        <v>76</v>
      </c>
      <c r="AY1114" s="43"/>
      <c r="AZ1114" s="43"/>
      <c r="BA1114" s="43"/>
      <c r="BB1114" s="43"/>
    </row>
    <row r="1115" spans="2:54" ht="12.75" customHeight="1">
      <c r="B1115" s="320"/>
      <c r="C1115" s="134"/>
      <c r="D1115" s="98"/>
      <c r="E1115" s="504"/>
      <c r="F1115" s="306"/>
      <c r="G1115" s="265"/>
      <c r="H1115" s="266"/>
      <c r="I1115" s="297"/>
      <c r="J1115" s="298"/>
      <c r="K1115" s="298"/>
      <c r="L1115" s="298"/>
      <c r="M1115" s="41"/>
      <c r="N1115" s="21"/>
      <c r="O1115" s="21"/>
      <c r="P1115" s="21"/>
      <c r="Q1115" s="326"/>
      <c r="R1115" s="40"/>
      <c r="S1115" s="84"/>
      <c r="T1115" s="40"/>
      <c r="U1115" s="42"/>
      <c r="V1115" s="78"/>
      <c r="Z1115" s="181"/>
      <c r="AA1115" s="183"/>
      <c r="AC1115" s="26"/>
      <c r="AD1115" s="279"/>
      <c r="AE1115" s="26"/>
      <c r="AF1115" s="26"/>
      <c r="AG1115" s="278" t="str">
        <f t="shared" si="130"/>
        <v/>
      </c>
      <c r="AH1115" s="278" t="str">
        <f t="shared" si="131"/>
        <v/>
      </c>
      <c r="AJ1115" s="25"/>
      <c r="AK1115" s="25"/>
      <c r="AL1115" s="25"/>
      <c r="AM1115" s="25"/>
      <c r="AN1115" s="25"/>
      <c r="AO1115" s="25"/>
      <c r="AP1115" s="25"/>
      <c r="AQ1115" s="25"/>
      <c r="AR1115" s="25"/>
      <c r="AS1115" s="25"/>
      <c r="AT1115" s="25"/>
      <c r="AU1115" s="25"/>
      <c r="AV1115" s="43"/>
      <c r="AW1115" s="43"/>
      <c r="AX1115" s="114" t="s">
        <v>76</v>
      </c>
      <c r="AY1115" s="43"/>
      <c r="AZ1115" s="43"/>
      <c r="BA1115" s="43"/>
      <c r="BB1115" s="43"/>
    </row>
    <row r="1116" spans="2:54" ht="12.75" customHeight="1">
      <c r="B1116" s="320"/>
      <c r="C1116" s="134"/>
      <c r="D1116" s="98"/>
      <c r="E1116" s="504"/>
      <c r="F1116" s="306"/>
      <c r="G1116" s="265"/>
      <c r="H1116" s="266"/>
      <c r="I1116" s="297"/>
      <c r="J1116" s="298"/>
      <c r="K1116" s="298"/>
      <c r="L1116" s="298"/>
      <c r="M1116" s="41"/>
      <c r="N1116" s="21"/>
      <c r="O1116" s="21"/>
      <c r="P1116" s="21"/>
      <c r="Q1116" s="326"/>
      <c r="R1116" s="40"/>
      <c r="S1116" s="84"/>
      <c r="T1116" s="40"/>
      <c r="U1116" s="42"/>
      <c r="V1116" s="78"/>
      <c r="Z1116" s="181"/>
      <c r="AA1116" s="183"/>
      <c r="AC1116" s="26"/>
      <c r="AD1116" s="279"/>
      <c r="AE1116" s="26"/>
      <c r="AF1116" s="26"/>
      <c r="AG1116" s="278" t="str">
        <f t="shared" si="130"/>
        <v/>
      </c>
      <c r="AH1116" s="278" t="str">
        <f t="shared" si="131"/>
        <v/>
      </c>
      <c r="AJ1116" s="25"/>
      <c r="AK1116" s="25"/>
      <c r="AL1116" s="25"/>
      <c r="AM1116" s="25"/>
      <c r="AN1116" s="25"/>
      <c r="AO1116" s="25"/>
      <c r="AP1116" s="25"/>
      <c r="AQ1116" s="25"/>
      <c r="AR1116" s="25"/>
      <c r="AS1116" s="25"/>
      <c r="AT1116" s="25"/>
      <c r="AU1116" s="25"/>
      <c r="AV1116" s="43"/>
      <c r="AW1116" s="43"/>
      <c r="AX1116" s="114" t="s">
        <v>76</v>
      </c>
      <c r="AY1116" s="43"/>
      <c r="AZ1116" s="43"/>
      <c r="BA1116" s="43"/>
      <c r="BB1116" s="43"/>
    </row>
    <row r="1117" spans="2:54" ht="12.75" customHeight="1">
      <c r="B1117" s="320"/>
      <c r="C1117" s="134"/>
      <c r="D1117" s="98"/>
      <c r="E1117" s="504"/>
      <c r="F1117" s="306"/>
      <c r="G1117" s="265"/>
      <c r="H1117" s="266"/>
      <c r="I1117" s="297"/>
      <c r="J1117" s="298"/>
      <c r="K1117" s="298"/>
      <c r="L1117" s="298"/>
      <c r="M1117" s="41"/>
      <c r="N1117" s="21"/>
      <c r="O1117" s="21"/>
      <c r="P1117" s="21"/>
      <c r="Q1117" s="326"/>
      <c r="R1117" s="40"/>
      <c r="S1117" s="84"/>
      <c r="T1117" s="40"/>
      <c r="U1117" s="42"/>
      <c r="V1117" s="78"/>
      <c r="Z1117" s="181"/>
      <c r="AA1117" s="183"/>
      <c r="AC1117" s="26"/>
      <c r="AD1117" s="279"/>
      <c r="AE1117" s="26"/>
      <c r="AF1117" s="26"/>
      <c r="AG1117" s="278" t="str">
        <f t="shared" si="130"/>
        <v/>
      </c>
      <c r="AH1117" s="278" t="str">
        <f t="shared" si="131"/>
        <v/>
      </c>
      <c r="AJ1117" s="25"/>
      <c r="AK1117" s="25"/>
      <c r="AL1117" s="25"/>
      <c r="AM1117" s="25"/>
      <c r="AN1117" s="25"/>
      <c r="AO1117" s="25"/>
      <c r="AP1117" s="25"/>
      <c r="AQ1117" s="25"/>
      <c r="AR1117" s="25"/>
      <c r="AS1117" s="25"/>
      <c r="AT1117" s="25"/>
      <c r="AU1117" s="25"/>
      <c r="AV1117" s="43"/>
      <c r="AW1117" s="43"/>
      <c r="AX1117" s="114" t="s">
        <v>76</v>
      </c>
      <c r="AY1117" s="43"/>
      <c r="AZ1117" s="43"/>
      <c r="BA1117" s="43"/>
      <c r="BB1117" s="43"/>
    </row>
    <row r="1118" spans="2:54" ht="12.75" customHeight="1">
      <c r="B1118" s="320"/>
      <c r="C1118" s="134"/>
      <c r="D1118" s="98"/>
      <c r="E1118" s="504"/>
      <c r="F1118" s="306"/>
      <c r="G1118" s="265"/>
      <c r="H1118" s="266"/>
      <c r="I1118" s="297"/>
      <c r="J1118" s="298"/>
      <c r="K1118" s="298"/>
      <c r="L1118" s="298"/>
      <c r="M1118" s="41"/>
      <c r="N1118" s="21"/>
      <c r="O1118" s="21"/>
      <c r="P1118" s="21"/>
      <c r="Q1118" s="326"/>
      <c r="R1118" s="40"/>
      <c r="S1118" s="84"/>
      <c r="T1118" s="40"/>
      <c r="U1118" s="42"/>
      <c r="V1118" s="78"/>
      <c r="Z1118" s="181"/>
      <c r="AA1118" s="183"/>
      <c r="AC1118" s="26"/>
      <c r="AD1118" s="279"/>
      <c r="AE1118" s="26"/>
      <c r="AF1118" s="26"/>
      <c r="AG1118" s="278" t="str">
        <f t="shared" si="130"/>
        <v/>
      </c>
      <c r="AH1118" s="278" t="str">
        <f t="shared" si="131"/>
        <v/>
      </c>
      <c r="AJ1118" s="25"/>
      <c r="AK1118" s="25"/>
      <c r="AL1118" s="25"/>
      <c r="AM1118" s="25"/>
      <c r="AN1118" s="25"/>
      <c r="AO1118" s="25"/>
      <c r="AP1118" s="25"/>
      <c r="AQ1118" s="25"/>
      <c r="AR1118" s="25"/>
      <c r="AS1118" s="25"/>
      <c r="AT1118" s="25"/>
      <c r="AU1118" s="25"/>
      <c r="AV1118" s="43"/>
      <c r="AW1118" s="43"/>
      <c r="AX1118" s="114" t="s">
        <v>76</v>
      </c>
      <c r="AY1118" s="43"/>
      <c r="AZ1118" s="43"/>
      <c r="BA1118" s="43"/>
      <c r="BB1118" s="43"/>
    </row>
    <row r="1119" spans="2:54" ht="12.75" customHeight="1">
      <c r="B1119" s="320"/>
      <c r="C1119" s="134"/>
      <c r="D1119" s="98"/>
      <c r="E1119" s="504"/>
      <c r="F1119" s="306"/>
      <c r="G1119" s="265"/>
      <c r="H1119" s="266"/>
      <c r="I1119" s="297"/>
      <c r="J1119" s="298"/>
      <c r="K1119" s="298"/>
      <c r="L1119" s="298"/>
      <c r="M1119" s="41"/>
      <c r="N1119" s="21"/>
      <c r="O1119" s="21"/>
      <c r="P1119" s="21"/>
      <c r="Q1119" s="326"/>
      <c r="R1119" s="40"/>
      <c r="S1119" s="84"/>
      <c r="T1119" s="40"/>
      <c r="U1119" s="42"/>
      <c r="V1119" s="78"/>
      <c r="Z1119" s="181"/>
      <c r="AA1119" s="183"/>
      <c r="AC1119" s="26"/>
      <c r="AD1119" s="279"/>
      <c r="AE1119" s="26"/>
      <c r="AF1119" s="26"/>
      <c r="AG1119" s="278" t="str">
        <f t="shared" si="130"/>
        <v/>
      </c>
      <c r="AH1119" s="278" t="str">
        <f t="shared" si="131"/>
        <v/>
      </c>
      <c r="AJ1119" s="25"/>
      <c r="AK1119" s="25"/>
      <c r="AL1119" s="25"/>
      <c r="AM1119" s="25"/>
      <c r="AN1119" s="25"/>
      <c r="AO1119" s="25"/>
      <c r="AP1119" s="25"/>
      <c r="AQ1119" s="25"/>
      <c r="AR1119" s="25"/>
      <c r="AS1119" s="25"/>
      <c r="AT1119" s="25"/>
      <c r="AU1119" s="25"/>
      <c r="AV1119" s="43"/>
      <c r="AW1119" s="43"/>
      <c r="AX1119" s="114" t="s">
        <v>76</v>
      </c>
      <c r="AY1119" s="43"/>
      <c r="AZ1119" s="43"/>
      <c r="BA1119" s="43"/>
      <c r="BB1119" s="43"/>
    </row>
    <row r="1120" spans="2:54" ht="12.75" customHeight="1">
      <c r="B1120" s="320"/>
      <c r="C1120" s="134"/>
      <c r="D1120" s="98"/>
      <c r="E1120" s="504"/>
      <c r="F1120" s="306"/>
      <c r="G1120" s="265"/>
      <c r="H1120" s="266"/>
      <c r="I1120" s="297"/>
      <c r="J1120" s="298"/>
      <c r="K1120" s="298"/>
      <c r="L1120" s="298"/>
      <c r="M1120" s="41"/>
      <c r="N1120" s="21"/>
      <c r="O1120" s="21"/>
      <c r="P1120" s="21"/>
      <c r="Q1120" s="326"/>
      <c r="R1120" s="40"/>
      <c r="S1120" s="84"/>
      <c r="T1120" s="40"/>
      <c r="U1120" s="42"/>
      <c r="V1120" s="78"/>
      <c r="Z1120" s="181"/>
      <c r="AA1120" s="183"/>
      <c r="AC1120" s="26"/>
      <c r="AD1120" s="279"/>
      <c r="AE1120" s="26"/>
      <c r="AF1120" s="26"/>
      <c r="AG1120" s="278" t="str">
        <f t="shared" si="130"/>
        <v/>
      </c>
      <c r="AH1120" s="278" t="str">
        <f t="shared" si="131"/>
        <v/>
      </c>
      <c r="AJ1120" s="25"/>
      <c r="AK1120" s="25"/>
      <c r="AL1120" s="25"/>
      <c r="AM1120" s="25"/>
      <c r="AN1120" s="25"/>
      <c r="AO1120" s="25"/>
      <c r="AP1120" s="25"/>
      <c r="AQ1120" s="25"/>
      <c r="AR1120" s="25"/>
      <c r="AS1120" s="25"/>
      <c r="AT1120" s="25"/>
      <c r="AU1120" s="25"/>
      <c r="AV1120" s="43"/>
      <c r="AW1120" s="43"/>
      <c r="AX1120" s="114" t="s">
        <v>76</v>
      </c>
      <c r="AY1120" s="43"/>
      <c r="AZ1120" s="43"/>
      <c r="BA1120" s="43"/>
      <c r="BB1120" s="43"/>
    </row>
    <row r="1121" spans="2:54" ht="12.75" customHeight="1">
      <c r="B1121" s="320"/>
      <c r="C1121" s="134"/>
      <c r="D1121" s="98"/>
      <c r="E1121" s="504"/>
      <c r="F1121" s="306"/>
      <c r="G1121" s="265"/>
      <c r="H1121" s="266"/>
      <c r="I1121" s="297"/>
      <c r="J1121" s="298"/>
      <c r="K1121" s="298"/>
      <c r="L1121" s="298"/>
      <c r="M1121" s="41"/>
      <c r="N1121" s="21"/>
      <c r="O1121" s="21"/>
      <c r="P1121" s="21"/>
      <c r="Q1121" s="326"/>
      <c r="R1121" s="40"/>
      <c r="S1121" s="84"/>
      <c r="T1121" s="40"/>
      <c r="U1121" s="42"/>
      <c r="V1121" s="78"/>
      <c r="Z1121" s="181"/>
      <c r="AA1121" s="183"/>
      <c r="AC1121" s="26"/>
      <c r="AD1121" s="279"/>
      <c r="AE1121" s="26"/>
      <c r="AF1121" s="26"/>
      <c r="AG1121" s="278" t="str">
        <f t="shared" si="130"/>
        <v/>
      </c>
      <c r="AH1121" s="278" t="str">
        <f t="shared" si="131"/>
        <v/>
      </c>
      <c r="AJ1121" s="25"/>
      <c r="AK1121" s="25"/>
      <c r="AL1121" s="25"/>
      <c r="AM1121" s="25"/>
      <c r="AN1121" s="25"/>
      <c r="AO1121" s="25"/>
      <c r="AP1121" s="25"/>
      <c r="AQ1121" s="25"/>
      <c r="AR1121" s="25"/>
      <c r="AS1121" s="25"/>
      <c r="AT1121" s="25"/>
      <c r="AU1121" s="25"/>
      <c r="AV1121" s="43"/>
      <c r="AW1121" s="43"/>
      <c r="AX1121" s="114" t="s">
        <v>76</v>
      </c>
      <c r="AY1121" s="43"/>
      <c r="AZ1121" s="43"/>
      <c r="BA1121" s="43"/>
      <c r="BB1121" s="43"/>
    </row>
    <row r="1122" spans="2:54" ht="12.75" customHeight="1">
      <c r="B1122" s="320"/>
      <c r="C1122" s="134"/>
      <c r="D1122" s="98"/>
      <c r="E1122" s="504"/>
      <c r="F1122" s="306"/>
      <c r="G1122" s="265"/>
      <c r="H1122" s="266"/>
      <c r="I1122" s="297"/>
      <c r="J1122" s="298"/>
      <c r="K1122" s="298"/>
      <c r="L1122" s="298"/>
      <c r="M1122" s="41"/>
      <c r="N1122" s="21"/>
      <c r="O1122" s="21"/>
      <c r="P1122" s="21"/>
      <c r="Q1122" s="326"/>
      <c r="R1122" s="40"/>
      <c r="S1122" s="84"/>
      <c r="T1122" s="40"/>
      <c r="U1122" s="42"/>
      <c r="V1122" s="78"/>
      <c r="Z1122" s="181"/>
      <c r="AA1122" s="183"/>
      <c r="AC1122" s="26"/>
      <c r="AD1122" s="279"/>
      <c r="AE1122" s="26"/>
      <c r="AF1122" s="26"/>
      <c r="AG1122" s="278" t="str">
        <f t="shared" si="130"/>
        <v/>
      </c>
      <c r="AH1122" s="278" t="str">
        <f t="shared" si="131"/>
        <v/>
      </c>
      <c r="AJ1122" s="25"/>
      <c r="AK1122" s="25"/>
      <c r="AL1122" s="25"/>
      <c r="AM1122" s="25"/>
      <c r="AN1122" s="25"/>
      <c r="AO1122" s="25"/>
      <c r="AP1122" s="25"/>
      <c r="AQ1122" s="25"/>
      <c r="AR1122" s="25"/>
      <c r="AS1122" s="25"/>
      <c r="AT1122" s="25"/>
      <c r="AU1122" s="25"/>
      <c r="AV1122" s="43"/>
      <c r="AW1122" s="43"/>
      <c r="AX1122" s="114" t="s">
        <v>76</v>
      </c>
      <c r="AY1122" s="43"/>
      <c r="AZ1122" s="43"/>
      <c r="BA1122" s="43"/>
      <c r="BB1122" s="43"/>
    </row>
    <row r="1123" spans="2:54" ht="12.75" customHeight="1">
      <c r="B1123" s="320"/>
      <c r="C1123" s="134"/>
      <c r="D1123" s="98"/>
      <c r="E1123" s="504"/>
      <c r="F1123" s="306"/>
      <c r="G1123" s="265"/>
      <c r="H1123" s="266"/>
      <c r="I1123" s="297"/>
      <c r="J1123" s="298"/>
      <c r="K1123" s="298"/>
      <c r="L1123" s="298"/>
      <c r="M1123" s="41"/>
      <c r="N1123" s="21"/>
      <c r="O1123" s="21"/>
      <c r="P1123" s="21"/>
      <c r="Q1123" s="326"/>
      <c r="R1123" s="40"/>
      <c r="S1123" s="84"/>
      <c r="T1123" s="40"/>
      <c r="U1123" s="42"/>
      <c r="V1123" s="78"/>
      <c r="Z1123" s="181"/>
      <c r="AA1123" s="183"/>
      <c r="AC1123" s="26"/>
      <c r="AD1123" s="279"/>
      <c r="AE1123" s="26"/>
      <c r="AF1123" s="26"/>
      <c r="AG1123" s="278" t="str">
        <f t="shared" si="130"/>
        <v/>
      </c>
      <c r="AH1123" s="278" t="str">
        <f t="shared" si="131"/>
        <v/>
      </c>
      <c r="AJ1123" s="25"/>
      <c r="AK1123" s="25"/>
      <c r="AL1123" s="25"/>
      <c r="AM1123" s="25"/>
      <c r="AN1123" s="25"/>
      <c r="AO1123" s="25"/>
      <c r="AP1123" s="25"/>
      <c r="AQ1123" s="25"/>
      <c r="AR1123" s="25"/>
      <c r="AS1123" s="25"/>
      <c r="AT1123" s="25"/>
      <c r="AU1123" s="25"/>
      <c r="AV1123" s="43"/>
      <c r="AW1123" s="43"/>
      <c r="AX1123" s="114" t="s">
        <v>76</v>
      </c>
      <c r="AY1123" s="43"/>
      <c r="AZ1123" s="43"/>
      <c r="BA1123" s="43"/>
      <c r="BB1123" s="43"/>
    </row>
    <row r="1124" spans="2:54" ht="12.75" customHeight="1">
      <c r="B1124" s="320"/>
      <c r="C1124" s="134"/>
      <c r="D1124" s="98"/>
      <c r="E1124" s="504"/>
      <c r="F1124" s="306"/>
      <c r="G1124" s="265"/>
      <c r="H1124" s="266"/>
      <c r="I1124" s="297"/>
      <c r="J1124" s="298"/>
      <c r="K1124" s="298"/>
      <c r="L1124" s="298"/>
      <c r="M1124" s="41"/>
      <c r="N1124" s="21"/>
      <c r="O1124" s="21"/>
      <c r="P1124" s="21"/>
      <c r="Q1124" s="326"/>
      <c r="R1124" s="40"/>
      <c r="S1124" s="84"/>
      <c r="T1124" s="40"/>
      <c r="U1124" s="42"/>
      <c r="V1124" s="78"/>
      <c r="Z1124" s="181"/>
      <c r="AA1124" s="183"/>
      <c r="AC1124" s="26"/>
      <c r="AD1124" s="279"/>
      <c r="AE1124" s="26"/>
      <c r="AF1124" s="26"/>
      <c r="AG1124" s="278" t="str">
        <f t="shared" si="130"/>
        <v/>
      </c>
      <c r="AH1124" s="278" t="str">
        <f t="shared" si="131"/>
        <v/>
      </c>
      <c r="AJ1124" s="25"/>
      <c r="AK1124" s="25"/>
      <c r="AL1124" s="25"/>
      <c r="AM1124" s="25"/>
      <c r="AN1124" s="25"/>
      <c r="AO1124" s="25"/>
      <c r="AP1124" s="25"/>
      <c r="AQ1124" s="25"/>
      <c r="AR1124" s="25"/>
      <c r="AS1124" s="25"/>
      <c r="AT1124" s="25"/>
      <c r="AU1124" s="25"/>
      <c r="AV1124" s="43"/>
      <c r="AW1124" s="43"/>
      <c r="AX1124" s="114" t="s">
        <v>76</v>
      </c>
      <c r="AY1124" s="43"/>
      <c r="AZ1124" s="43"/>
      <c r="BA1124" s="43"/>
      <c r="BB1124" s="43"/>
    </row>
    <row r="1125" spans="2:54" ht="12.75" customHeight="1">
      <c r="B1125" s="320"/>
      <c r="C1125" s="134"/>
      <c r="D1125" s="98"/>
      <c r="E1125" s="504"/>
      <c r="F1125" s="306"/>
      <c r="G1125" s="265"/>
      <c r="H1125" s="266"/>
      <c r="I1125" s="297"/>
      <c r="J1125" s="298"/>
      <c r="K1125" s="298"/>
      <c r="L1125" s="298"/>
      <c r="M1125" s="41"/>
      <c r="N1125" s="21"/>
      <c r="O1125" s="21"/>
      <c r="P1125" s="21"/>
      <c r="Q1125" s="326"/>
      <c r="R1125" s="40"/>
      <c r="S1125" s="84"/>
      <c r="T1125" s="40"/>
      <c r="U1125" s="42"/>
      <c r="V1125" s="78"/>
      <c r="Z1125" s="181"/>
      <c r="AA1125" s="183"/>
      <c r="AC1125" s="26"/>
      <c r="AD1125" s="279"/>
      <c r="AE1125" s="26"/>
      <c r="AF1125" s="26"/>
      <c r="AG1125" s="278" t="str">
        <f t="shared" si="130"/>
        <v/>
      </c>
      <c r="AH1125" s="278" t="str">
        <f t="shared" si="131"/>
        <v/>
      </c>
      <c r="AJ1125" s="25"/>
      <c r="AK1125" s="25"/>
      <c r="AL1125" s="25"/>
      <c r="AM1125" s="25"/>
      <c r="AN1125" s="25"/>
      <c r="AO1125" s="25"/>
      <c r="AP1125" s="25"/>
      <c r="AQ1125" s="25"/>
      <c r="AR1125" s="25"/>
      <c r="AS1125" s="25"/>
      <c r="AT1125" s="25"/>
      <c r="AU1125" s="25"/>
      <c r="AV1125" s="43"/>
      <c r="AW1125" s="43"/>
      <c r="AX1125" s="114" t="s">
        <v>76</v>
      </c>
      <c r="AY1125" s="43"/>
      <c r="AZ1125" s="43"/>
      <c r="BA1125" s="43"/>
      <c r="BB1125" s="43"/>
    </row>
    <row r="1126" spans="2:54" ht="12.75" customHeight="1">
      <c r="B1126" s="320"/>
      <c r="C1126" s="134"/>
      <c r="D1126" s="98"/>
      <c r="E1126" s="504"/>
      <c r="F1126" s="306"/>
      <c r="G1126" s="265"/>
      <c r="H1126" s="266"/>
      <c r="I1126" s="297"/>
      <c r="J1126" s="298"/>
      <c r="K1126" s="298"/>
      <c r="L1126" s="298"/>
      <c r="M1126" s="41"/>
      <c r="N1126" s="21"/>
      <c r="O1126" s="21"/>
      <c r="P1126" s="21"/>
      <c r="Q1126" s="326"/>
      <c r="R1126" s="40"/>
      <c r="S1126" s="84"/>
      <c r="T1126" s="40"/>
      <c r="U1126" s="42"/>
      <c r="V1126" s="78"/>
      <c r="Z1126" s="181"/>
      <c r="AA1126" s="183"/>
      <c r="AC1126" s="26"/>
      <c r="AD1126" s="279"/>
      <c r="AE1126" s="26"/>
      <c r="AF1126" s="26"/>
      <c r="AG1126" s="278" t="str">
        <f t="shared" si="130"/>
        <v/>
      </c>
      <c r="AH1126" s="278" t="str">
        <f t="shared" si="131"/>
        <v/>
      </c>
      <c r="AJ1126" s="25"/>
      <c r="AK1126" s="25"/>
      <c r="AL1126" s="25"/>
      <c r="AM1126" s="25"/>
      <c r="AN1126" s="25"/>
      <c r="AO1126" s="25"/>
      <c r="AP1126" s="25"/>
      <c r="AQ1126" s="25"/>
      <c r="AR1126" s="25"/>
      <c r="AS1126" s="25"/>
      <c r="AT1126" s="25"/>
      <c r="AU1126" s="25"/>
      <c r="AV1126" s="43"/>
      <c r="AW1126" s="43"/>
      <c r="AX1126" s="114" t="s">
        <v>76</v>
      </c>
      <c r="AY1126" s="43"/>
      <c r="AZ1126" s="43"/>
      <c r="BA1126" s="43"/>
      <c r="BB1126" s="43"/>
    </row>
    <row r="1127" spans="2:54" ht="12.75" customHeight="1">
      <c r="B1127" s="320"/>
      <c r="C1127" s="134"/>
      <c r="D1127" s="98"/>
      <c r="E1127" s="504"/>
      <c r="F1127" s="306"/>
      <c r="G1127" s="265"/>
      <c r="H1127" s="266"/>
      <c r="I1127" s="297"/>
      <c r="J1127" s="298"/>
      <c r="K1127" s="298"/>
      <c r="L1127" s="298"/>
      <c r="M1127" s="41"/>
      <c r="N1127" s="21"/>
      <c r="O1127" s="21"/>
      <c r="P1127" s="21"/>
      <c r="Q1127" s="326"/>
      <c r="R1127" s="40"/>
      <c r="S1127" s="84"/>
      <c r="T1127" s="40"/>
      <c r="U1127" s="42"/>
      <c r="V1127" s="78"/>
      <c r="Z1127" s="181"/>
      <c r="AA1127" s="183"/>
      <c r="AC1127" s="26"/>
      <c r="AD1127" s="279"/>
      <c r="AE1127" s="26"/>
      <c r="AF1127" s="26"/>
      <c r="AG1127" s="278" t="str">
        <f t="shared" si="130"/>
        <v/>
      </c>
      <c r="AH1127" s="278" t="str">
        <f t="shared" si="131"/>
        <v/>
      </c>
      <c r="AJ1127" s="25"/>
      <c r="AK1127" s="25"/>
      <c r="AL1127" s="25"/>
      <c r="AM1127" s="25"/>
      <c r="AN1127" s="25"/>
      <c r="AO1127" s="25"/>
      <c r="AP1127" s="25"/>
      <c r="AQ1127" s="25"/>
      <c r="AR1127" s="25"/>
      <c r="AS1127" s="25"/>
      <c r="AT1127" s="25"/>
      <c r="AU1127" s="25"/>
      <c r="AV1127" s="43"/>
      <c r="AW1127" s="43"/>
      <c r="AX1127" s="114" t="s">
        <v>76</v>
      </c>
      <c r="AY1127" s="43"/>
      <c r="AZ1127" s="43"/>
      <c r="BA1127" s="43"/>
      <c r="BB1127" s="43"/>
    </row>
    <row r="1128" spans="2:54" ht="12.75" customHeight="1">
      <c r="B1128" s="320"/>
      <c r="C1128" s="134"/>
      <c r="D1128" s="98"/>
      <c r="E1128" s="504"/>
      <c r="F1128" s="306"/>
      <c r="G1128" s="265"/>
      <c r="H1128" s="266"/>
      <c r="I1128" s="297"/>
      <c r="J1128" s="298"/>
      <c r="K1128" s="298"/>
      <c r="L1128" s="298"/>
      <c r="M1128" s="41"/>
      <c r="N1128" s="21"/>
      <c r="O1128" s="21"/>
      <c r="P1128" s="21"/>
      <c r="Q1128" s="326"/>
      <c r="R1128" s="40"/>
      <c r="S1128" s="84"/>
      <c r="T1128" s="40"/>
      <c r="U1128" s="42"/>
      <c r="V1128" s="78"/>
      <c r="Z1128" s="181"/>
      <c r="AA1128" s="183"/>
      <c r="AC1128" s="26"/>
      <c r="AD1128" s="279"/>
      <c r="AE1128" s="26"/>
      <c r="AF1128" s="26"/>
      <c r="AG1128" s="278" t="str">
        <f t="shared" si="130"/>
        <v/>
      </c>
      <c r="AH1128" s="278" t="str">
        <f t="shared" si="131"/>
        <v/>
      </c>
      <c r="AJ1128" s="25"/>
      <c r="AK1128" s="25"/>
      <c r="AL1128" s="25"/>
      <c r="AM1128" s="25"/>
      <c r="AN1128" s="25"/>
      <c r="AO1128" s="25"/>
      <c r="AP1128" s="25"/>
      <c r="AQ1128" s="25"/>
      <c r="AR1128" s="25"/>
      <c r="AS1128" s="25"/>
      <c r="AT1128" s="25"/>
      <c r="AU1128" s="25"/>
      <c r="AV1128" s="43"/>
      <c r="AW1128" s="43"/>
      <c r="AX1128" s="114" t="s">
        <v>76</v>
      </c>
      <c r="AY1128" s="43"/>
      <c r="AZ1128" s="43"/>
      <c r="BA1128" s="43"/>
      <c r="BB1128" s="43"/>
    </row>
    <row r="1129" spans="2:54" ht="12.75" customHeight="1">
      <c r="B1129" s="320"/>
      <c r="C1129" s="134"/>
      <c r="D1129" s="98"/>
      <c r="E1129" s="504"/>
      <c r="F1129" s="306"/>
      <c r="G1129" s="265"/>
      <c r="H1129" s="266"/>
      <c r="I1129" s="297"/>
      <c r="J1129" s="298"/>
      <c r="K1129" s="298"/>
      <c r="L1129" s="298"/>
      <c r="M1129" s="41"/>
      <c r="N1129" s="21"/>
      <c r="O1129" s="21"/>
      <c r="P1129" s="21"/>
      <c r="Q1129" s="326"/>
      <c r="R1129" s="40"/>
      <c r="S1129" s="84"/>
      <c r="T1129" s="40"/>
      <c r="U1129" s="42"/>
      <c r="V1129" s="78"/>
      <c r="Z1129" s="181"/>
      <c r="AA1129" s="183"/>
      <c r="AC1129" s="26"/>
      <c r="AD1129" s="279"/>
      <c r="AE1129" s="26"/>
      <c r="AF1129" s="26"/>
      <c r="AG1129" s="278" t="str">
        <f t="shared" si="130"/>
        <v/>
      </c>
      <c r="AH1129" s="278" t="str">
        <f t="shared" si="131"/>
        <v/>
      </c>
      <c r="AJ1129" s="25"/>
      <c r="AK1129" s="25"/>
      <c r="AL1129" s="25"/>
      <c r="AM1129" s="25"/>
      <c r="AN1129" s="25"/>
      <c r="AO1129" s="25"/>
      <c r="AP1129" s="25"/>
      <c r="AQ1129" s="25"/>
      <c r="AR1129" s="25"/>
      <c r="AS1129" s="25"/>
      <c r="AT1129" s="25"/>
      <c r="AU1129" s="25"/>
      <c r="AV1129" s="43"/>
      <c r="AW1129" s="43"/>
      <c r="AX1129" s="114" t="s">
        <v>76</v>
      </c>
      <c r="AY1129" s="43"/>
      <c r="AZ1129" s="43"/>
      <c r="BA1129" s="43"/>
      <c r="BB1129" s="43"/>
    </row>
    <row r="1130" spans="2:54" ht="12.75" customHeight="1">
      <c r="B1130" s="320"/>
      <c r="C1130" s="134"/>
      <c r="D1130" s="98"/>
      <c r="E1130" s="504"/>
      <c r="F1130" s="306"/>
      <c r="G1130" s="265"/>
      <c r="H1130" s="266"/>
      <c r="I1130" s="297"/>
      <c r="J1130" s="298"/>
      <c r="K1130" s="298"/>
      <c r="L1130" s="298"/>
      <c r="M1130" s="41"/>
      <c r="N1130" s="21"/>
      <c r="O1130" s="21"/>
      <c r="P1130" s="21"/>
      <c r="Q1130" s="326"/>
      <c r="R1130" s="40"/>
      <c r="S1130" s="84"/>
      <c r="T1130" s="40"/>
      <c r="U1130" s="42"/>
      <c r="V1130" s="78"/>
      <c r="Z1130" s="181"/>
      <c r="AA1130" s="183"/>
      <c r="AC1130" s="26"/>
      <c r="AD1130" s="279"/>
      <c r="AE1130" s="26"/>
      <c r="AF1130" s="26"/>
      <c r="AG1130" s="278" t="str">
        <f t="shared" si="130"/>
        <v/>
      </c>
      <c r="AH1130" s="278" t="str">
        <f t="shared" si="131"/>
        <v/>
      </c>
      <c r="AJ1130" s="25"/>
      <c r="AK1130" s="25"/>
      <c r="AL1130" s="25"/>
      <c r="AM1130" s="25"/>
      <c r="AN1130" s="25"/>
      <c r="AO1130" s="25"/>
      <c r="AP1130" s="25"/>
      <c r="AQ1130" s="25"/>
      <c r="AR1130" s="25"/>
      <c r="AS1130" s="25"/>
      <c r="AT1130" s="25"/>
      <c r="AU1130" s="25"/>
      <c r="AV1130" s="43"/>
      <c r="AW1130" s="43"/>
      <c r="AX1130" s="114" t="s">
        <v>76</v>
      </c>
      <c r="AY1130" s="43"/>
      <c r="AZ1130" s="43"/>
      <c r="BA1130" s="43"/>
      <c r="BB1130" s="43"/>
    </row>
    <row r="1131" spans="2:54" ht="12.75" customHeight="1">
      <c r="B1131" s="320"/>
      <c r="C1131" s="134"/>
      <c r="D1131" s="98"/>
      <c r="E1131" s="504"/>
      <c r="F1131" s="306"/>
      <c r="G1131" s="265"/>
      <c r="H1131" s="266"/>
      <c r="I1131" s="297"/>
      <c r="J1131" s="298"/>
      <c r="K1131" s="298"/>
      <c r="L1131" s="298"/>
      <c r="M1131" s="41"/>
      <c r="N1131" s="21"/>
      <c r="O1131" s="21"/>
      <c r="P1131" s="21"/>
      <c r="Q1131" s="326"/>
      <c r="R1131" s="40"/>
      <c r="S1131" s="84"/>
      <c r="T1131" s="40"/>
      <c r="U1131" s="42"/>
      <c r="V1131" s="78"/>
      <c r="Z1131" s="181"/>
      <c r="AA1131" s="183"/>
      <c r="AC1131" s="26"/>
      <c r="AD1131" s="279"/>
      <c r="AE1131" s="26"/>
      <c r="AF1131" s="26"/>
      <c r="AG1131" s="278" t="str">
        <f t="shared" si="130"/>
        <v/>
      </c>
      <c r="AH1131" s="278" t="str">
        <f t="shared" si="131"/>
        <v/>
      </c>
      <c r="AJ1131" s="25"/>
      <c r="AK1131" s="25"/>
      <c r="AL1131" s="25"/>
      <c r="AM1131" s="25"/>
      <c r="AN1131" s="25"/>
      <c r="AO1131" s="25"/>
      <c r="AP1131" s="25"/>
      <c r="AQ1131" s="25"/>
      <c r="AR1131" s="25"/>
      <c r="AS1131" s="25"/>
      <c r="AT1131" s="25"/>
      <c r="AU1131" s="25"/>
      <c r="AV1131" s="43"/>
      <c r="AW1131" s="43"/>
      <c r="AX1131" s="114" t="s">
        <v>76</v>
      </c>
      <c r="AY1131" s="43"/>
      <c r="AZ1131" s="43"/>
      <c r="BA1131" s="43"/>
      <c r="BB1131" s="43"/>
    </row>
    <row r="1132" spans="2:54" ht="12.75" customHeight="1">
      <c r="B1132" s="320"/>
      <c r="C1132" s="134"/>
      <c r="D1132" s="98"/>
      <c r="E1132" s="504"/>
      <c r="F1132" s="306"/>
      <c r="G1132" s="265"/>
      <c r="H1132" s="266"/>
      <c r="I1132" s="297"/>
      <c r="J1132" s="298"/>
      <c r="K1132" s="298"/>
      <c r="L1132" s="298"/>
      <c r="M1132" s="41"/>
      <c r="N1132" s="21"/>
      <c r="O1132" s="21"/>
      <c r="P1132" s="21"/>
      <c r="Q1132" s="326"/>
      <c r="R1132" s="40"/>
      <c r="S1132" s="84"/>
      <c r="T1132" s="40"/>
      <c r="U1132" s="42"/>
      <c r="V1132" s="78"/>
      <c r="Z1132" s="181"/>
      <c r="AA1132" s="183"/>
      <c r="AC1132" s="26"/>
      <c r="AD1132" s="279"/>
      <c r="AE1132" s="26"/>
      <c r="AF1132" s="26"/>
      <c r="AG1132" s="278" t="str">
        <f t="shared" si="130"/>
        <v/>
      </c>
      <c r="AH1132" s="278" t="str">
        <f t="shared" si="131"/>
        <v/>
      </c>
      <c r="AJ1132" s="25"/>
      <c r="AK1132" s="25"/>
      <c r="AL1132" s="25"/>
      <c r="AM1132" s="25"/>
      <c r="AN1132" s="25"/>
      <c r="AO1132" s="25"/>
      <c r="AP1132" s="25"/>
      <c r="AQ1132" s="25"/>
      <c r="AR1132" s="25"/>
      <c r="AS1132" s="25"/>
      <c r="AT1132" s="25"/>
      <c r="AU1132" s="25"/>
      <c r="AV1132" s="43"/>
      <c r="AW1132" s="43"/>
      <c r="AX1132" s="114" t="s">
        <v>76</v>
      </c>
      <c r="AY1132" s="43"/>
      <c r="AZ1132" s="43"/>
      <c r="BA1132" s="43"/>
      <c r="BB1132" s="43"/>
    </row>
    <row r="1133" spans="2:54" ht="12.75" customHeight="1">
      <c r="B1133" s="320"/>
      <c r="C1133" s="134"/>
      <c r="D1133" s="98"/>
      <c r="E1133" s="504"/>
      <c r="F1133" s="306"/>
      <c r="G1133" s="265"/>
      <c r="H1133" s="266"/>
      <c r="I1133" s="297"/>
      <c r="J1133" s="298"/>
      <c r="K1133" s="298"/>
      <c r="L1133" s="298"/>
      <c r="M1133" s="41"/>
      <c r="N1133" s="21"/>
      <c r="O1133" s="21"/>
      <c r="P1133" s="21"/>
      <c r="Q1133" s="326"/>
      <c r="R1133" s="40"/>
      <c r="S1133" s="84"/>
      <c r="T1133" s="40"/>
      <c r="U1133" s="42"/>
      <c r="V1133" s="78"/>
      <c r="Z1133" s="181"/>
      <c r="AA1133" s="183"/>
      <c r="AC1133" s="26"/>
      <c r="AD1133" s="279"/>
      <c r="AE1133" s="26"/>
      <c r="AF1133" s="26"/>
      <c r="AG1133" s="278" t="str">
        <f t="shared" si="130"/>
        <v/>
      </c>
      <c r="AH1133" s="278" t="str">
        <f t="shared" si="131"/>
        <v/>
      </c>
      <c r="AJ1133" s="25"/>
      <c r="AK1133" s="25"/>
      <c r="AL1133" s="25"/>
      <c r="AM1133" s="25"/>
      <c r="AN1133" s="25"/>
      <c r="AO1133" s="25"/>
      <c r="AP1133" s="25"/>
      <c r="AQ1133" s="25"/>
      <c r="AR1133" s="25"/>
      <c r="AS1133" s="25"/>
      <c r="AT1133" s="25"/>
      <c r="AU1133" s="25"/>
      <c r="AV1133" s="43"/>
      <c r="AW1133" s="43"/>
      <c r="AX1133" s="114" t="s">
        <v>76</v>
      </c>
      <c r="AY1133" s="43"/>
      <c r="AZ1133" s="43"/>
      <c r="BA1133" s="43"/>
      <c r="BB1133" s="43"/>
    </row>
    <row r="1134" spans="2:54" ht="12.75" customHeight="1">
      <c r="B1134" s="320"/>
      <c r="C1134" s="134"/>
      <c r="D1134" s="98"/>
      <c r="E1134" s="504"/>
      <c r="F1134" s="306"/>
      <c r="G1134" s="265"/>
      <c r="H1134" s="266"/>
      <c r="I1134" s="297"/>
      <c r="J1134" s="298"/>
      <c r="K1134" s="298"/>
      <c r="L1134" s="298"/>
      <c r="M1134" s="41"/>
      <c r="N1134" s="21"/>
      <c r="O1134" s="21"/>
      <c r="P1134" s="21"/>
      <c r="Q1134" s="326"/>
      <c r="R1134" s="40"/>
      <c r="S1134" s="84"/>
      <c r="T1134" s="40"/>
      <c r="U1134" s="42"/>
      <c r="V1134" s="78"/>
      <c r="Z1134" s="181"/>
      <c r="AA1134" s="183"/>
      <c r="AC1134" s="26"/>
      <c r="AD1134" s="279"/>
      <c r="AE1134" s="26"/>
      <c r="AF1134" s="26"/>
      <c r="AG1134" s="278" t="str">
        <f t="shared" si="130"/>
        <v/>
      </c>
      <c r="AH1134" s="278" t="str">
        <f t="shared" si="131"/>
        <v/>
      </c>
      <c r="AJ1134" s="25"/>
      <c r="AK1134" s="25"/>
      <c r="AL1134" s="25"/>
      <c r="AM1134" s="25"/>
      <c r="AN1134" s="25"/>
      <c r="AO1134" s="25"/>
      <c r="AP1134" s="25"/>
      <c r="AQ1134" s="25"/>
      <c r="AR1134" s="25"/>
      <c r="AS1134" s="25"/>
      <c r="AT1134" s="25"/>
      <c r="AU1134" s="25"/>
      <c r="AV1134" s="43"/>
      <c r="AW1134" s="43"/>
      <c r="AX1134" s="114" t="s">
        <v>76</v>
      </c>
      <c r="AY1134" s="43"/>
      <c r="AZ1134" s="43"/>
      <c r="BA1134" s="43"/>
      <c r="BB1134" s="43"/>
    </row>
    <row r="1135" spans="2:54" ht="12.75" customHeight="1">
      <c r="B1135" s="320"/>
      <c r="C1135" s="134"/>
      <c r="D1135" s="98"/>
      <c r="E1135" s="504"/>
      <c r="F1135" s="306"/>
      <c r="G1135" s="265"/>
      <c r="H1135" s="266"/>
      <c r="I1135" s="297"/>
      <c r="J1135" s="298"/>
      <c r="K1135" s="298"/>
      <c r="L1135" s="298"/>
      <c r="M1135" s="41"/>
      <c r="N1135" s="21"/>
      <c r="O1135" s="21"/>
      <c r="P1135" s="21"/>
      <c r="Q1135" s="326"/>
      <c r="R1135" s="40"/>
      <c r="S1135" s="84"/>
      <c r="T1135" s="40"/>
      <c r="U1135" s="42"/>
      <c r="V1135" s="78"/>
      <c r="Z1135" s="181"/>
      <c r="AA1135" s="183"/>
      <c r="AC1135" s="26"/>
      <c r="AD1135" s="279"/>
      <c r="AE1135" s="26"/>
      <c r="AF1135" s="26"/>
      <c r="AG1135" s="278" t="str">
        <f t="shared" si="130"/>
        <v/>
      </c>
      <c r="AH1135" s="278" t="str">
        <f t="shared" si="131"/>
        <v/>
      </c>
      <c r="AJ1135" s="25"/>
      <c r="AK1135" s="25"/>
      <c r="AL1135" s="25"/>
      <c r="AM1135" s="25"/>
      <c r="AN1135" s="25"/>
      <c r="AO1135" s="25"/>
      <c r="AP1135" s="25"/>
      <c r="AQ1135" s="25"/>
      <c r="AR1135" s="25"/>
      <c r="AS1135" s="25"/>
      <c r="AT1135" s="25"/>
      <c r="AU1135" s="25"/>
      <c r="AV1135" s="43"/>
      <c r="AW1135" s="43"/>
      <c r="AX1135" s="114" t="s">
        <v>76</v>
      </c>
      <c r="AY1135" s="43"/>
      <c r="AZ1135" s="43"/>
      <c r="BA1135" s="43"/>
      <c r="BB1135" s="43"/>
    </row>
    <row r="1136" spans="2:54" ht="12.75" customHeight="1">
      <c r="B1136" s="320"/>
      <c r="C1136" s="134"/>
      <c r="D1136" s="98"/>
      <c r="E1136" s="504"/>
      <c r="F1136" s="306"/>
      <c r="G1136" s="265"/>
      <c r="H1136" s="266"/>
      <c r="I1136" s="297"/>
      <c r="J1136" s="298"/>
      <c r="K1136" s="298"/>
      <c r="L1136" s="298"/>
      <c r="M1136" s="41"/>
      <c r="N1136" s="21"/>
      <c r="O1136" s="21"/>
      <c r="P1136" s="21"/>
      <c r="Q1136" s="326"/>
      <c r="R1136" s="40"/>
      <c r="S1136" s="84"/>
      <c r="T1136" s="40"/>
      <c r="U1136" s="42"/>
      <c r="V1136" s="78"/>
      <c r="Z1136" s="181"/>
      <c r="AA1136" s="183"/>
      <c r="AC1136" s="26"/>
      <c r="AD1136" s="279"/>
      <c r="AE1136" s="26"/>
      <c r="AF1136" s="26"/>
      <c r="AG1136" s="278" t="str">
        <f t="shared" si="130"/>
        <v/>
      </c>
      <c r="AH1136" s="278" t="str">
        <f t="shared" si="131"/>
        <v/>
      </c>
      <c r="AJ1136" s="25"/>
      <c r="AK1136" s="25"/>
      <c r="AL1136" s="25"/>
      <c r="AM1136" s="25"/>
      <c r="AN1136" s="25"/>
      <c r="AO1136" s="25"/>
      <c r="AP1136" s="25"/>
      <c r="AQ1136" s="25"/>
      <c r="AR1136" s="25"/>
      <c r="AS1136" s="25"/>
      <c r="AT1136" s="25"/>
      <c r="AU1136" s="25"/>
      <c r="AV1136" s="43"/>
      <c r="AW1136" s="43"/>
      <c r="AX1136" s="114" t="s">
        <v>76</v>
      </c>
      <c r="AY1136" s="43"/>
      <c r="AZ1136" s="43"/>
      <c r="BA1136" s="43"/>
      <c r="BB1136" s="43"/>
    </row>
    <row r="1137" spans="2:54" ht="12.75" customHeight="1">
      <c r="B1137" s="320"/>
      <c r="C1137" s="134"/>
      <c r="D1137" s="98"/>
      <c r="E1137" s="504"/>
      <c r="F1137" s="306"/>
      <c r="G1137" s="265"/>
      <c r="H1137" s="266"/>
      <c r="I1137" s="297"/>
      <c r="J1137" s="298"/>
      <c r="K1137" s="298"/>
      <c r="L1137" s="298"/>
      <c r="M1137" s="41"/>
      <c r="N1137" s="21"/>
      <c r="O1137" s="21"/>
      <c r="P1137" s="21"/>
      <c r="Q1137" s="326"/>
      <c r="R1137" s="40"/>
      <c r="S1137" s="84"/>
      <c r="T1137" s="40"/>
      <c r="U1137" s="42"/>
      <c r="V1137" s="78"/>
      <c r="Z1137" s="181"/>
      <c r="AA1137" s="183"/>
      <c r="AC1137" s="26"/>
      <c r="AD1137" s="279"/>
      <c r="AE1137" s="26"/>
      <c r="AF1137" s="26"/>
      <c r="AG1137" s="278" t="str">
        <f t="shared" si="130"/>
        <v/>
      </c>
      <c r="AH1137" s="278" t="str">
        <f t="shared" si="131"/>
        <v/>
      </c>
      <c r="AJ1137" s="25"/>
      <c r="AK1137" s="25"/>
      <c r="AL1137" s="25"/>
      <c r="AM1137" s="25"/>
      <c r="AN1137" s="25"/>
      <c r="AO1137" s="25"/>
      <c r="AP1137" s="25"/>
      <c r="AQ1137" s="25"/>
      <c r="AR1137" s="25"/>
      <c r="AS1137" s="25"/>
      <c r="AT1137" s="25"/>
      <c r="AU1137" s="25"/>
      <c r="AV1137" s="43"/>
      <c r="AW1137" s="43"/>
      <c r="AX1137" s="114" t="s">
        <v>76</v>
      </c>
      <c r="AY1137" s="43"/>
      <c r="AZ1137" s="43"/>
      <c r="BA1137" s="43"/>
      <c r="BB1137" s="43"/>
    </row>
    <row r="1138" spans="2:54" ht="12.75" customHeight="1">
      <c r="B1138" s="320"/>
      <c r="C1138" s="134"/>
      <c r="D1138" s="98"/>
      <c r="E1138" s="504"/>
      <c r="F1138" s="306"/>
      <c r="G1138" s="265"/>
      <c r="H1138" s="266"/>
      <c r="I1138" s="297"/>
      <c r="J1138" s="298"/>
      <c r="K1138" s="298"/>
      <c r="L1138" s="298"/>
      <c r="M1138" s="41"/>
      <c r="N1138" s="21"/>
      <c r="O1138" s="21"/>
      <c r="P1138" s="21"/>
      <c r="Q1138" s="326"/>
      <c r="R1138" s="40"/>
      <c r="S1138" s="84"/>
      <c r="T1138" s="40"/>
      <c r="U1138" s="42"/>
      <c r="V1138" s="78"/>
      <c r="Z1138" s="181"/>
      <c r="AA1138" s="183"/>
      <c r="AC1138" s="26"/>
      <c r="AD1138" s="279"/>
      <c r="AE1138" s="26"/>
      <c r="AF1138" s="26"/>
      <c r="AG1138" s="278" t="str">
        <f t="shared" si="130"/>
        <v/>
      </c>
      <c r="AH1138" s="278" t="str">
        <f t="shared" si="131"/>
        <v/>
      </c>
      <c r="AJ1138" s="25"/>
      <c r="AK1138" s="25"/>
      <c r="AL1138" s="25"/>
      <c r="AM1138" s="25"/>
      <c r="AN1138" s="25"/>
      <c r="AO1138" s="25"/>
      <c r="AP1138" s="25"/>
      <c r="AQ1138" s="25"/>
      <c r="AR1138" s="25"/>
      <c r="AS1138" s="25"/>
      <c r="AT1138" s="25"/>
      <c r="AU1138" s="25"/>
      <c r="AV1138" s="43"/>
      <c r="AW1138" s="43"/>
      <c r="AX1138" s="114" t="s">
        <v>76</v>
      </c>
      <c r="AY1138" s="43"/>
      <c r="AZ1138" s="43"/>
      <c r="BA1138" s="43"/>
      <c r="BB1138" s="43"/>
    </row>
    <row r="1139" spans="2:54" ht="12.75" customHeight="1">
      <c r="B1139" s="320"/>
      <c r="C1139" s="134"/>
      <c r="D1139" s="98"/>
      <c r="E1139" s="504"/>
      <c r="F1139" s="306"/>
      <c r="G1139" s="265"/>
      <c r="H1139" s="266"/>
      <c r="I1139" s="297"/>
      <c r="J1139" s="298"/>
      <c r="K1139" s="298"/>
      <c r="L1139" s="298"/>
      <c r="M1139" s="41"/>
      <c r="N1139" s="21"/>
      <c r="O1139" s="21"/>
      <c r="P1139" s="21"/>
      <c r="Q1139" s="326"/>
      <c r="R1139" s="40"/>
      <c r="S1139" s="84"/>
      <c r="T1139" s="40"/>
      <c r="U1139" s="42"/>
      <c r="V1139" s="78"/>
      <c r="Z1139" s="181"/>
      <c r="AA1139" s="183"/>
      <c r="AC1139" s="26"/>
      <c r="AD1139" s="279"/>
      <c r="AE1139" s="26"/>
      <c r="AF1139" s="26"/>
      <c r="AG1139" s="278" t="str">
        <f t="shared" si="130"/>
        <v/>
      </c>
      <c r="AH1139" s="278" t="str">
        <f t="shared" si="131"/>
        <v/>
      </c>
      <c r="AJ1139" s="25"/>
      <c r="AK1139" s="25"/>
      <c r="AL1139" s="25"/>
      <c r="AM1139" s="25"/>
      <c r="AN1139" s="25"/>
      <c r="AO1139" s="25"/>
      <c r="AP1139" s="25"/>
      <c r="AQ1139" s="25"/>
      <c r="AR1139" s="25"/>
      <c r="AS1139" s="25"/>
      <c r="AT1139" s="25"/>
      <c r="AU1139" s="25"/>
      <c r="AV1139" s="43"/>
      <c r="AW1139" s="43"/>
      <c r="AX1139" s="114" t="s">
        <v>76</v>
      </c>
      <c r="AY1139" s="43"/>
      <c r="AZ1139" s="43"/>
      <c r="BA1139" s="43"/>
      <c r="BB1139" s="43"/>
    </row>
    <row r="1140" spans="2:54" ht="12.75" customHeight="1">
      <c r="B1140" s="320"/>
      <c r="C1140" s="134"/>
      <c r="D1140" s="98"/>
      <c r="E1140" s="504"/>
      <c r="F1140" s="306"/>
      <c r="G1140" s="265"/>
      <c r="H1140" s="266"/>
      <c r="I1140" s="297"/>
      <c r="J1140" s="298"/>
      <c r="K1140" s="298"/>
      <c r="L1140" s="298"/>
      <c r="M1140" s="41"/>
      <c r="N1140" s="21"/>
      <c r="O1140" s="21"/>
      <c r="P1140" s="21"/>
      <c r="Q1140" s="326"/>
      <c r="R1140" s="40"/>
      <c r="S1140" s="84"/>
      <c r="T1140" s="40"/>
      <c r="U1140" s="42"/>
      <c r="V1140" s="78"/>
      <c r="Z1140" s="181"/>
      <c r="AA1140" s="183"/>
      <c r="AC1140" s="26"/>
      <c r="AD1140" s="279"/>
      <c r="AE1140" s="26"/>
      <c r="AF1140" s="26"/>
      <c r="AG1140" s="278" t="str">
        <f t="shared" si="130"/>
        <v/>
      </c>
      <c r="AH1140" s="278" t="str">
        <f t="shared" si="131"/>
        <v/>
      </c>
      <c r="AJ1140" s="25"/>
      <c r="AK1140" s="25"/>
      <c r="AL1140" s="25"/>
      <c r="AM1140" s="25"/>
      <c r="AN1140" s="25"/>
      <c r="AO1140" s="25"/>
      <c r="AP1140" s="25"/>
      <c r="AQ1140" s="25"/>
      <c r="AR1140" s="25"/>
      <c r="AS1140" s="25"/>
      <c r="AT1140" s="25"/>
      <c r="AU1140" s="25"/>
      <c r="AV1140" s="43"/>
      <c r="AW1140" s="43"/>
      <c r="AX1140" s="114" t="s">
        <v>76</v>
      </c>
      <c r="AY1140" s="43"/>
      <c r="AZ1140" s="43"/>
      <c r="BA1140" s="43"/>
      <c r="BB1140" s="43"/>
    </row>
    <row r="1141" spans="2:54" ht="12.75" customHeight="1">
      <c r="B1141" s="320"/>
      <c r="C1141" s="134"/>
      <c r="D1141" s="98"/>
      <c r="E1141" s="504"/>
      <c r="F1141" s="306"/>
      <c r="G1141" s="265"/>
      <c r="H1141" s="266"/>
      <c r="I1141" s="297"/>
      <c r="J1141" s="298"/>
      <c r="K1141" s="298"/>
      <c r="L1141" s="298"/>
      <c r="M1141" s="41"/>
      <c r="N1141" s="21"/>
      <c r="O1141" s="21"/>
      <c r="P1141" s="21"/>
      <c r="Q1141" s="326"/>
      <c r="R1141" s="40"/>
      <c r="S1141" s="84"/>
      <c r="T1141" s="40"/>
      <c r="U1141" s="42"/>
      <c r="V1141" s="78"/>
      <c r="Z1141" s="181"/>
      <c r="AA1141" s="183"/>
      <c r="AC1141" s="26"/>
      <c r="AD1141" s="279"/>
      <c r="AE1141" s="26"/>
      <c r="AF1141" s="26"/>
      <c r="AG1141" s="278" t="str">
        <f t="shared" si="130"/>
        <v/>
      </c>
      <c r="AH1141" s="278" t="str">
        <f t="shared" si="131"/>
        <v/>
      </c>
      <c r="AJ1141" s="25"/>
      <c r="AK1141" s="25"/>
      <c r="AL1141" s="25"/>
      <c r="AM1141" s="25"/>
      <c r="AN1141" s="25"/>
      <c r="AO1141" s="25"/>
      <c r="AP1141" s="25"/>
      <c r="AQ1141" s="25"/>
      <c r="AR1141" s="25"/>
      <c r="AS1141" s="25"/>
      <c r="AT1141" s="25"/>
      <c r="AU1141" s="25"/>
      <c r="AV1141" s="43"/>
      <c r="AW1141" s="43"/>
      <c r="AX1141" s="114" t="s">
        <v>76</v>
      </c>
      <c r="AY1141" s="43"/>
      <c r="AZ1141" s="43"/>
      <c r="BA1141" s="43"/>
      <c r="BB1141" s="43"/>
    </row>
    <row r="1142" spans="2:54" ht="12.75" customHeight="1">
      <c r="B1142" s="320"/>
      <c r="C1142" s="134"/>
      <c r="D1142" s="98"/>
      <c r="E1142" s="504"/>
      <c r="F1142" s="306"/>
      <c r="G1142" s="265"/>
      <c r="H1142" s="266"/>
      <c r="I1142" s="297"/>
      <c r="J1142" s="298"/>
      <c r="K1142" s="298"/>
      <c r="L1142" s="298"/>
      <c r="M1142" s="41"/>
      <c r="N1142" s="21"/>
      <c r="O1142" s="21"/>
      <c r="P1142" s="21"/>
      <c r="Q1142" s="326"/>
      <c r="R1142" s="40"/>
      <c r="S1142" s="84"/>
      <c r="T1142" s="40"/>
      <c r="U1142" s="42"/>
      <c r="V1142" s="78"/>
      <c r="Z1142" s="181"/>
      <c r="AA1142" s="183"/>
      <c r="AC1142" s="26"/>
      <c r="AD1142" s="279"/>
      <c r="AE1142" s="26"/>
      <c r="AF1142" s="26"/>
      <c r="AG1142" s="278" t="str">
        <f t="shared" si="130"/>
        <v/>
      </c>
      <c r="AH1142" s="278" t="str">
        <f t="shared" si="131"/>
        <v/>
      </c>
      <c r="AJ1142" s="25"/>
      <c r="AK1142" s="25"/>
      <c r="AL1142" s="25"/>
      <c r="AM1142" s="25"/>
      <c r="AN1142" s="25"/>
      <c r="AO1142" s="25"/>
      <c r="AP1142" s="25"/>
      <c r="AQ1142" s="25"/>
      <c r="AR1142" s="25"/>
      <c r="AS1142" s="25"/>
      <c r="AT1142" s="25"/>
      <c r="AU1142" s="25"/>
      <c r="AV1142" s="43"/>
      <c r="AW1142" s="43"/>
      <c r="AX1142" s="114" t="s">
        <v>76</v>
      </c>
      <c r="AY1142" s="43"/>
      <c r="AZ1142" s="43"/>
      <c r="BA1142" s="43"/>
      <c r="BB1142" s="43"/>
    </row>
    <row r="1143" spans="2:54" ht="12.75" customHeight="1">
      <c r="B1143" s="320"/>
      <c r="C1143" s="134"/>
      <c r="D1143" s="98"/>
      <c r="E1143" s="504"/>
      <c r="F1143" s="306"/>
      <c r="G1143" s="265"/>
      <c r="H1143" s="266"/>
      <c r="I1143" s="297"/>
      <c r="J1143" s="298"/>
      <c r="K1143" s="298"/>
      <c r="L1143" s="298"/>
      <c r="M1143" s="41"/>
      <c r="N1143" s="21"/>
      <c r="O1143" s="21"/>
      <c r="P1143" s="21"/>
      <c r="Q1143" s="326"/>
      <c r="R1143" s="40"/>
      <c r="S1143" s="84"/>
      <c r="T1143" s="40"/>
      <c r="U1143" s="42"/>
      <c r="V1143" s="78"/>
      <c r="Z1143" s="181"/>
      <c r="AA1143" s="183"/>
      <c r="AC1143" s="26"/>
      <c r="AD1143" s="279"/>
      <c r="AE1143" s="26"/>
      <c r="AF1143" s="26"/>
      <c r="AG1143" s="278" t="str">
        <f t="shared" si="130"/>
        <v/>
      </c>
      <c r="AH1143" s="278" t="str">
        <f t="shared" si="131"/>
        <v/>
      </c>
      <c r="AJ1143" s="25"/>
      <c r="AK1143" s="25"/>
      <c r="AL1143" s="25"/>
      <c r="AM1143" s="25"/>
      <c r="AN1143" s="25"/>
      <c r="AO1143" s="25"/>
      <c r="AP1143" s="25"/>
      <c r="AQ1143" s="25"/>
      <c r="AR1143" s="25"/>
      <c r="AS1143" s="25"/>
      <c r="AT1143" s="25"/>
      <c r="AU1143" s="25"/>
      <c r="AV1143" s="43"/>
      <c r="AW1143" s="43"/>
      <c r="AX1143" s="114" t="s">
        <v>76</v>
      </c>
      <c r="AY1143" s="43"/>
      <c r="AZ1143" s="43"/>
      <c r="BA1143" s="43"/>
      <c r="BB1143" s="43"/>
    </row>
    <row r="1144" spans="2:54" ht="12.75" customHeight="1">
      <c r="B1144" s="320"/>
      <c r="C1144" s="134"/>
      <c r="D1144" s="98"/>
      <c r="E1144" s="504"/>
      <c r="F1144" s="306"/>
      <c r="G1144" s="265"/>
      <c r="H1144" s="266"/>
      <c r="I1144" s="297"/>
      <c r="J1144" s="298"/>
      <c r="K1144" s="298"/>
      <c r="L1144" s="298"/>
      <c r="M1144" s="41"/>
      <c r="N1144" s="21"/>
      <c r="O1144" s="21"/>
      <c r="P1144" s="21"/>
      <c r="Q1144" s="326"/>
      <c r="R1144" s="40"/>
      <c r="S1144" s="84"/>
      <c r="T1144" s="40"/>
      <c r="U1144" s="42"/>
      <c r="V1144" s="78"/>
      <c r="Z1144" s="181"/>
      <c r="AA1144" s="183"/>
      <c r="AC1144" s="26"/>
      <c r="AD1144" s="279"/>
      <c r="AE1144" s="26"/>
      <c r="AF1144" s="26"/>
      <c r="AG1144" s="278" t="str">
        <f t="shared" si="130"/>
        <v/>
      </c>
      <c r="AH1144" s="278" t="str">
        <f t="shared" si="131"/>
        <v/>
      </c>
      <c r="AJ1144" s="25"/>
      <c r="AK1144" s="25"/>
      <c r="AL1144" s="25"/>
      <c r="AM1144" s="25"/>
      <c r="AN1144" s="25"/>
      <c r="AO1144" s="25"/>
      <c r="AP1144" s="25"/>
      <c r="AQ1144" s="25"/>
      <c r="AR1144" s="25"/>
      <c r="AS1144" s="25"/>
      <c r="AT1144" s="25"/>
      <c r="AU1144" s="25"/>
      <c r="AV1144" s="43"/>
      <c r="AW1144" s="43"/>
      <c r="AX1144" s="114" t="s">
        <v>76</v>
      </c>
      <c r="AY1144" s="43"/>
      <c r="AZ1144" s="43"/>
      <c r="BA1144" s="43"/>
      <c r="BB1144" s="43"/>
    </row>
    <row r="1145" spans="2:54" ht="12.75" customHeight="1">
      <c r="B1145" s="320"/>
      <c r="C1145" s="134"/>
      <c r="D1145" s="98"/>
      <c r="E1145" s="504"/>
      <c r="F1145" s="306"/>
      <c r="G1145" s="265"/>
      <c r="H1145" s="266"/>
      <c r="I1145" s="297"/>
      <c r="J1145" s="298"/>
      <c r="K1145" s="298"/>
      <c r="L1145" s="298"/>
      <c r="M1145" s="41"/>
      <c r="N1145" s="21"/>
      <c r="O1145" s="21"/>
      <c r="P1145" s="21"/>
      <c r="Q1145" s="326"/>
      <c r="R1145" s="40"/>
      <c r="S1145" s="84"/>
      <c r="T1145" s="40"/>
      <c r="U1145" s="42"/>
      <c r="V1145" s="78"/>
      <c r="Z1145" s="181"/>
      <c r="AA1145" s="183"/>
      <c r="AC1145" s="26"/>
      <c r="AD1145" s="279"/>
      <c r="AE1145" s="26"/>
      <c r="AF1145" s="26"/>
      <c r="AG1145" s="278" t="str">
        <f t="shared" si="130"/>
        <v/>
      </c>
      <c r="AH1145" s="278" t="str">
        <f t="shared" si="131"/>
        <v/>
      </c>
      <c r="AJ1145" s="25"/>
      <c r="AK1145" s="25"/>
      <c r="AL1145" s="25"/>
      <c r="AM1145" s="25"/>
      <c r="AN1145" s="25"/>
      <c r="AO1145" s="25"/>
      <c r="AP1145" s="25"/>
      <c r="AQ1145" s="25"/>
      <c r="AR1145" s="25"/>
      <c r="AS1145" s="25"/>
      <c r="AT1145" s="25"/>
      <c r="AU1145" s="25"/>
      <c r="AV1145" s="43"/>
      <c r="AW1145" s="43"/>
      <c r="AX1145" s="114" t="s">
        <v>76</v>
      </c>
      <c r="AY1145" s="43"/>
      <c r="AZ1145" s="43"/>
      <c r="BA1145" s="43"/>
      <c r="BB1145" s="43"/>
    </row>
    <row r="1146" spans="2:54" ht="12.75" customHeight="1">
      <c r="B1146" s="320"/>
      <c r="C1146" s="134"/>
      <c r="D1146" s="98"/>
      <c r="E1146" s="504"/>
      <c r="F1146" s="306"/>
      <c r="G1146" s="265"/>
      <c r="H1146" s="266"/>
      <c r="I1146" s="297"/>
      <c r="J1146" s="298"/>
      <c r="K1146" s="298"/>
      <c r="L1146" s="298"/>
      <c r="M1146" s="41"/>
      <c r="N1146" s="21"/>
      <c r="O1146" s="21"/>
      <c r="P1146" s="21"/>
      <c r="Q1146" s="326"/>
      <c r="R1146" s="40"/>
      <c r="S1146" s="84"/>
      <c r="T1146" s="40"/>
      <c r="U1146" s="42"/>
      <c r="V1146" s="78"/>
      <c r="Z1146" s="181"/>
      <c r="AA1146" s="183"/>
      <c r="AC1146" s="26"/>
      <c r="AD1146" s="279"/>
      <c r="AE1146" s="26"/>
      <c r="AF1146" s="26"/>
      <c r="AG1146" s="278" t="str">
        <f t="shared" si="130"/>
        <v/>
      </c>
      <c r="AH1146" s="278" t="str">
        <f t="shared" si="131"/>
        <v/>
      </c>
      <c r="AJ1146" s="25"/>
      <c r="AK1146" s="25"/>
      <c r="AL1146" s="25"/>
      <c r="AM1146" s="25"/>
      <c r="AN1146" s="25"/>
      <c r="AO1146" s="25"/>
      <c r="AP1146" s="25"/>
      <c r="AQ1146" s="25"/>
      <c r="AR1146" s="25"/>
      <c r="AS1146" s="25"/>
      <c r="AT1146" s="25"/>
      <c r="AU1146" s="25"/>
      <c r="AV1146" s="43"/>
      <c r="AW1146" s="43"/>
      <c r="AX1146" s="114" t="s">
        <v>76</v>
      </c>
      <c r="AY1146" s="43"/>
      <c r="AZ1146" s="43"/>
      <c r="BA1146" s="43"/>
      <c r="BB1146" s="43"/>
    </row>
    <row r="1147" spans="2:54" ht="12.75" customHeight="1">
      <c r="B1147" s="320"/>
      <c r="C1147" s="134"/>
      <c r="D1147" s="98"/>
      <c r="E1147" s="504"/>
      <c r="F1147" s="306"/>
      <c r="G1147" s="265"/>
      <c r="H1147" s="266"/>
      <c r="I1147" s="297"/>
      <c r="J1147" s="298"/>
      <c r="K1147" s="298"/>
      <c r="L1147" s="298"/>
      <c r="M1147" s="41"/>
      <c r="N1147" s="21"/>
      <c r="O1147" s="21"/>
      <c r="P1147" s="21"/>
      <c r="Q1147" s="326"/>
      <c r="R1147" s="40"/>
      <c r="S1147" s="84"/>
      <c r="T1147" s="40"/>
      <c r="U1147" s="42"/>
      <c r="V1147" s="78"/>
      <c r="Z1147" s="181"/>
      <c r="AA1147" s="183"/>
      <c r="AC1147" s="26"/>
      <c r="AD1147" s="279"/>
      <c r="AE1147" s="26"/>
      <c r="AF1147" s="26"/>
      <c r="AG1147" s="278" t="str">
        <f t="shared" si="130"/>
        <v/>
      </c>
      <c r="AH1147" s="278" t="str">
        <f t="shared" si="131"/>
        <v/>
      </c>
      <c r="AJ1147" s="25"/>
      <c r="AK1147" s="25"/>
      <c r="AL1147" s="25"/>
      <c r="AM1147" s="25"/>
      <c r="AN1147" s="25"/>
      <c r="AO1147" s="25"/>
      <c r="AP1147" s="25"/>
      <c r="AQ1147" s="25"/>
      <c r="AR1147" s="25"/>
      <c r="AS1147" s="25"/>
      <c r="AT1147" s="25"/>
      <c r="AU1147" s="25"/>
      <c r="AV1147" s="43"/>
      <c r="AW1147" s="43"/>
      <c r="AX1147" s="114" t="s">
        <v>76</v>
      </c>
      <c r="AY1147" s="43"/>
      <c r="AZ1147" s="43"/>
      <c r="BA1147" s="43"/>
      <c r="BB1147" s="43"/>
    </row>
    <row r="1148" spans="2:54" ht="12.75" customHeight="1">
      <c r="B1148" s="320"/>
      <c r="C1148" s="134"/>
      <c r="D1148" s="98"/>
      <c r="E1148" s="504"/>
      <c r="F1148" s="306"/>
      <c r="G1148" s="265"/>
      <c r="H1148" s="266"/>
      <c r="I1148" s="297"/>
      <c r="J1148" s="298"/>
      <c r="K1148" s="298"/>
      <c r="L1148" s="298"/>
      <c r="M1148" s="41"/>
      <c r="N1148" s="21"/>
      <c r="O1148" s="21"/>
      <c r="P1148" s="21"/>
      <c r="Q1148" s="326"/>
      <c r="R1148" s="40"/>
      <c r="S1148" s="84"/>
      <c r="T1148" s="40"/>
      <c r="U1148" s="42"/>
      <c r="V1148" s="78"/>
      <c r="Z1148" s="181"/>
      <c r="AA1148" s="183"/>
      <c r="AC1148" s="26"/>
      <c r="AD1148" s="279"/>
      <c r="AE1148" s="26"/>
      <c r="AF1148" s="26"/>
      <c r="AG1148" s="278" t="str">
        <f t="shared" si="130"/>
        <v/>
      </c>
      <c r="AH1148" s="278" t="str">
        <f t="shared" si="131"/>
        <v/>
      </c>
      <c r="AJ1148" s="25"/>
      <c r="AK1148" s="25"/>
      <c r="AL1148" s="25"/>
      <c r="AM1148" s="25"/>
      <c r="AN1148" s="25"/>
      <c r="AO1148" s="25"/>
      <c r="AP1148" s="25"/>
      <c r="AQ1148" s="25"/>
      <c r="AR1148" s="25"/>
      <c r="AS1148" s="25"/>
      <c r="AT1148" s="25"/>
      <c r="AU1148" s="25"/>
      <c r="AV1148" s="43"/>
      <c r="AW1148" s="43"/>
      <c r="AX1148" s="114" t="s">
        <v>76</v>
      </c>
      <c r="AY1148" s="43"/>
      <c r="AZ1148" s="43"/>
      <c r="BA1148" s="43"/>
      <c r="BB1148" s="43"/>
    </row>
    <row r="1149" spans="2:54" ht="12.75" customHeight="1">
      <c r="B1149" s="320"/>
      <c r="C1149" s="134"/>
      <c r="D1149" s="98"/>
      <c r="E1149" s="504"/>
      <c r="F1149" s="306"/>
      <c r="G1149" s="265"/>
      <c r="H1149" s="266"/>
      <c r="I1149" s="297"/>
      <c r="J1149" s="298"/>
      <c r="K1149" s="298"/>
      <c r="L1149" s="298"/>
      <c r="M1149" s="41"/>
      <c r="N1149" s="21"/>
      <c r="O1149" s="21"/>
      <c r="P1149" s="21"/>
      <c r="Q1149" s="326"/>
      <c r="R1149" s="40"/>
      <c r="S1149" s="84"/>
      <c r="T1149" s="40"/>
      <c r="U1149" s="42"/>
      <c r="V1149" s="78"/>
      <c r="Z1149" s="181"/>
      <c r="AA1149" s="183"/>
      <c r="AC1149" s="26"/>
      <c r="AD1149" s="279"/>
      <c r="AE1149" s="26"/>
      <c r="AF1149" s="26"/>
      <c r="AG1149" s="278" t="str">
        <f t="shared" si="130"/>
        <v/>
      </c>
      <c r="AH1149" s="278" t="str">
        <f t="shared" si="131"/>
        <v/>
      </c>
      <c r="AJ1149" s="25"/>
      <c r="AK1149" s="25"/>
      <c r="AL1149" s="25"/>
      <c r="AM1149" s="25"/>
      <c r="AN1149" s="25"/>
      <c r="AO1149" s="25"/>
      <c r="AP1149" s="25"/>
      <c r="AQ1149" s="25"/>
      <c r="AR1149" s="25"/>
      <c r="AS1149" s="25"/>
      <c r="AT1149" s="25"/>
      <c r="AU1149" s="25"/>
      <c r="AV1149" s="43"/>
      <c r="AW1149" s="43"/>
      <c r="AX1149" s="114" t="s">
        <v>76</v>
      </c>
      <c r="AY1149" s="43"/>
      <c r="AZ1149" s="43"/>
      <c r="BA1149" s="43"/>
      <c r="BB1149" s="43"/>
    </row>
    <row r="1150" spans="2:54" ht="12.75" customHeight="1">
      <c r="B1150" s="320"/>
      <c r="C1150" s="134"/>
      <c r="D1150" s="98"/>
      <c r="E1150" s="504"/>
      <c r="F1150" s="306"/>
      <c r="G1150" s="265"/>
      <c r="H1150" s="266"/>
      <c r="I1150" s="297"/>
      <c r="J1150" s="298"/>
      <c r="K1150" s="298"/>
      <c r="L1150" s="298"/>
      <c r="M1150" s="41"/>
      <c r="N1150" s="21"/>
      <c r="O1150" s="21"/>
      <c r="P1150" s="21"/>
      <c r="Q1150" s="326"/>
      <c r="R1150" s="40"/>
      <c r="S1150" s="84"/>
      <c r="T1150" s="40"/>
      <c r="U1150" s="42"/>
      <c r="V1150" s="78"/>
      <c r="Z1150" s="181"/>
      <c r="AA1150" s="183"/>
      <c r="AC1150" s="26"/>
      <c r="AD1150" s="279"/>
      <c r="AE1150" s="26"/>
      <c r="AF1150" s="26"/>
      <c r="AG1150" s="278" t="str">
        <f t="shared" si="130"/>
        <v/>
      </c>
      <c r="AH1150" s="278" t="str">
        <f t="shared" si="131"/>
        <v/>
      </c>
      <c r="AJ1150" s="25"/>
      <c r="AK1150" s="25"/>
      <c r="AL1150" s="25"/>
      <c r="AM1150" s="25"/>
      <c r="AN1150" s="25"/>
      <c r="AO1150" s="25"/>
      <c r="AP1150" s="25"/>
      <c r="AQ1150" s="25"/>
      <c r="AR1150" s="25"/>
      <c r="AS1150" s="25"/>
      <c r="AT1150" s="25"/>
      <c r="AU1150" s="25"/>
      <c r="AV1150" s="43"/>
      <c r="AW1150" s="43"/>
      <c r="AX1150" s="114" t="s">
        <v>76</v>
      </c>
      <c r="AY1150" s="43"/>
      <c r="AZ1150" s="43"/>
      <c r="BA1150" s="43"/>
      <c r="BB1150" s="43"/>
    </row>
    <row r="1151" spans="2:54" ht="12.75" customHeight="1">
      <c r="B1151" s="320"/>
      <c r="C1151" s="134"/>
      <c r="D1151" s="98"/>
      <c r="E1151" s="504"/>
      <c r="F1151" s="306"/>
      <c r="G1151" s="265"/>
      <c r="H1151" s="266"/>
      <c r="I1151" s="297"/>
      <c r="J1151" s="298"/>
      <c r="K1151" s="298"/>
      <c r="L1151" s="298"/>
      <c r="M1151" s="41"/>
      <c r="N1151" s="21"/>
      <c r="O1151" s="21"/>
      <c r="P1151" s="21"/>
      <c r="Q1151" s="326"/>
      <c r="R1151" s="40"/>
      <c r="S1151" s="84"/>
      <c r="T1151" s="40"/>
      <c r="U1151" s="42"/>
      <c r="V1151" s="78"/>
      <c r="Z1151" s="181"/>
      <c r="AA1151" s="183"/>
      <c r="AC1151" s="26"/>
      <c r="AD1151" s="279"/>
      <c r="AE1151" s="26"/>
      <c r="AF1151" s="26"/>
      <c r="AG1151" s="278" t="str">
        <f t="shared" si="130"/>
        <v/>
      </c>
      <c r="AH1151" s="278" t="str">
        <f t="shared" si="131"/>
        <v/>
      </c>
      <c r="AJ1151" s="25"/>
      <c r="AK1151" s="25"/>
      <c r="AL1151" s="25"/>
      <c r="AM1151" s="25"/>
      <c r="AN1151" s="25"/>
      <c r="AO1151" s="25"/>
      <c r="AP1151" s="25"/>
      <c r="AQ1151" s="25"/>
      <c r="AR1151" s="25"/>
      <c r="AS1151" s="25"/>
      <c r="AT1151" s="25"/>
      <c r="AU1151" s="25"/>
      <c r="AV1151" s="43"/>
      <c r="AW1151" s="43"/>
      <c r="AX1151" s="114" t="s">
        <v>76</v>
      </c>
      <c r="AY1151" s="43"/>
      <c r="AZ1151" s="43"/>
      <c r="BA1151" s="43"/>
      <c r="BB1151" s="43"/>
    </row>
    <row r="1152" spans="2:54" ht="12.75" customHeight="1">
      <c r="B1152" s="320"/>
      <c r="C1152" s="134"/>
      <c r="D1152" s="98"/>
      <c r="E1152" s="504"/>
      <c r="F1152" s="306"/>
      <c r="G1152" s="265"/>
      <c r="H1152" s="266"/>
      <c r="I1152" s="297"/>
      <c r="J1152" s="298"/>
      <c r="K1152" s="298"/>
      <c r="L1152" s="298"/>
      <c r="M1152" s="41"/>
      <c r="N1152" s="21"/>
      <c r="O1152" s="21"/>
      <c r="P1152" s="21"/>
      <c r="Q1152" s="326"/>
      <c r="R1152" s="40"/>
      <c r="S1152" s="84"/>
      <c r="T1152" s="40"/>
      <c r="U1152" s="42"/>
      <c r="V1152" s="78"/>
      <c r="Z1152" s="181"/>
      <c r="AA1152" s="183"/>
      <c r="AC1152" s="26"/>
      <c r="AD1152" s="279"/>
      <c r="AE1152" s="26"/>
      <c r="AF1152" s="26"/>
      <c r="AG1152" s="278" t="str">
        <f t="shared" si="130"/>
        <v/>
      </c>
      <c r="AH1152" s="278" t="str">
        <f t="shared" si="131"/>
        <v/>
      </c>
      <c r="AJ1152" s="25"/>
      <c r="AK1152" s="25"/>
      <c r="AL1152" s="25"/>
      <c r="AM1152" s="25"/>
      <c r="AN1152" s="25"/>
      <c r="AO1152" s="25"/>
      <c r="AP1152" s="25"/>
      <c r="AQ1152" s="25"/>
      <c r="AR1152" s="25"/>
      <c r="AS1152" s="25"/>
      <c r="AT1152" s="25"/>
      <c r="AU1152" s="25"/>
      <c r="AV1152" s="43"/>
      <c r="AW1152" s="43"/>
      <c r="AX1152" s="114" t="s">
        <v>76</v>
      </c>
      <c r="AY1152" s="43"/>
      <c r="AZ1152" s="43"/>
      <c r="BA1152" s="43"/>
      <c r="BB1152" s="43"/>
    </row>
    <row r="1153" spans="2:54" ht="12.75" customHeight="1">
      <c r="B1153" s="320"/>
      <c r="C1153" s="134"/>
      <c r="D1153" s="98"/>
      <c r="E1153" s="504"/>
      <c r="F1153" s="306"/>
      <c r="G1153" s="265"/>
      <c r="H1153" s="266"/>
      <c r="I1153" s="297"/>
      <c r="J1153" s="298"/>
      <c r="K1153" s="298"/>
      <c r="L1153" s="298"/>
      <c r="M1153" s="41"/>
      <c r="N1153" s="21"/>
      <c r="O1153" s="21"/>
      <c r="P1153" s="21"/>
      <c r="Q1153" s="326"/>
      <c r="R1153" s="40"/>
      <c r="S1153" s="84"/>
      <c r="T1153" s="40"/>
      <c r="U1153" s="42"/>
      <c r="V1153" s="78"/>
      <c r="Z1153" s="181"/>
      <c r="AA1153" s="183"/>
      <c r="AC1153" s="26"/>
      <c r="AD1153" s="279"/>
      <c r="AE1153" s="26"/>
      <c r="AF1153" s="26"/>
      <c r="AG1153" s="278" t="str">
        <f t="shared" si="130"/>
        <v/>
      </c>
      <c r="AH1153" s="278" t="str">
        <f t="shared" si="131"/>
        <v/>
      </c>
      <c r="AJ1153" s="25"/>
      <c r="AK1153" s="25"/>
      <c r="AL1153" s="25"/>
      <c r="AM1153" s="25"/>
      <c r="AN1153" s="25"/>
      <c r="AO1153" s="25"/>
      <c r="AP1153" s="25"/>
      <c r="AQ1153" s="25"/>
      <c r="AR1153" s="25"/>
      <c r="AS1153" s="25"/>
      <c r="AT1153" s="25"/>
      <c r="AU1153" s="25"/>
      <c r="AV1153" s="43"/>
      <c r="AW1153" s="43"/>
      <c r="AX1153" s="114" t="s">
        <v>76</v>
      </c>
      <c r="AY1153" s="43"/>
      <c r="AZ1153" s="43"/>
      <c r="BA1153" s="43"/>
      <c r="BB1153" s="43"/>
    </row>
    <row r="1154" spans="2:54" ht="12.75" customHeight="1">
      <c r="B1154" s="320"/>
      <c r="C1154" s="134"/>
      <c r="D1154" s="98"/>
      <c r="E1154" s="504"/>
      <c r="F1154" s="306"/>
      <c r="G1154" s="265"/>
      <c r="H1154" s="266"/>
      <c r="I1154" s="297"/>
      <c r="J1154" s="298"/>
      <c r="K1154" s="298"/>
      <c r="L1154" s="298"/>
      <c r="M1154" s="41"/>
      <c r="N1154" s="21"/>
      <c r="O1154" s="21"/>
      <c r="P1154" s="21"/>
      <c r="Q1154" s="326"/>
      <c r="R1154" s="40"/>
      <c r="S1154" s="84"/>
      <c r="T1154" s="40"/>
      <c r="U1154" s="42"/>
      <c r="V1154" s="78"/>
      <c r="Z1154" s="181"/>
      <c r="AA1154" s="183"/>
      <c r="AC1154" s="26"/>
      <c r="AD1154" s="279"/>
      <c r="AE1154" s="26"/>
      <c r="AF1154" s="26"/>
      <c r="AG1154" s="278" t="str">
        <f t="shared" si="130"/>
        <v/>
      </c>
      <c r="AH1154" s="278" t="str">
        <f t="shared" si="131"/>
        <v/>
      </c>
      <c r="AJ1154" s="25"/>
      <c r="AK1154" s="25"/>
      <c r="AL1154" s="25"/>
      <c r="AM1154" s="25"/>
      <c r="AN1154" s="25"/>
      <c r="AO1154" s="25"/>
      <c r="AP1154" s="25"/>
      <c r="AQ1154" s="25"/>
      <c r="AR1154" s="25"/>
      <c r="AS1154" s="25"/>
      <c r="AT1154" s="25"/>
      <c r="AU1154" s="25"/>
      <c r="AV1154" s="43"/>
      <c r="AW1154" s="43"/>
      <c r="AX1154" s="114" t="s">
        <v>76</v>
      </c>
      <c r="AY1154" s="43"/>
      <c r="AZ1154" s="43"/>
      <c r="BA1154" s="43"/>
      <c r="BB1154" s="43"/>
    </row>
    <row r="1155" spans="2:54" ht="12.75" customHeight="1">
      <c r="B1155" s="320"/>
      <c r="C1155" s="134"/>
      <c r="D1155" s="98"/>
      <c r="E1155" s="504"/>
      <c r="F1155" s="306"/>
      <c r="G1155" s="265"/>
      <c r="H1155" s="266"/>
      <c r="I1155" s="297"/>
      <c r="J1155" s="298"/>
      <c r="K1155" s="298"/>
      <c r="L1155" s="298"/>
      <c r="M1155" s="41"/>
      <c r="N1155" s="21"/>
      <c r="O1155" s="21"/>
      <c r="P1155" s="21"/>
      <c r="Q1155" s="326"/>
      <c r="R1155" s="40"/>
      <c r="S1155" s="84"/>
      <c r="T1155" s="40"/>
      <c r="U1155" s="42"/>
      <c r="V1155" s="78"/>
      <c r="Z1155" s="181"/>
      <c r="AA1155" s="183"/>
      <c r="AC1155" s="26"/>
      <c r="AD1155" s="279"/>
      <c r="AE1155" s="26"/>
      <c r="AF1155" s="26"/>
      <c r="AG1155" s="278" t="str">
        <f t="shared" si="130"/>
        <v/>
      </c>
      <c r="AH1155" s="278" t="str">
        <f t="shared" si="131"/>
        <v/>
      </c>
      <c r="AJ1155" s="25"/>
      <c r="AK1155" s="25"/>
      <c r="AL1155" s="25"/>
      <c r="AM1155" s="25"/>
      <c r="AN1155" s="25"/>
      <c r="AO1155" s="25"/>
      <c r="AP1155" s="25"/>
      <c r="AQ1155" s="25"/>
      <c r="AR1155" s="25"/>
      <c r="AS1155" s="25"/>
      <c r="AT1155" s="25"/>
      <c r="AU1155" s="25"/>
      <c r="AV1155" s="43"/>
      <c r="AW1155" s="43"/>
      <c r="AX1155" s="114" t="s">
        <v>76</v>
      </c>
      <c r="AY1155" s="43"/>
      <c r="AZ1155" s="43"/>
      <c r="BA1155" s="43"/>
      <c r="BB1155" s="43"/>
    </row>
    <row r="1156" spans="2:54" ht="12.75" customHeight="1">
      <c r="B1156" s="320"/>
      <c r="C1156" s="134"/>
      <c r="D1156" s="98"/>
      <c r="E1156" s="504"/>
      <c r="F1156" s="306"/>
      <c r="G1156" s="265"/>
      <c r="H1156" s="266"/>
      <c r="I1156" s="297"/>
      <c r="J1156" s="298"/>
      <c r="K1156" s="298"/>
      <c r="L1156" s="298"/>
      <c r="M1156" s="41"/>
      <c r="N1156" s="21"/>
      <c r="O1156" s="21"/>
      <c r="P1156" s="21"/>
      <c r="Q1156" s="326"/>
      <c r="R1156" s="40"/>
      <c r="S1156" s="84"/>
      <c r="T1156" s="40"/>
      <c r="U1156" s="42"/>
      <c r="V1156" s="78"/>
      <c r="Z1156" s="181"/>
      <c r="AA1156" s="183"/>
      <c r="AC1156" s="26"/>
      <c r="AD1156" s="279"/>
      <c r="AE1156" s="26"/>
      <c r="AF1156" s="26"/>
      <c r="AG1156" s="278" t="str">
        <f t="shared" si="130"/>
        <v/>
      </c>
      <c r="AH1156" s="278" t="str">
        <f t="shared" si="131"/>
        <v/>
      </c>
      <c r="AJ1156" s="25"/>
      <c r="AK1156" s="25"/>
      <c r="AL1156" s="25"/>
      <c r="AM1156" s="25"/>
      <c r="AN1156" s="25"/>
      <c r="AO1156" s="25"/>
      <c r="AP1156" s="25"/>
      <c r="AQ1156" s="25"/>
      <c r="AR1156" s="25"/>
      <c r="AS1156" s="25"/>
      <c r="AT1156" s="25"/>
      <c r="AU1156" s="25"/>
      <c r="AV1156" s="43"/>
      <c r="AW1156" s="43"/>
      <c r="AX1156" s="114" t="s">
        <v>76</v>
      </c>
      <c r="AY1156" s="43"/>
      <c r="AZ1156" s="43"/>
      <c r="BA1156" s="43"/>
      <c r="BB1156" s="43"/>
    </row>
    <row r="1157" spans="2:54" ht="12.75" customHeight="1">
      <c r="B1157" s="320"/>
      <c r="C1157" s="134"/>
      <c r="D1157" s="98"/>
      <c r="E1157" s="504"/>
      <c r="F1157" s="306"/>
      <c r="G1157" s="265"/>
      <c r="H1157" s="266"/>
      <c r="I1157" s="297"/>
      <c r="J1157" s="298"/>
      <c r="K1157" s="298"/>
      <c r="L1157" s="298"/>
      <c r="M1157" s="41"/>
      <c r="N1157" s="21"/>
      <c r="O1157" s="21"/>
      <c r="P1157" s="21"/>
      <c r="Q1157" s="326"/>
      <c r="R1157" s="40"/>
      <c r="S1157" s="84"/>
      <c r="T1157" s="40"/>
      <c r="U1157" s="42"/>
      <c r="V1157" s="78"/>
      <c r="Z1157" s="181"/>
      <c r="AA1157" s="183"/>
      <c r="AC1157" s="26"/>
      <c r="AD1157" s="279"/>
      <c r="AE1157" s="26"/>
      <c r="AF1157" s="26"/>
      <c r="AG1157" s="278" t="str">
        <f t="shared" si="130"/>
        <v/>
      </c>
      <c r="AH1157" s="278" t="str">
        <f t="shared" si="131"/>
        <v/>
      </c>
      <c r="AJ1157" s="25"/>
      <c r="AK1157" s="25"/>
      <c r="AL1157" s="25"/>
      <c r="AM1157" s="25"/>
      <c r="AN1157" s="25"/>
      <c r="AO1157" s="25"/>
      <c r="AP1157" s="25"/>
      <c r="AQ1157" s="25"/>
      <c r="AR1157" s="25"/>
      <c r="AS1157" s="25"/>
      <c r="AT1157" s="25"/>
      <c r="AU1157" s="25"/>
      <c r="AV1157" s="43"/>
      <c r="AW1157" s="43"/>
      <c r="AX1157" s="114" t="s">
        <v>76</v>
      </c>
      <c r="AY1157" s="43"/>
      <c r="AZ1157" s="43"/>
      <c r="BA1157" s="43"/>
      <c r="BB1157" s="43"/>
    </row>
    <row r="1158" spans="2:54" ht="12.75" customHeight="1">
      <c r="B1158" s="320"/>
      <c r="C1158" s="134"/>
      <c r="D1158" s="98"/>
      <c r="E1158" s="504"/>
      <c r="F1158" s="306"/>
      <c r="G1158" s="265"/>
      <c r="H1158" s="266"/>
      <c r="I1158" s="297"/>
      <c r="J1158" s="298"/>
      <c r="K1158" s="298"/>
      <c r="L1158" s="298"/>
      <c r="M1158" s="41"/>
      <c r="N1158" s="21"/>
      <c r="O1158" s="21"/>
      <c r="P1158" s="21"/>
      <c r="Q1158" s="326"/>
      <c r="R1158" s="40"/>
      <c r="S1158" s="84"/>
      <c r="T1158" s="40"/>
      <c r="U1158" s="42"/>
      <c r="V1158" s="78"/>
      <c r="Z1158" s="181"/>
      <c r="AA1158" s="183"/>
      <c r="AC1158" s="26"/>
      <c r="AD1158" s="279"/>
      <c r="AE1158" s="26"/>
      <c r="AF1158" s="26"/>
      <c r="AG1158" s="278" t="str">
        <f t="shared" ref="AG1158:AG1221" si="132">IF(AE1158="","",AE1158*AltBounce)</f>
        <v/>
      </c>
      <c r="AH1158" s="278" t="str">
        <f t="shared" ref="AH1158:AH1221" si="133">IF(AA1158="","",AE1158*(1/AltBounce))</f>
        <v/>
      </c>
      <c r="AJ1158" s="25"/>
      <c r="AK1158" s="25"/>
      <c r="AL1158" s="25"/>
      <c r="AM1158" s="25"/>
      <c r="AN1158" s="25"/>
      <c r="AO1158" s="25"/>
      <c r="AP1158" s="25"/>
      <c r="AQ1158" s="25"/>
      <c r="AR1158" s="25"/>
      <c r="AS1158" s="25"/>
      <c r="AT1158" s="25"/>
      <c r="AU1158" s="25"/>
      <c r="AV1158" s="43"/>
      <c r="AW1158" s="43"/>
      <c r="AX1158" s="114" t="s">
        <v>76</v>
      </c>
      <c r="AY1158" s="43"/>
      <c r="AZ1158" s="43"/>
      <c r="BA1158" s="43"/>
      <c r="BB1158" s="43"/>
    </row>
    <row r="1159" spans="2:54" ht="12.75" customHeight="1">
      <c r="B1159" s="320"/>
      <c r="C1159" s="134"/>
      <c r="D1159" s="98"/>
      <c r="E1159" s="504"/>
      <c r="F1159" s="306"/>
      <c r="G1159" s="265"/>
      <c r="H1159" s="266"/>
      <c r="I1159" s="297"/>
      <c r="J1159" s="298"/>
      <c r="K1159" s="298"/>
      <c r="L1159" s="298"/>
      <c r="M1159" s="41"/>
      <c r="N1159" s="21"/>
      <c r="O1159" s="21"/>
      <c r="P1159" s="21"/>
      <c r="Q1159" s="326"/>
      <c r="R1159" s="40"/>
      <c r="S1159" s="84"/>
      <c r="T1159" s="40"/>
      <c r="U1159" s="42"/>
      <c r="V1159" s="78"/>
      <c r="Z1159" s="181"/>
      <c r="AA1159" s="183"/>
      <c r="AC1159" s="26"/>
      <c r="AD1159" s="279"/>
      <c r="AE1159" s="26"/>
      <c r="AF1159" s="26"/>
      <c r="AG1159" s="278" t="str">
        <f t="shared" si="132"/>
        <v/>
      </c>
      <c r="AH1159" s="278" t="str">
        <f t="shared" si="133"/>
        <v/>
      </c>
      <c r="AJ1159" s="25"/>
      <c r="AK1159" s="25"/>
      <c r="AL1159" s="25"/>
      <c r="AM1159" s="25"/>
      <c r="AN1159" s="25"/>
      <c r="AO1159" s="25"/>
      <c r="AP1159" s="25"/>
      <c r="AQ1159" s="25"/>
      <c r="AR1159" s="25"/>
      <c r="AS1159" s="25"/>
      <c r="AT1159" s="25"/>
      <c r="AU1159" s="25"/>
      <c r="AV1159" s="43"/>
      <c r="AW1159" s="43"/>
      <c r="AX1159" s="114" t="s">
        <v>76</v>
      </c>
      <c r="AY1159" s="43"/>
      <c r="AZ1159" s="43"/>
      <c r="BA1159" s="43"/>
      <c r="BB1159" s="43"/>
    </row>
    <row r="1160" spans="2:54" ht="12.75" customHeight="1">
      <c r="B1160" s="320"/>
      <c r="C1160" s="134"/>
      <c r="D1160" s="98"/>
      <c r="E1160" s="504"/>
      <c r="F1160" s="306"/>
      <c r="G1160" s="265"/>
      <c r="H1160" s="266"/>
      <c r="I1160" s="297"/>
      <c r="J1160" s="298"/>
      <c r="K1160" s="298"/>
      <c r="L1160" s="298"/>
      <c r="M1160" s="41"/>
      <c r="N1160" s="21"/>
      <c r="O1160" s="21"/>
      <c r="P1160" s="21"/>
      <c r="Q1160" s="326"/>
      <c r="R1160" s="40"/>
      <c r="S1160" s="84"/>
      <c r="T1160" s="40"/>
      <c r="U1160" s="42"/>
      <c r="V1160" s="78"/>
      <c r="Z1160" s="181"/>
      <c r="AA1160" s="183"/>
      <c r="AC1160" s="26"/>
      <c r="AD1160" s="279"/>
      <c r="AE1160" s="26"/>
      <c r="AF1160" s="26"/>
      <c r="AG1160" s="278" t="str">
        <f t="shared" si="132"/>
        <v/>
      </c>
      <c r="AH1160" s="278" t="str">
        <f t="shared" si="133"/>
        <v/>
      </c>
      <c r="AJ1160" s="25"/>
      <c r="AK1160" s="25"/>
      <c r="AL1160" s="25"/>
      <c r="AM1160" s="25"/>
      <c r="AN1160" s="25"/>
      <c r="AO1160" s="25"/>
      <c r="AP1160" s="25"/>
      <c r="AQ1160" s="25"/>
      <c r="AR1160" s="25"/>
      <c r="AS1160" s="25"/>
      <c r="AT1160" s="25"/>
      <c r="AU1160" s="25"/>
      <c r="AV1160" s="43"/>
      <c r="AW1160" s="43"/>
      <c r="AX1160" s="114" t="s">
        <v>76</v>
      </c>
      <c r="AY1160" s="43"/>
      <c r="AZ1160" s="43"/>
      <c r="BA1160" s="43"/>
      <c r="BB1160" s="43"/>
    </row>
    <row r="1161" spans="2:54" ht="12.75" customHeight="1">
      <c r="B1161" s="320"/>
      <c r="C1161" s="134"/>
      <c r="D1161" s="98"/>
      <c r="E1161" s="504"/>
      <c r="F1161" s="306"/>
      <c r="G1161" s="265"/>
      <c r="H1161" s="266"/>
      <c r="I1161" s="297"/>
      <c r="J1161" s="298"/>
      <c r="K1161" s="298"/>
      <c r="L1161" s="298"/>
      <c r="M1161" s="41"/>
      <c r="N1161" s="21"/>
      <c r="O1161" s="21"/>
      <c r="P1161" s="21"/>
      <c r="Q1161" s="326"/>
      <c r="R1161" s="40"/>
      <c r="S1161" s="84"/>
      <c r="T1161" s="40"/>
      <c r="U1161" s="42"/>
      <c r="V1161" s="78"/>
      <c r="Z1161" s="181"/>
      <c r="AA1161" s="183"/>
      <c r="AC1161" s="26"/>
      <c r="AD1161" s="279"/>
      <c r="AE1161" s="26"/>
      <c r="AF1161" s="26"/>
      <c r="AG1161" s="278" t="str">
        <f t="shared" si="132"/>
        <v/>
      </c>
      <c r="AH1161" s="278" t="str">
        <f t="shared" si="133"/>
        <v/>
      </c>
      <c r="AJ1161" s="25"/>
      <c r="AK1161" s="25"/>
      <c r="AL1161" s="25"/>
      <c r="AM1161" s="25"/>
      <c r="AN1161" s="25"/>
      <c r="AO1161" s="25"/>
      <c r="AP1161" s="25"/>
      <c r="AQ1161" s="25"/>
      <c r="AR1161" s="25"/>
      <c r="AS1161" s="25"/>
      <c r="AT1161" s="25"/>
      <c r="AU1161" s="25"/>
      <c r="AV1161" s="43"/>
      <c r="AW1161" s="43"/>
      <c r="AX1161" s="114" t="s">
        <v>76</v>
      </c>
      <c r="AY1161" s="43"/>
      <c r="AZ1161" s="43"/>
      <c r="BA1161" s="43"/>
      <c r="BB1161" s="43"/>
    </row>
    <row r="1162" spans="2:54" ht="12.75" customHeight="1">
      <c r="B1162" s="320"/>
      <c r="C1162" s="134"/>
      <c r="D1162" s="98"/>
      <c r="E1162" s="504"/>
      <c r="F1162" s="306"/>
      <c r="G1162" s="265"/>
      <c r="H1162" s="266"/>
      <c r="I1162" s="297"/>
      <c r="J1162" s="298"/>
      <c r="K1162" s="298"/>
      <c r="L1162" s="298"/>
      <c r="M1162" s="41"/>
      <c r="N1162" s="21"/>
      <c r="O1162" s="21"/>
      <c r="P1162" s="21"/>
      <c r="Q1162" s="326"/>
      <c r="R1162" s="40"/>
      <c r="S1162" s="84"/>
      <c r="T1162" s="40"/>
      <c r="U1162" s="42"/>
      <c r="V1162" s="78"/>
      <c r="Z1162" s="181"/>
      <c r="AA1162" s="183"/>
      <c r="AC1162" s="26"/>
      <c r="AD1162" s="279"/>
      <c r="AE1162" s="26"/>
      <c r="AF1162" s="26"/>
      <c r="AG1162" s="278" t="str">
        <f t="shared" si="132"/>
        <v/>
      </c>
      <c r="AH1162" s="278" t="str">
        <f t="shared" si="133"/>
        <v/>
      </c>
      <c r="AJ1162" s="25"/>
      <c r="AK1162" s="25"/>
      <c r="AL1162" s="25"/>
      <c r="AM1162" s="25"/>
      <c r="AN1162" s="25"/>
      <c r="AO1162" s="25"/>
      <c r="AP1162" s="25"/>
      <c r="AQ1162" s="25"/>
      <c r="AR1162" s="25"/>
      <c r="AS1162" s="25"/>
      <c r="AT1162" s="25"/>
      <c r="AU1162" s="25"/>
      <c r="AV1162" s="43"/>
      <c r="AW1162" s="43"/>
      <c r="AX1162" s="114" t="s">
        <v>76</v>
      </c>
      <c r="AY1162" s="43"/>
      <c r="AZ1162" s="43"/>
      <c r="BA1162" s="43"/>
      <c r="BB1162" s="43"/>
    </row>
    <row r="1163" spans="2:54" ht="12.75" customHeight="1">
      <c r="B1163" s="320"/>
      <c r="C1163" s="134"/>
      <c r="D1163" s="98"/>
      <c r="E1163" s="504"/>
      <c r="F1163" s="306"/>
      <c r="G1163" s="265"/>
      <c r="H1163" s="266"/>
      <c r="I1163" s="297"/>
      <c r="J1163" s="298"/>
      <c r="K1163" s="298"/>
      <c r="L1163" s="298"/>
      <c r="M1163" s="41"/>
      <c r="N1163" s="21"/>
      <c r="O1163" s="21"/>
      <c r="P1163" s="21"/>
      <c r="Q1163" s="326"/>
      <c r="R1163" s="40"/>
      <c r="S1163" s="84"/>
      <c r="T1163" s="40"/>
      <c r="U1163" s="42"/>
      <c r="V1163" s="78"/>
      <c r="Z1163" s="181"/>
      <c r="AA1163" s="183"/>
      <c r="AC1163" s="26"/>
      <c r="AD1163" s="279"/>
      <c r="AE1163" s="26"/>
      <c r="AF1163" s="26"/>
      <c r="AG1163" s="278" t="str">
        <f t="shared" si="132"/>
        <v/>
      </c>
      <c r="AH1163" s="278" t="str">
        <f t="shared" si="133"/>
        <v/>
      </c>
      <c r="AJ1163" s="25"/>
      <c r="AK1163" s="25"/>
      <c r="AL1163" s="25"/>
      <c r="AM1163" s="25"/>
      <c r="AN1163" s="25"/>
      <c r="AO1163" s="25"/>
      <c r="AP1163" s="25"/>
      <c r="AQ1163" s="25"/>
      <c r="AR1163" s="25"/>
      <c r="AS1163" s="25"/>
      <c r="AT1163" s="25"/>
      <c r="AU1163" s="25"/>
      <c r="AV1163" s="43"/>
      <c r="AW1163" s="43"/>
      <c r="AX1163" s="114" t="s">
        <v>76</v>
      </c>
      <c r="AY1163" s="43"/>
      <c r="AZ1163" s="43"/>
      <c r="BA1163" s="43"/>
      <c r="BB1163" s="43"/>
    </row>
    <row r="1164" spans="2:54" ht="12.75" customHeight="1">
      <c r="B1164" s="320"/>
      <c r="C1164" s="134"/>
      <c r="D1164" s="98"/>
      <c r="E1164" s="504"/>
      <c r="F1164" s="306"/>
      <c r="G1164" s="265"/>
      <c r="H1164" s="266"/>
      <c r="I1164" s="297"/>
      <c r="J1164" s="298"/>
      <c r="K1164" s="298"/>
      <c r="L1164" s="298"/>
      <c r="M1164" s="41"/>
      <c r="N1164" s="21"/>
      <c r="O1164" s="21"/>
      <c r="P1164" s="21"/>
      <c r="Q1164" s="326"/>
      <c r="R1164" s="40"/>
      <c r="S1164" s="84"/>
      <c r="T1164" s="40"/>
      <c r="U1164" s="42"/>
      <c r="V1164" s="78"/>
      <c r="Z1164" s="181"/>
      <c r="AA1164" s="183"/>
      <c r="AC1164" s="26"/>
      <c r="AD1164" s="279"/>
      <c r="AE1164" s="26"/>
      <c r="AF1164" s="26"/>
      <c r="AG1164" s="278" t="str">
        <f t="shared" si="132"/>
        <v/>
      </c>
      <c r="AH1164" s="278" t="str">
        <f t="shared" si="133"/>
        <v/>
      </c>
      <c r="AJ1164" s="25"/>
      <c r="AK1164" s="25"/>
      <c r="AL1164" s="25"/>
      <c r="AM1164" s="25"/>
      <c r="AN1164" s="25"/>
      <c r="AO1164" s="25"/>
      <c r="AP1164" s="25"/>
      <c r="AQ1164" s="25"/>
      <c r="AR1164" s="25"/>
      <c r="AS1164" s="25"/>
      <c r="AT1164" s="25"/>
      <c r="AU1164" s="25"/>
      <c r="AV1164" s="43"/>
      <c r="AW1164" s="43"/>
      <c r="AX1164" s="114" t="s">
        <v>76</v>
      </c>
      <c r="AY1164" s="43"/>
      <c r="AZ1164" s="43"/>
      <c r="BA1164" s="43"/>
      <c r="BB1164" s="43"/>
    </row>
    <row r="1165" spans="2:54" ht="12.75" customHeight="1">
      <c r="B1165" s="320"/>
      <c r="C1165" s="134"/>
      <c r="D1165" s="98"/>
      <c r="E1165" s="504"/>
      <c r="F1165" s="306"/>
      <c r="G1165" s="265"/>
      <c r="H1165" s="266"/>
      <c r="I1165" s="297"/>
      <c r="J1165" s="298"/>
      <c r="K1165" s="298"/>
      <c r="L1165" s="298"/>
      <c r="M1165" s="41"/>
      <c r="N1165" s="21"/>
      <c r="O1165" s="21"/>
      <c r="P1165" s="21"/>
      <c r="Q1165" s="326"/>
      <c r="R1165" s="40"/>
      <c r="S1165" s="84"/>
      <c r="T1165" s="40"/>
      <c r="U1165" s="42"/>
      <c r="V1165" s="78"/>
      <c r="Z1165" s="181"/>
      <c r="AA1165" s="183"/>
      <c r="AC1165" s="26"/>
      <c r="AD1165" s="279"/>
      <c r="AE1165" s="26"/>
      <c r="AF1165" s="26"/>
      <c r="AG1165" s="278" t="str">
        <f t="shared" si="132"/>
        <v/>
      </c>
      <c r="AH1165" s="278" t="str">
        <f t="shared" si="133"/>
        <v/>
      </c>
      <c r="AJ1165" s="25"/>
      <c r="AK1165" s="25"/>
      <c r="AL1165" s="25"/>
      <c r="AM1165" s="25"/>
      <c r="AN1165" s="25"/>
      <c r="AO1165" s="25"/>
      <c r="AP1165" s="25"/>
      <c r="AQ1165" s="25"/>
      <c r="AR1165" s="25"/>
      <c r="AS1165" s="25"/>
      <c r="AT1165" s="25"/>
      <c r="AU1165" s="25"/>
      <c r="AV1165" s="43"/>
      <c r="AW1165" s="43"/>
      <c r="AX1165" s="114" t="s">
        <v>76</v>
      </c>
      <c r="AY1165" s="43"/>
      <c r="AZ1165" s="43"/>
      <c r="BA1165" s="43"/>
      <c r="BB1165" s="43"/>
    </row>
    <row r="1166" spans="2:54" ht="12.75" customHeight="1">
      <c r="B1166" s="320"/>
      <c r="C1166" s="134"/>
      <c r="D1166" s="98"/>
      <c r="E1166" s="504"/>
      <c r="F1166" s="306"/>
      <c r="G1166" s="265"/>
      <c r="H1166" s="266"/>
      <c r="I1166" s="297"/>
      <c r="J1166" s="298"/>
      <c r="K1166" s="298"/>
      <c r="L1166" s="298"/>
      <c r="M1166" s="41"/>
      <c r="N1166" s="21"/>
      <c r="O1166" s="21"/>
      <c r="P1166" s="21"/>
      <c r="Q1166" s="326"/>
      <c r="R1166" s="40"/>
      <c r="S1166" s="84"/>
      <c r="T1166" s="40"/>
      <c r="U1166" s="42"/>
      <c r="V1166" s="78"/>
      <c r="Z1166" s="181"/>
      <c r="AA1166" s="183"/>
      <c r="AC1166" s="26"/>
      <c r="AD1166" s="279"/>
      <c r="AE1166" s="26"/>
      <c r="AF1166" s="26"/>
      <c r="AG1166" s="278" t="str">
        <f t="shared" si="132"/>
        <v/>
      </c>
      <c r="AH1166" s="278" t="str">
        <f t="shared" si="133"/>
        <v/>
      </c>
      <c r="AJ1166" s="25"/>
      <c r="AK1166" s="25"/>
      <c r="AL1166" s="25"/>
      <c r="AM1166" s="25"/>
      <c r="AN1166" s="25"/>
      <c r="AO1166" s="25"/>
      <c r="AP1166" s="25"/>
      <c r="AQ1166" s="25"/>
      <c r="AR1166" s="25"/>
      <c r="AS1166" s="25"/>
      <c r="AT1166" s="25"/>
      <c r="AU1166" s="25"/>
      <c r="AV1166" s="43"/>
      <c r="AW1166" s="43"/>
      <c r="AX1166" s="114" t="s">
        <v>76</v>
      </c>
      <c r="AY1166" s="43"/>
      <c r="AZ1166" s="43"/>
      <c r="BA1166" s="43"/>
      <c r="BB1166" s="43"/>
    </row>
    <row r="1167" spans="2:54" ht="12.75" customHeight="1">
      <c r="B1167" s="320"/>
      <c r="C1167" s="134"/>
      <c r="D1167" s="98"/>
      <c r="E1167" s="504"/>
      <c r="F1167" s="306"/>
      <c r="G1167" s="265"/>
      <c r="H1167" s="266"/>
      <c r="I1167" s="297"/>
      <c r="J1167" s="298"/>
      <c r="K1167" s="298"/>
      <c r="L1167" s="298"/>
      <c r="M1167" s="41"/>
      <c r="N1167" s="21"/>
      <c r="O1167" s="21"/>
      <c r="P1167" s="21"/>
      <c r="Q1167" s="326"/>
      <c r="R1167" s="40"/>
      <c r="S1167" s="84"/>
      <c r="T1167" s="40"/>
      <c r="U1167" s="42"/>
      <c r="V1167" s="78"/>
      <c r="Z1167" s="181"/>
      <c r="AA1167" s="183"/>
      <c r="AC1167" s="26"/>
      <c r="AD1167" s="279"/>
      <c r="AE1167" s="26"/>
      <c r="AF1167" s="26"/>
      <c r="AG1167" s="278" t="str">
        <f t="shared" si="132"/>
        <v/>
      </c>
      <c r="AH1167" s="278" t="str">
        <f t="shared" si="133"/>
        <v/>
      </c>
      <c r="AJ1167" s="25"/>
      <c r="AK1167" s="25"/>
      <c r="AL1167" s="25"/>
      <c r="AM1167" s="25"/>
      <c r="AN1167" s="25"/>
      <c r="AO1167" s="25"/>
      <c r="AP1167" s="25"/>
      <c r="AQ1167" s="25"/>
      <c r="AR1167" s="25"/>
      <c r="AS1167" s="25"/>
      <c r="AT1167" s="25"/>
      <c r="AU1167" s="25"/>
      <c r="AV1167" s="43"/>
      <c r="AW1167" s="43"/>
      <c r="AX1167" s="114" t="s">
        <v>76</v>
      </c>
      <c r="AY1167" s="43"/>
      <c r="AZ1167" s="43"/>
      <c r="BA1167" s="43"/>
      <c r="BB1167" s="43"/>
    </row>
    <row r="1168" spans="2:54" ht="12.75" customHeight="1">
      <c r="B1168" s="320"/>
      <c r="C1168" s="134"/>
      <c r="D1168" s="98"/>
      <c r="E1168" s="504"/>
      <c r="F1168" s="306"/>
      <c r="G1168" s="265"/>
      <c r="H1168" s="266"/>
      <c r="I1168" s="297"/>
      <c r="J1168" s="298"/>
      <c r="K1168" s="298"/>
      <c r="L1168" s="298"/>
      <c r="M1168" s="41"/>
      <c r="N1168" s="21"/>
      <c r="O1168" s="21"/>
      <c r="P1168" s="21"/>
      <c r="Q1168" s="326"/>
      <c r="R1168" s="40"/>
      <c r="S1168" s="84"/>
      <c r="T1168" s="40"/>
      <c r="U1168" s="42"/>
      <c r="V1168" s="78"/>
      <c r="Z1168" s="181"/>
      <c r="AA1168" s="183"/>
      <c r="AC1168" s="26"/>
      <c r="AD1168" s="279"/>
      <c r="AE1168" s="26"/>
      <c r="AF1168" s="26"/>
      <c r="AG1168" s="278" t="str">
        <f t="shared" si="132"/>
        <v/>
      </c>
      <c r="AH1168" s="278" t="str">
        <f t="shared" si="133"/>
        <v/>
      </c>
      <c r="AJ1168" s="25"/>
      <c r="AK1168" s="25"/>
      <c r="AL1168" s="25"/>
      <c r="AM1168" s="25"/>
      <c r="AN1168" s="25"/>
      <c r="AO1168" s="25"/>
      <c r="AP1168" s="25"/>
      <c r="AQ1168" s="25"/>
      <c r="AR1168" s="25"/>
      <c r="AS1168" s="25"/>
      <c r="AT1168" s="25"/>
      <c r="AU1168" s="25"/>
      <c r="AV1168" s="43"/>
      <c r="AW1168" s="43"/>
      <c r="AX1168" s="114" t="s">
        <v>76</v>
      </c>
      <c r="AY1168" s="43"/>
      <c r="AZ1168" s="43"/>
      <c r="BA1168" s="43"/>
      <c r="BB1168" s="43"/>
    </row>
    <row r="1169" spans="2:54" ht="12.75" customHeight="1">
      <c r="B1169" s="320"/>
      <c r="C1169" s="134"/>
      <c r="D1169" s="98"/>
      <c r="E1169" s="504"/>
      <c r="F1169" s="306"/>
      <c r="G1169" s="265"/>
      <c r="H1169" s="266"/>
      <c r="I1169" s="297"/>
      <c r="J1169" s="298"/>
      <c r="K1169" s="298"/>
      <c r="L1169" s="298"/>
      <c r="M1169" s="41"/>
      <c r="N1169" s="21"/>
      <c r="O1169" s="21"/>
      <c r="P1169" s="21"/>
      <c r="Q1169" s="326"/>
      <c r="R1169" s="40"/>
      <c r="S1169" s="84"/>
      <c r="T1169" s="40"/>
      <c r="U1169" s="42"/>
      <c r="V1169" s="78"/>
      <c r="Z1169" s="181"/>
      <c r="AA1169" s="183"/>
      <c r="AC1169" s="26"/>
      <c r="AD1169" s="279"/>
      <c r="AE1169" s="26"/>
      <c r="AF1169" s="26"/>
      <c r="AG1169" s="278" t="str">
        <f t="shared" si="132"/>
        <v/>
      </c>
      <c r="AH1169" s="278" t="str">
        <f t="shared" si="133"/>
        <v/>
      </c>
      <c r="AJ1169" s="25"/>
      <c r="AK1169" s="25"/>
      <c r="AL1169" s="25"/>
      <c r="AM1169" s="25"/>
      <c r="AN1169" s="25"/>
      <c r="AO1169" s="25"/>
      <c r="AP1169" s="25"/>
      <c r="AQ1169" s="25"/>
      <c r="AR1169" s="25"/>
      <c r="AS1169" s="25"/>
      <c r="AT1169" s="25"/>
      <c r="AU1169" s="25"/>
      <c r="AV1169" s="43"/>
      <c r="AW1169" s="43"/>
      <c r="AX1169" s="114" t="s">
        <v>76</v>
      </c>
      <c r="AY1169" s="43"/>
      <c r="AZ1169" s="43"/>
      <c r="BA1169" s="43"/>
      <c r="BB1169" s="43"/>
    </row>
    <row r="1170" spans="2:54" ht="12.75" customHeight="1">
      <c r="B1170" s="320"/>
      <c r="C1170" s="134"/>
      <c r="D1170" s="98"/>
      <c r="E1170" s="504"/>
      <c r="F1170" s="306"/>
      <c r="G1170" s="265"/>
      <c r="H1170" s="266"/>
      <c r="I1170" s="297"/>
      <c r="J1170" s="298"/>
      <c r="K1170" s="298"/>
      <c r="L1170" s="298"/>
      <c r="M1170" s="41"/>
      <c r="N1170" s="21"/>
      <c r="O1170" s="21"/>
      <c r="P1170" s="21"/>
      <c r="Q1170" s="326"/>
      <c r="R1170" s="40"/>
      <c r="S1170" s="84"/>
      <c r="T1170" s="40"/>
      <c r="U1170" s="42"/>
      <c r="V1170" s="78"/>
      <c r="Z1170" s="181"/>
      <c r="AA1170" s="183"/>
      <c r="AC1170" s="26"/>
      <c r="AD1170" s="279"/>
      <c r="AE1170" s="26"/>
      <c r="AF1170" s="26"/>
      <c r="AG1170" s="278" t="str">
        <f t="shared" si="132"/>
        <v/>
      </c>
      <c r="AH1170" s="278" t="str">
        <f t="shared" si="133"/>
        <v/>
      </c>
      <c r="AJ1170" s="25"/>
      <c r="AK1170" s="25"/>
      <c r="AL1170" s="25"/>
      <c r="AM1170" s="25"/>
      <c r="AN1170" s="25"/>
      <c r="AO1170" s="25"/>
      <c r="AP1170" s="25"/>
      <c r="AQ1170" s="25"/>
      <c r="AR1170" s="25"/>
      <c r="AS1170" s="25"/>
      <c r="AT1170" s="25"/>
      <c r="AU1170" s="25"/>
      <c r="AV1170" s="43"/>
      <c r="AW1170" s="43"/>
      <c r="AX1170" s="114" t="s">
        <v>76</v>
      </c>
      <c r="AY1170" s="43"/>
      <c r="AZ1170" s="43"/>
      <c r="BA1170" s="43"/>
      <c r="BB1170" s="43"/>
    </row>
    <row r="1171" spans="2:54" ht="12.75" customHeight="1">
      <c r="B1171" s="320"/>
      <c r="C1171" s="134"/>
      <c r="D1171" s="98"/>
      <c r="E1171" s="504"/>
      <c r="F1171" s="306"/>
      <c r="G1171" s="265"/>
      <c r="H1171" s="266"/>
      <c r="I1171" s="297"/>
      <c r="J1171" s="298"/>
      <c r="K1171" s="298"/>
      <c r="L1171" s="298"/>
      <c r="M1171" s="41"/>
      <c r="N1171" s="21"/>
      <c r="O1171" s="21"/>
      <c r="P1171" s="21"/>
      <c r="Q1171" s="326"/>
      <c r="R1171" s="40"/>
      <c r="S1171" s="84"/>
      <c r="T1171" s="40"/>
      <c r="U1171" s="42"/>
      <c r="V1171" s="78"/>
      <c r="Z1171" s="181"/>
      <c r="AA1171" s="183"/>
      <c r="AC1171" s="26"/>
      <c r="AD1171" s="279"/>
      <c r="AE1171" s="26"/>
      <c r="AF1171" s="26"/>
      <c r="AG1171" s="278" t="str">
        <f t="shared" si="132"/>
        <v/>
      </c>
      <c r="AH1171" s="278" t="str">
        <f t="shared" si="133"/>
        <v/>
      </c>
      <c r="AJ1171" s="25"/>
      <c r="AK1171" s="25"/>
      <c r="AL1171" s="25"/>
      <c r="AM1171" s="25"/>
      <c r="AN1171" s="25"/>
      <c r="AO1171" s="25"/>
      <c r="AP1171" s="25"/>
      <c r="AQ1171" s="25"/>
      <c r="AR1171" s="25"/>
      <c r="AS1171" s="25"/>
      <c r="AT1171" s="25"/>
      <c r="AU1171" s="25"/>
      <c r="AV1171" s="43"/>
      <c r="AW1171" s="43"/>
      <c r="AX1171" s="114" t="s">
        <v>76</v>
      </c>
      <c r="AY1171" s="43"/>
      <c r="AZ1171" s="43"/>
      <c r="BA1171" s="43"/>
      <c r="BB1171" s="43"/>
    </row>
    <row r="1172" spans="2:54" ht="12.75" customHeight="1">
      <c r="B1172" s="320"/>
      <c r="C1172" s="134"/>
      <c r="D1172" s="98"/>
      <c r="E1172" s="504"/>
      <c r="F1172" s="306"/>
      <c r="G1172" s="265"/>
      <c r="H1172" s="266"/>
      <c r="I1172" s="297"/>
      <c r="J1172" s="298"/>
      <c r="K1172" s="298"/>
      <c r="L1172" s="298"/>
      <c r="M1172" s="41"/>
      <c r="N1172" s="21"/>
      <c r="O1172" s="21"/>
      <c r="P1172" s="21"/>
      <c r="Q1172" s="326"/>
      <c r="R1172" s="40"/>
      <c r="S1172" s="84"/>
      <c r="T1172" s="40"/>
      <c r="U1172" s="42"/>
      <c r="V1172" s="78"/>
      <c r="Z1172" s="181"/>
      <c r="AA1172" s="183"/>
      <c r="AC1172" s="26"/>
      <c r="AD1172" s="279"/>
      <c r="AE1172" s="26"/>
      <c r="AF1172" s="26"/>
      <c r="AG1172" s="278" t="str">
        <f t="shared" si="132"/>
        <v/>
      </c>
      <c r="AH1172" s="278" t="str">
        <f t="shared" si="133"/>
        <v/>
      </c>
      <c r="AJ1172" s="25"/>
      <c r="AK1172" s="25"/>
      <c r="AL1172" s="25"/>
      <c r="AM1172" s="25"/>
      <c r="AN1172" s="25"/>
      <c r="AO1172" s="25"/>
      <c r="AP1172" s="25"/>
      <c r="AQ1172" s="25"/>
      <c r="AR1172" s="25"/>
      <c r="AS1172" s="25"/>
      <c r="AT1172" s="25"/>
      <c r="AU1172" s="25"/>
      <c r="AV1172" s="43"/>
      <c r="AW1172" s="43"/>
      <c r="AX1172" s="114" t="s">
        <v>76</v>
      </c>
      <c r="AY1172" s="43"/>
      <c r="AZ1172" s="43"/>
      <c r="BA1172" s="43"/>
      <c r="BB1172" s="43"/>
    </row>
    <row r="1173" spans="2:54" ht="12.75" customHeight="1">
      <c r="B1173" s="320"/>
      <c r="C1173" s="134"/>
      <c r="D1173" s="98"/>
      <c r="E1173" s="504"/>
      <c r="F1173" s="306"/>
      <c r="G1173" s="265"/>
      <c r="H1173" s="266"/>
      <c r="I1173" s="297"/>
      <c r="J1173" s="298"/>
      <c r="K1173" s="298"/>
      <c r="L1173" s="298"/>
      <c r="M1173" s="41"/>
      <c r="N1173" s="21"/>
      <c r="O1173" s="21"/>
      <c r="P1173" s="21"/>
      <c r="Q1173" s="326"/>
      <c r="R1173" s="40"/>
      <c r="S1173" s="84"/>
      <c r="T1173" s="40"/>
      <c r="U1173" s="42"/>
      <c r="V1173" s="78"/>
      <c r="Z1173" s="181"/>
      <c r="AA1173" s="183"/>
      <c r="AC1173" s="26"/>
      <c r="AD1173" s="279"/>
      <c r="AE1173" s="26"/>
      <c r="AF1173" s="26"/>
      <c r="AG1173" s="278" t="str">
        <f t="shared" si="132"/>
        <v/>
      </c>
      <c r="AH1173" s="278" t="str">
        <f t="shared" si="133"/>
        <v/>
      </c>
      <c r="AJ1173" s="25"/>
      <c r="AK1173" s="25"/>
      <c r="AL1173" s="25"/>
      <c r="AM1173" s="25"/>
      <c r="AN1173" s="25"/>
      <c r="AO1173" s="25"/>
      <c r="AP1173" s="25"/>
      <c r="AQ1173" s="25"/>
      <c r="AR1173" s="25"/>
      <c r="AS1173" s="25"/>
      <c r="AT1173" s="25"/>
      <c r="AU1173" s="25"/>
      <c r="AV1173" s="43"/>
      <c r="AW1173" s="43"/>
      <c r="AX1173" s="114" t="s">
        <v>76</v>
      </c>
      <c r="AY1173" s="43"/>
      <c r="AZ1173" s="43"/>
      <c r="BA1173" s="43"/>
      <c r="BB1173" s="43"/>
    </row>
    <row r="1174" spans="2:54" ht="12.75" customHeight="1">
      <c r="B1174" s="320"/>
      <c r="C1174" s="134"/>
      <c r="D1174" s="98"/>
      <c r="E1174" s="504"/>
      <c r="F1174" s="306"/>
      <c r="G1174" s="265"/>
      <c r="H1174" s="266"/>
      <c r="I1174" s="297"/>
      <c r="J1174" s="298"/>
      <c r="K1174" s="298"/>
      <c r="L1174" s="298"/>
      <c r="M1174" s="41"/>
      <c r="N1174" s="21"/>
      <c r="O1174" s="21"/>
      <c r="P1174" s="21"/>
      <c r="Q1174" s="326"/>
      <c r="R1174" s="40"/>
      <c r="S1174" s="84"/>
      <c r="T1174" s="40"/>
      <c r="U1174" s="42"/>
      <c r="V1174" s="78"/>
      <c r="Z1174" s="181"/>
      <c r="AA1174" s="183"/>
      <c r="AC1174" s="26"/>
      <c r="AD1174" s="279"/>
      <c r="AE1174" s="26"/>
      <c r="AF1174" s="26"/>
      <c r="AG1174" s="278" t="str">
        <f t="shared" si="132"/>
        <v/>
      </c>
      <c r="AH1174" s="278" t="str">
        <f t="shared" si="133"/>
        <v/>
      </c>
      <c r="AJ1174" s="25"/>
      <c r="AK1174" s="25"/>
      <c r="AL1174" s="25"/>
      <c r="AM1174" s="25"/>
      <c r="AN1174" s="25"/>
      <c r="AO1174" s="25"/>
      <c r="AP1174" s="25"/>
      <c r="AQ1174" s="25"/>
      <c r="AR1174" s="25"/>
      <c r="AS1174" s="25"/>
      <c r="AT1174" s="25"/>
      <c r="AU1174" s="25"/>
      <c r="AV1174" s="43"/>
      <c r="AW1174" s="43"/>
      <c r="AX1174" s="114" t="s">
        <v>76</v>
      </c>
      <c r="AY1174" s="43"/>
      <c r="AZ1174" s="43"/>
      <c r="BA1174" s="43"/>
      <c r="BB1174" s="43"/>
    </row>
    <row r="1175" spans="2:54" ht="12.75" customHeight="1">
      <c r="B1175" s="320"/>
      <c r="C1175" s="134"/>
      <c r="D1175" s="98"/>
      <c r="E1175" s="504"/>
      <c r="F1175" s="306"/>
      <c r="G1175" s="265"/>
      <c r="H1175" s="266"/>
      <c r="I1175" s="297"/>
      <c r="J1175" s="298"/>
      <c r="K1175" s="298"/>
      <c r="L1175" s="298"/>
      <c r="M1175" s="41"/>
      <c r="N1175" s="21"/>
      <c r="O1175" s="21"/>
      <c r="P1175" s="21"/>
      <c r="Q1175" s="326"/>
      <c r="R1175" s="40"/>
      <c r="S1175" s="84"/>
      <c r="T1175" s="40"/>
      <c r="U1175" s="42"/>
      <c r="V1175" s="78"/>
      <c r="Z1175" s="181"/>
      <c r="AA1175" s="183"/>
      <c r="AC1175" s="26"/>
      <c r="AD1175" s="279"/>
      <c r="AE1175" s="26"/>
      <c r="AF1175" s="26"/>
      <c r="AG1175" s="278" t="str">
        <f t="shared" si="132"/>
        <v/>
      </c>
      <c r="AH1175" s="278" t="str">
        <f t="shared" si="133"/>
        <v/>
      </c>
      <c r="AJ1175" s="25"/>
      <c r="AK1175" s="25"/>
      <c r="AL1175" s="25"/>
      <c r="AM1175" s="25"/>
      <c r="AN1175" s="25"/>
      <c r="AO1175" s="25"/>
      <c r="AP1175" s="25"/>
      <c r="AQ1175" s="25"/>
      <c r="AR1175" s="25"/>
      <c r="AS1175" s="25"/>
      <c r="AT1175" s="25"/>
      <c r="AU1175" s="25"/>
      <c r="AV1175" s="43"/>
      <c r="AW1175" s="43"/>
      <c r="AX1175" s="114" t="s">
        <v>76</v>
      </c>
      <c r="AY1175" s="43"/>
      <c r="AZ1175" s="43"/>
      <c r="BA1175" s="43"/>
      <c r="BB1175" s="43"/>
    </row>
    <row r="1176" spans="2:54" ht="12.75" customHeight="1">
      <c r="B1176" s="320"/>
      <c r="C1176" s="134"/>
      <c r="D1176" s="98"/>
      <c r="E1176" s="504"/>
      <c r="F1176" s="306"/>
      <c r="G1176" s="265"/>
      <c r="H1176" s="266"/>
      <c r="I1176" s="297"/>
      <c r="J1176" s="298"/>
      <c r="K1176" s="298"/>
      <c r="L1176" s="298"/>
      <c r="M1176" s="41"/>
      <c r="N1176" s="21"/>
      <c r="O1176" s="21"/>
      <c r="P1176" s="21"/>
      <c r="Q1176" s="326"/>
      <c r="R1176" s="40"/>
      <c r="S1176" s="84"/>
      <c r="T1176" s="40"/>
      <c r="U1176" s="42"/>
      <c r="V1176" s="78"/>
      <c r="Z1176" s="181"/>
      <c r="AA1176" s="183"/>
      <c r="AC1176" s="26"/>
      <c r="AD1176" s="279"/>
      <c r="AE1176" s="26"/>
      <c r="AF1176" s="26"/>
      <c r="AG1176" s="278" t="str">
        <f t="shared" si="132"/>
        <v/>
      </c>
      <c r="AH1176" s="278" t="str">
        <f t="shared" si="133"/>
        <v/>
      </c>
      <c r="AJ1176" s="25"/>
      <c r="AK1176" s="25"/>
      <c r="AL1176" s="25"/>
      <c r="AM1176" s="25"/>
      <c r="AN1176" s="25"/>
      <c r="AO1176" s="25"/>
      <c r="AP1176" s="25"/>
      <c r="AQ1176" s="25"/>
      <c r="AR1176" s="25"/>
      <c r="AS1176" s="25"/>
      <c r="AT1176" s="25"/>
      <c r="AU1176" s="25"/>
      <c r="AV1176" s="43"/>
      <c r="AW1176" s="43"/>
      <c r="AX1176" s="114" t="s">
        <v>76</v>
      </c>
      <c r="AY1176" s="43"/>
      <c r="AZ1176" s="43"/>
      <c r="BA1176" s="43"/>
      <c r="BB1176" s="43"/>
    </row>
    <row r="1177" spans="2:54" ht="12.75" customHeight="1">
      <c r="B1177" s="320"/>
      <c r="C1177" s="134"/>
      <c r="D1177" s="98"/>
      <c r="E1177" s="504"/>
      <c r="F1177" s="306"/>
      <c r="G1177" s="265"/>
      <c r="H1177" s="266"/>
      <c r="I1177" s="297"/>
      <c r="J1177" s="298"/>
      <c r="K1177" s="298"/>
      <c r="L1177" s="298"/>
      <c r="M1177" s="41"/>
      <c r="N1177" s="21"/>
      <c r="O1177" s="21"/>
      <c r="P1177" s="21"/>
      <c r="Q1177" s="326"/>
      <c r="R1177" s="40"/>
      <c r="S1177" s="84"/>
      <c r="T1177" s="40"/>
      <c r="U1177" s="42"/>
      <c r="V1177" s="78"/>
      <c r="Z1177" s="181"/>
      <c r="AA1177" s="183"/>
      <c r="AC1177" s="26"/>
      <c r="AD1177" s="279"/>
      <c r="AE1177" s="26"/>
      <c r="AF1177" s="26"/>
      <c r="AG1177" s="278" t="str">
        <f t="shared" si="132"/>
        <v/>
      </c>
      <c r="AH1177" s="278" t="str">
        <f t="shared" si="133"/>
        <v/>
      </c>
      <c r="AJ1177" s="25"/>
      <c r="AK1177" s="25"/>
      <c r="AL1177" s="25"/>
      <c r="AM1177" s="25"/>
      <c r="AN1177" s="25"/>
      <c r="AO1177" s="25"/>
      <c r="AP1177" s="25"/>
      <c r="AQ1177" s="25"/>
      <c r="AR1177" s="25"/>
      <c r="AS1177" s="25"/>
      <c r="AT1177" s="25"/>
      <c r="AU1177" s="25"/>
      <c r="AV1177" s="43"/>
      <c r="AW1177" s="43"/>
      <c r="AX1177" s="114" t="s">
        <v>76</v>
      </c>
      <c r="AY1177" s="43"/>
      <c r="AZ1177" s="43"/>
      <c r="BA1177" s="43"/>
      <c r="BB1177" s="43"/>
    </row>
    <row r="1178" spans="2:54" ht="12.75" customHeight="1">
      <c r="B1178" s="320"/>
      <c r="C1178" s="134"/>
      <c r="D1178" s="98"/>
      <c r="E1178" s="504"/>
      <c r="F1178" s="306"/>
      <c r="G1178" s="265"/>
      <c r="H1178" s="266"/>
      <c r="I1178" s="297"/>
      <c r="J1178" s="298"/>
      <c r="K1178" s="298"/>
      <c r="L1178" s="298"/>
      <c r="M1178" s="41"/>
      <c r="N1178" s="21"/>
      <c r="O1178" s="21"/>
      <c r="P1178" s="21"/>
      <c r="Q1178" s="326"/>
      <c r="R1178" s="40"/>
      <c r="S1178" s="84"/>
      <c r="T1178" s="40"/>
      <c r="U1178" s="42"/>
      <c r="V1178" s="78"/>
      <c r="Z1178" s="181"/>
      <c r="AA1178" s="183"/>
      <c r="AC1178" s="26"/>
      <c r="AD1178" s="279"/>
      <c r="AE1178" s="26"/>
      <c r="AF1178" s="26"/>
      <c r="AG1178" s="278" t="str">
        <f t="shared" si="132"/>
        <v/>
      </c>
      <c r="AH1178" s="278" t="str">
        <f t="shared" si="133"/>
        <v/>
      </c>
      <c r="AJ1178" s="25"/>
      <c r="AK1178" s="25"/>
      <c r="AL1178" s="25"/>
      <c r="AM1178" s="25"/>
      <c r="AN1178" s="25"/>
      <c r="AO1178" s="25"/>
      <c r="AP1178" s="25"/>
      <c r="AQ1178" s="25"/>
      <c r="AR1178" s="25"/>
      <c r="AS1178" s="25"/>
      <c r="AT1178" s="25"/>
      <c r="AU1178" s="25"/>
      <c r="AV1178" s="43"/>
      <c r="AW1178" s="43"/>
      <c r="AX1178" s="114" t="s">
        <v>76</v>
      </c>
      <c r="AY1178" s="43"/>
      <c r="AZ1178" s="43"/>
      <c r="BA1178" s="43"/>
      <c r="BB1178" s="43"/>
    </row>
    <row r="1179" spans="2:54" ht="12.75" customHeight="1">
      <c r="B1179" s="320"/>
      <c r="C1179" s="134"/>
      <c r="D1179" s="98"/>
      <c r="E1179" s="504"/>
      <c r="F1179" s="306"/>
      <c r="G1179" s="265"/>
      <c r="H1179" s="266"/>
      <c r="I1179" s="297"/>
      <c r="J1179" s="298"/>
      <c r="K1179" s="298"/>
      <c r="L1179" s="298"/>
      <c r="M1179" s="41"/>
      <c r="N1179" s="21"/>
      <c r="O1179" s="21"/>
      <c r="P1179" s="21"/>
      <c r="Q1179" s="326"/>
      <c r="R1179" s="40"/>
      <c r="S1179" s="84"/>
      <c r="T1179" s="40"/>
      <c r="U1179" s="42"/>
      <c r="V1179" s="78"/>
      <c r="Z1179" s="181"/>
      <c r="AA1179" s="183"/>
      <c r="AC1179" s="26"/>
      <c r="AD1179" s="279"/>
      <c r="AE1179" s="26"/>
      <c r="AF1179" s="26"/>
      <c r="AG1179" s="278" t="str">
        <f t="shared" si="132"/>
        <v/>
      </c>
      <c r="AH1179" s="278" t="str">
        <f t="shared" si="133"/>
        <v/>
      </c>
      <c r="AJ1179" s="25"/>
      <c r="AK1179" s="25"/>
      <c r="AL1179" s="25"/>
      <c r="AM1179" s="25"/>
      <c r="AN1179" s="25"/>
      <c r="AO1179" s="25"/>
      <c r="AP1179" s="25"/>
      <c r="AQ1179" s="25"/>
      <c r="AR1179" s="25"/>
      <c r="AS1179" s="25"/>
      <c r="AT1179" s="25"/>
      <c r="AU1179" s="25"/>
      <c r="AV1179" s="43"/>
      <c r="AW1179" s="43"/>
      <c r="AX1179" s="114" t="s">
        <v>76</v>
      </c>
      <c r="AY1179" s="43"/>
      <c r="AZ1179" s="43"/>
      <c r="BA1179" s="43"/>
      <c r="BB1179" s="43"/>
    </row>
    <row r="1180" spans="2:54" ht="12.75" customHeight="1">
      <c r="B1180" s="320"/>
      <c r="C1180" s="134"/>
      <c r="D1180" s="98"/>
      <c r="E1180" s="504"/>
      <c r="F1180" s="306"/>
      <c r="G1180" s="265"/>
      <c r="H1180" s="266"/>
      <c r="I1180" s="297"/>
      <c r="J1180" s="298"/>
      <c r="K1180" s="298"/>
      <c r="L1180" s="298"/>
      <c r="M1180" s="41"/>
      <c r="N1180" s="21"/>
      <c r="O1180" s="21"/>
      <c r="P1180" s="21"/>
      <c r="Q1180" s="326"/>
      <c r="R1180" s="40"/>
      <c r="S1180" s="84"/>
      <c r="T1180" s="40"/>
      <c r="U1180" s="42"/>
      <c r="V1180" s="78"/>
      <c r="Z1180" s="181"/>
      <c r="AA1180" s="183"/>
      <c r="AC1180" s="26"/>
      <c r="AD1180" s="279"/>
      <c r="AE1180" s="26"/>
      <c r="AF1180" s="26"/>
      <c r="AG1180" s="278" t="str">
        <f t="shared" si="132"/>
        <v/>
      </c>
      <c r="AH1180" s="278" t="str">
        <f t="shared" si="133"/>
        <v/>
      </c>
      <c r="AJ1180" s="25"/>
      <c r="AK1180" s="25"/>
      <c r="AL1180" s="25"/>
      <c r="AM1180" s="25"/>
      <c r="AN1180" s="25"/>
      <c r="AO1180" s="25"/>
      <c r="AP1180" s="25"/>
      <c r="AQ1180" s="25"/>
      <c r="AR1180" s="25"/>
      <c r="AS1180" s="25"/>
      <c r="AT1180" s="25"/>
      <c r="AU1180" s="25"/>
      <c r="AV1180" s="43"/>
      <c r="AW1180" s="43"/>
      <c r="AX1180" s="114" t="s">
        <v>76</v>
      </c>
      <c r="AY1180" s="43"/>
      <c r="AZ1180" s="43"/>
      <c r="BA1180" s="43"/>
      <c r="BB1180" s="43"/>
    </row>
    <row r="1181" spans="2:54" ht="12.75" customHeight="1">
      <c r="B1181" s="320"/>
      <c r="C1181" s="134"/>
      <c r="D1181" s="98"/>
      <c r="E1181" s="504"/>
      <c r="F1181" s="306"/>
      <c r="G1181" s="265"/>
      <c r="H1181" s="266"/>
      <c r="I1181" s="297"/>
      <c r="J1181" s="298"/>
      <c r="K1181" s="298"/>
      <c r="L1181" s="298"/>
      <c r="M1181" s="41"/>
      <c r="N1181" s="21"/>
      <c r="O1181" s="21"/>
      <c r="P1181" s="21"/>
      <c r="Q1181" s="326"/>
      <c r="R1181" s="40"/>
      <c r="S1181" s="84"/>
      <c r="T1181" s="40"/>
      <c r="U1181" s="42"/>
      <c r="V1181" s="78"/>
      <c r="Z1181" s="181"/>
      <c r="AA1181" s="183"/>
      <c r="AC1181" s="26"/>
      <c r="AD1181" s="279"/>
      <c r="AE1181" s="26"/>
      <c r="AF1181" s="26"/>
      <c r="AG1181" s="278" t="str">
        <f t="shared" si="132"/>
        <v/>
      </c>
      <c r="AH1181" s="278" t="str">
        <f t="shared" si="133"/>
        <v/>
      </c>
      <c r="AJ1181" s="25"/>
      <c r="AK1181" s="25"/>
      <c r="AL1181" s="25"/>
      <c r="AM1181" s="25"/>
      <c r="AN1181" s="25"/>
      <c r="AO1181" s="25"/>
      <c r="AP1181" s="25"/>
      <c r="AQ1181" s="25"/>
      <c r="AR1181" s="25"/>
      <c r="AS1181" s="25"/>
      <c r="AT1181" s="25"/>
      <c r="AU1181" s="25"/>
      <c r="AV1181" s="43"/>
      <c r="AW1181" s="43"/>
      <c r="AX1181" s="114" t="s">
        <v>76</v>
      </c>
      <c r="AY1181" s="43"/>
      <c r="AZ1181" s="43"/>
      <c r="BA1181" s="43"/>
      <c r="BB1181" s="43"/>
    </row>
    <row r="1182" spans="2:54" ht="12.75" customHeight="1">
      <c r="B1182" s="320"/>
      <c r="C1182" s="134"/>
      <c r="D1182" s="98"/>
      <c r="E1182" s="504"/>
      <c r="F1182" s="306"/>
      <c r="G1182" s="265"/>
      <c r="H1182" s="266"/>
      <c r="I1182" s="297"/>
      <c r="J1182" s="298"/>
      <c r="K1182" s="298"/>
      <c r="L1182" s="298"/>
      <c r="M1182" s="41"/>
      <c r="N1182" s="21"/>
      <c r="O1182" s="21"/>
      <c r="P1182" s="21"/>
      <c r="Q1182" s="326"/>
      <c r="R1182" s="40"/>
      <c r="S1182" s="84"/>
      <c r="T1182" s="40"/>
      <c r="U1182" s="42"/>
      <c r="V1182" s="78"/>
      <c r="Z1182" s="181"/>
      <c r="AA1182" s="183"/>
      <c r="AC1182" s="26"/>
      <c r="AD1182" s="279"/>
      <c r="AE1182" s="26"/>
      <c r="AF1182" s="26"/>
      <c r="AG1182" s="278" t="str">
        <f t="shared" si="132"/>
        <v/>
      </c>
      <c r="AH1182" s="278" t="str">
        <f t="shared" si="133"/>
        <v/>
      </c>
      <c r="AJ1182" s="25"/>
      <c r="AK1182" s="25"/>
      <c r="AL1182" s="25"/>
      <c r="AM1182" s="25"/>
      <c r="AN1182" s="25"/>
      <c r="AO1182" s="25"/>
      <c r="AP1182" s="25"/>
      <c r="AQ1182" s="25"/>
      <c r="AR1182" s="25"/>
      <c r="AS1182" s="25"/>
      <c r="AT1182" s="25"/>
      <c r="AU1182" s="25"/>
      <c r="AV1182" s="43"/>
      <c r="AW1182" s="43"/>
      <c r="AX1182" s="114" t="s">
        <v>76</v>
      </c>
      <c r="AY1182" s="43"/>
      <c r="AZ1182" s="43"/>
      <c r="BA1182" s="43"/>
      <c r="BB1182" s="43"/>
    </row>
    <row r="1183" spans="2:54" ht="12.75" customHeight="1">
      <c r="B1183" s="320"/>
      <c r="C1183" s="134"/>
      <c r="D1183" s="98"/>
      <c r="E1183" s="504"/>
      <c r="F1183" s="306"/>
      <c r="G1183" s="265"/>
      <c r="H1183" s="266"/>
      <c r="I1183" s="297"/>
      <c r="J1183" s="298"/>
      <c r="K1183" s="298"/>
      <c r="L1183" s="298"/>
      <c r="M1183" s="41"/>
      <c r="N1183" s="21"/>
      <c r="O1183" s="21"/>
      <c r="P1183" s="21"/>
      <c r="Q1183" s="326"/>
      <c r="R1183" s="40"/>
      <c r="S1183" s="84"/>
      <c r="T1183" s="40"/>
      <c r="U1183" s="42"/>
      <c r="V1183" s="78"/>
      <c r="Z1183" s="181"/>
      <c r="AA1183" s="183"/>
      <c r="AC1183" s="26"/>
      <c r="AD1183" s="279"/>
      <c r="AE1183" s="26"/>
      <c r="AF1183" s="26"/>
      <c r="AG1183" s="278" t="str">
        <f t="shared" si="132"/>
        <v/>
      </c>
      <c r="AH1183" s="278" t="str">
        <f t="shared" si="133"/>
        <v/>
      </c>
      <c r="AJ1183" s="25"/>
      <c r="AK1183" s="25"/>
      <c r="AL1183" s="25"/>
      <c r="AM1183" s="25"/>
      <c r="AN1183" s="25"/>
      <c r="AO1183" s="25"/>
      <c r="AP1183" s="25"/>
      <c r="AQ1183" s="25"/>
      <c r="AR1183" s="25"/>
      <c r="AS1183" s="25"/>
      <c r="AT1183" s="25"/>
      <c r="AU1183" s="25"/>
      <c r="AV1183" s="43"/>
      <c r="AW1183" s="43"/>
      <c r="AX1183" s="114" t="s">
        <v>76</v>
      </c>
      <c r="AY1183" s="43"/>
      <c r="AZ1183" s="43"/>
      <c r="BA1183" s="43"/>
      <c r="BB1183" s="43"/>
    </row>
    <row r="1184" spans="2:54" ht="12.75" customHeight="1">
      <c r="B1184" s="320"/>
      <c r="C1184" s="134"/>
      <c r="D1184" s="98"/>
      <c r="E1184" s="504"/>
      <c r="F1184" s="306"/>
      <c r="G1184" s="265"/>
      <c r="H1184" s="266"/>
      <c r="I1184" s="297"/>
      <c r="J1184" s="298"/>
      <c r="K1184" s="298"/>
      <c r="L1184" s="298"/>
      <c r="M1184" s="41"/>
      <c r="N1184" s="21"/>
      <c r="O1184" s="21"/>
      <c r="P1184" s="21"/>
      <c r="Q1184" s="326"/>
      <c r="R1184" s="40"/>
      <c r="S1184" s="84"/>
      <c r="T1184" s="40"/>
      <c r="U1184" s="42"/>
      <c r="V1184" s="78"/>
      <c r="Z1184" s="181"/>
      <c r="AA1184" s="183"/>
      <c r="AC1184" s="26"/>
      <c r="AD1184" s="279"/>
      <c r="AE1184" s="26"/>
      <c r="AF1184" s="26"/>
      <c r="AG1184" s="278" t="str">
        <f t="shared" si="132"/>
        <v/>
      </c>
      <c r="AH1184" s="278" t="str">
        <f t="shared" si="133"/>
        <v/>
      </c>
      <c r="AJ1184" s="25"/>
      <c r="AK1184" s="25"/>
      <c r="AL1184" s="25"/>
      <c r="AM1184" s="25"/>
      <c r="AN1184" s="25"/>
      <c r="AO1184" s="25"/>
      <c r="AP1184" s="25"/>
      <c r="AQ1184" s="25"/>
      <c r="AR1184" s="25"/>
      <c r="AS1184" s="25"/>
      <c r="AT1184" s="25"/>
      <c r="AU1184" s="25"/>
      <c r="AV1184" s="43"/>
      <c r="AW1184" s="43"/>
      <c r="AX1184" s="114" t="s">
        <v>76</v>
      </c>
      <c r="AY1184" s="43"/>
      <c r="AZ1184" s="43"/>
      <c r="BA1184" s="43"/>
      <c r="BB1184" s="43"/>
    </row>
    <row r="1185" spans="2:54" ht="12.75" customHeight="1">
      <c r="B1185" s="320"/>
      <c r="C1185" s="134"/>
      <c r="D1185" s="98"/>
      <c r="E1185" s="504"/>
      <c r="F1185" s="306"/>
      <c r="G1185" s="265"/>
      <c r="H1185" s="266"/>
      <c r="I1185" s="297"/>
      <c r="J1185" s="298"/>
      <c r="K1185" s="298"/>
      <c r="L1185" s="298"/>
      <c r="M1185" s="41"/>
      <c r="N1185" s="21"/>
      <c r="O1185" s="21"/>
      <c r="P1185" s="21"/>
      <c r="Q1185" s="326"/>
      <c r="R1185" s="40"/>
      <c r="S1185" s="84"/>
      <c r="T1185" s="40"/>
      <c r="U1185" s="42"/>
      <c r="V1185" s="78"/>
      <c r="Z1185" s="181"/>
      <c r="AA1185" s="183"/>
      <c r="AC1185" s="26"/>
      <c r="AD1185" s="279"/>
      <c r="AE1185" s="26"/>
      <c r="AF1185" s="26"/>
      <c r="AG1185" s="278" t="str">
        <f t="shared" si="132"/>
        <v/>
      </c>
      <c r="AH1185" s="278" t="str">
        <f t="shared" si="133"/>
        <v/>
      </c>
      <c r="AJ1185" s="25"/>
      <c r="AK1185" s="25"/>
      <c r="AL1185" s="25"/>
      <c r="AM1185" s="25"/>
      <c r="AN1185" s="25"/>
      <c r="AO1185" s="25"/>
      <c r="AP1185" s="25"/>
      <c r="AQ1185" s="25"/>
      <c r="AR1185" s="25"/>
      <c r="AS1185" s="25"/>
      <c r="AT1185" s="25"/>
      <c r="AU1185" s="25"/>
      <c r="AV1185" s="43"/>
      <c r="AW1185" s="43"/>
      <c r="AX1185" s="114" t="s">
        <v>76</v>
      </c>
      <c r="AY1185" s="43"/>
      <c r="AZ1185" s="43"/>
      <c r="BA1185" s="43"/>
      <c r="BB1185" s="43"/>
    </row>
    <row r="1186" spans="2:54" ht="12.75" customHeight="1">
      <c r="B1186" s="320"/>
      <c r="C1186" s="134"/>
      <c r="D1186" s="98"/>
      <c r="E1186" s="504"/>
      <c r="F1186" s="306"/>
      <c r="G1186" s="265"/>
      <c r="H1186" s="266"/>
      <c r="I1186" s="297"/>
      <c r="J1186" s="298"/>
      <c r="K1186" s="298"/>
      <c r="L1186" s="298"/>
      <c r="M1186" s="41"/>
      <c r="N1186" s="21"/>
      <c r="O1186" s="21"/>
      <c r="P1186" s="21"/>
      <c r="Q1186" s="326"/>
      <c r="R1186" s="40"/>
      <c r="S1186" s="84"/>
      <c r="T1186" s="40"/>
      <c r="U1186" s="42"/>
      <c r="V1186" s="78"/>
      <c r="Z1186" s="181"/>
      <c r="AA1186" s="183"/>
      <c r="AC1186" s="26"/>
      <c r="AD1186" s="279"/>
      <c r="AE1186" s="26"/>
      <c r="AF1186" s="26"/>
      <c r="AG1186" s="278" t="str">
        <f t="shared" si="132"/>
        <v/>
      </c>
      <c r="AH1186" s="278" t="str">
        <f t="shared" si="133"/>
        <v/>
      </c>
      <c r="AJ1186" s="25"/>
      <c r="AK1186" s="25"/>
      <c r="AL1186" s="25"/>
      <c r="AM1186" s="25"/>
      <c r="AN1186" s="25"/>
      <c r="AO1186" s="25"/>
      <c r="AP1186" s="25"/>
      <c r="AQ1186" s="25"/>
      <c r="AR1186" s="25"/>
      <c r="AS1186" s="25"/>
      <c r="AT1186" s="25"/>
      <c r="AU1186" s="25"/>
      <c r="AV1186" s="43"/>
      <c r="AW1186" s="43"/>
      <c r="AX1186" s="114" t="s">
        <v>76</v>
      </c>
      <c r="AY1186" s="43"/>
      <c r="AZ1186" s="43"/>
      <c r="BA1186" s="43"/>
      <c r="BB1186" s="43"/>
    </row>
    <row r="1187" spans="2:54" ht="12.75" customHeight="1">
      <c r="B1187" s="320"/>
      <c r="C1187" s="134"/>
      <c r="D1187" s="98"/>
      <c r="E1187" s="504"/>
      <c r="F1187" s="306"/>
      <c r="G1187" s="265"/>
      <c r="H1187" s="266"/>
      <c r="I1187" s="297"/>
      <c r="J1187" s="298"/>
      <c r="K1187" s="298"/>
      <c r="L1187" s="298"/>
      <c r="M1187" s="41"/>
      <c r="N1187" s="21"/>
      <c r="O1187" s="21"/>
      <c r="P1187" s="21"/>
      <c r="Q1187" s="326"/>
      <c r="R1187" s="40"/>
      <c r="S1187" s="84"/>
      <c r="T1187" s="40"/>
      <c r="U1187" s="42"/>
      <c r="V1187" s="78"/>
      <c r="Z1187" s="181"/>
      <c r="AA1187" s="183"/>
      <c r="AC1187" s="26"/>
      <c r="AD1187" s="279"/>
      <c r="AE1187" s="26"/>
      <c r="AF1187" s="26"/>
      <c r="AG1187" s="278" t="str">
        <f t="shared" si="132"/>
        <v/>
      </c>
      <c r="AH1187" s="278" t="str">
        <f t="shared" si="133"/>
        <v/>
      </c>
      <c r="AJ1187" s="25"/>
      <c r="AK1187" s="25"/>
      <c r="AL1187" s="25"/>
      <c r="AM1187" s="25"/>
      <c r="AN1187" s="25"/>
      <c r="AO1187" s="25"/>
      <c r="AP1187" s="25"/>
      <c r="AQ1187" s="25"/>
      <c r="AR1187" s="25"/>
      <c r="AS1187" s="25"/>
      <c r="AT1187" s="25"/>
      <c r="AU1187" s="25"/>
      <c r="AV1187" s="43"/>
      <c r="AW1187" s="43"/>
      <c r="AX1187" s="114" t="s">
        <v>76</v>
      </c>
      <c r="AY1187" s="43"/>
      <c r="AZ1187" s="43"/>
      <c r="BA1187" s="43"/>
      <c r="BB1187" s="43"/>
    </row>
    <row r="1188" spans="2:54" ht="12.75" customHeight="1">
      <c r="B1188" s="320"/>
      <c r="C1188" s="134"/>
      <c r="D1188" s="98"/>
      <c r="E1188" s="504"/>
      <c r="F1188" s="306"/>
      <c r="G1188" s="265"/>
      <c r="H1188" s="266"/>
      <c r="I1188" s="297"/>
      <c r="J1188" s="298"/>
      <c r="K1188" s="298"/>
      <c r="L1188" s="298"/>
      <c r="M1188" s="41"/>
      <c r="N1188" s="21"/>
      <c r="O1188" s="21"/>
      <c r="P1188" s="21"/>
      <c r="Q1188" s="326"/>
      <c r="R1188" s="40"/>
      <c r="S1188" s="84"/>
      <c r="T1188" s="40"/>
      <c r="U1188" s="42"/>
      <c r="V1188" s="78"/>
      <c r="Z1188" s="181"/>
      <c r="AA1188" s="183"/>
      <c r="AC1188" s="26"/>
      <c r="AD1188" s="279"/>
      <c r="AE1188" s="26"/>
      <c r="AF1188" s="26"/>
      <c r="AG1188" s="278" t="str">
        <f t="shared" si="132"/>
        <v/>
      </c>
      <c r="AH1188" s="278" t="str">
        <f t="shared" si="133"/>
        <v/>
      </c>
      <c r="AJ1188" s="25"/>
      <c r="AK1188" s="25"/>
      <c r="AL1188" s="25"/>
      <c r="AM1188" s="25"/>
      <c r="AN1188" s="25"/>
      <c r="AO1188" s="25"/>
      <c r="AP1188" s="25"/>
      <c r="AQ1188" s="25"/>
      <c r="AR1188" s="25"/>
      <c r="AS1188" s="25"/>
      <c r="AT1188" s="25"/>
      <c r="AU1188" s="25"/>
      <c r="AV1188" s="43"/>
      <c r="AW1188" s="43"/>
      <c r="AX1188" s="114" t="s">
        <v>76</v>
      </c>
      <c r="AY1188" s="43"/>
      <c r="AZ1188" s="43"/>
      <c r="BA1188" s="43"/>
      <c r="BB1188" s="43"/>
    </row>
    <row r="1189" spans="2:54" ht="12.75" customHeight="1">
      <c r="B1189" s="320"/>
      <c r="C1189" s="134"/>
      <c r="D1189" s="98"/>
      <c r="E1189" s="504"/>
      <c r="F1189" s="306"/>
      <c r="G1189" s="265"/>
      <c r="H1189" s="266"/>
      <c r="I1189" s="297"/>
      <c r="J1189" s="298"/>
      <c r="K1189" s="298"/>
      <c r="L1189" s="298"/>
      <c r="M1189" s="41"/>
      <c r="N1189" s="21"/>
      <c r="O1189" s="21"/>
      <c r="P1189" s="21"/>
      <c r="Q1189" s="326"/>
      <c r="R1189" s="40"/>
      <c r="S1189" s="84"/>
      <c r="T1189" s="40"/>
      <c r="U1189" s="42"/>
      <c r="V1189" s="78"/>
      <c r="Z1189" s="181"/>
      <c r="AA1189" s="183"/>
      <c r="AC1189" s="26"/>
      <c r="AD1189" s="279"/>
      <c r="AE1189" s="26"/>
      <c r="AF1189" s="26"/>
      <c r="AG1189" s="278" t="str">
        <f t="shared" si="132"/>
        <v/>
      </c>
      <c r="AH1189" s="278" t="str">
        <f t="shared" si="133"/>
        <v/>
      </c>
      <c r="AJ1189" s="25"/>
      <c r="AK1189" s="25"/>
      <c r="AL1189" s="25"/>
      <c r="AM1189" s="25"/>
      <c r="AN1189" s="25"/>
      <c r="AO1189" s="25"/>
      <c r="AP1189" s="25"/>
      <c r="AQ1189" s="25"/>
      <c r="AR1189" s="25"/>
      <c r="AS1189" s="25"/>
      <c r="AT1189" s="25"/>
      <c r="AU1189" s="25"/>
      <c r="AV1189" s="43"/>
      <c r="AW1189" s="43"/>
      <c r="AX1189" s="114" t="s">
        <v>76</v>
      </c>
      <c r="AY1189" s="43"/>
      <c r="AZ1189" s="43"/>
      <c r="BA1189" s="43"/>
      <c r="BB1189" s="43"/>
    </row>
    <row r="1190" spans="2:54" ht="12.75" customHeight="1">
      <c r="B1190" s="320"/>
      <c r="C1190" s="134"/>
      <c r="D1190" s="98"/>
      <c r="E1190" s="504"/>
      <c r="F1190" s="306"/>
      <c r="G1190" s="265"/>
      <c r="H1190" s="266"/>
      <c r="I1190" s="297"/>
      <c r="J1190" s="298"/>
      <c r="K1190" s="298"/>
      <c r="L1190" s="298"/>
      <c r="M1190" s="41"/>
      <c r="N1190" s="21"/>
      <c r="O1190" s="21"/>
      <c r="P1190" s="21"/>
      <c r="Q1190" s="326"/>
      <c r="R1190" s="40"/>
      <c r="S1190" s="84"/>
      <c r="T1190" s="40"/>
      <c r="U1190" s="42"/>
      <c r="V1190" s="78"/>
      <c r="Z1190" s="181"/>
      <c r="AA1190" s="183"/>
      <c r="AC1190" s="26"/>
      <c r="AD1190" s="279"/>
      <c r="AE1190" s="26"/>
      <c r="AF1190" s="26"/>
      <c r="AG1190" s="278" t="str">
        <f t="shared" si="132"/>
        <v/>
      </c>
      <c r="AH1190" s="278" t="str">
        <f t="shared" si="133"/>
        <v/>
      </c>
      <c r="AJ1190" s="25"/>
      <c r="AK1190" s="25"/>
      <c r="AL1190" s="25"/>
      <c r="AM1190" s="25"/>
      <c r="AN1190" s="25"/>
      <c r="AO1190" s="25"/>
      <c r="AP1190" s="25"/>
      <c r="AQ1190" s="25"/>
      <c r="AR1190" s="25"/>
      <c r="AS1190" s="25"/>
      <c r="AT1190" s="25"/>
      <c r="AU1190" s="25"/>
      <c r="AV1190" s="43"/>
      <c r="AW1190" s="43"/>
      <c r="AX1190" s="114" t="s">
        <v>76</v>
      </c>
      <c r="AY1190" s="43"/>
      <c r="AZ1190" s="43"/>
      <c r="BA1190" s="43"/>
      <c r="BB1190" s="43"/>
    </row>
    <row r="1191" spans="2:54" ht="12.75" customHeight="1">
      <c r="B1191" s="320"/>
      <c r="C1191" s="134"/>
      <c r="D1191" s="98"/>
      <c r="E1191" s="504"/>
      <c r="F1191" s="306"/>
      <c r="G1191" s="265"/>
      <c r="H1191" s="266"/>
      <c r="I1191" s="297"/>
      <c r="J1191" s="298"/>
      <c r="K1191" s="298"/>
      <c r="L1191" s="298"/>
      <c r="M1191" s="41"/>
      <c r="N1191" s="21"/>
      <c r="O1191" s="21"/>
      <c r="P1191" s="21"/>
      <c r="Q1191" s="326"/>
      <c r="R1191" s="40"/>
      <c r="S1191" s="84"/>
      <c r="T1191" s="40"/>
      <c r="U1191" s="42"/>
      <c r="V1191" s="78"/>
      <c r="Z1191" s="181"/>
      <c r="AA1191" s="183"/>
      <c r="AC1191" s="26"/>
      <c r="AD1191" s="279"/>
      <c r="AE1191" s="26"/>
      <c r="AF1191" s="26"/>
      <c r="AG1191" s="278" t="str">
        <f t="shared" si="132"/>
        <v/>
      </c>
      <c r="AH1191" s="278" t="str">
        <f t="shared" si="133"/>
        <v/>
      </c>
      <c r="AJ1191" s="25"/>
      <c r="AK1191" s="25"/>
      <c r="AL1191" s="25"/>
      <c r="AM1191" s="25"/>
      <c r="AN1191" s="25"/>
      <c r="AO1191" s="25"/>
      <c r="AP1191" s="25"/>
      <c r="AQ1191" s="25"/>
      <c r="AR1191" s="25"/>
      <c r="AS1191" s="25"/>
      <c r="AT1191" s="25"/>
      <c r="AU1191" s="25"/>
      <c r="AV1191" s="43"/>
      <c r="AW1191" s="43"/>
      <c r="AX1191" s="114" t="s">
        <v>76</v>
      </c>
      <c r="AY1191" s="43"/>
      <c r="AZ1191" s="43"/>
      <c r="BA1191" s="43"/>
      <c r="BB1191" s="43"/>
    </row>
    <row r="1192" spans="2:54" ht="12.75" customHeight="1">
      <c r="B1192" s="320"/>
      <c r="C1192" s="134"/>
      <c r="D1192" s="98"/>
      <c r="E1192" s="504"/>
      <c r="F1192" s="306"/>
      <c r="G1192" s="265"/>
      <c r="H1192" s="266"/>
      <c r="I1192" s="297"/>
      <c r="J1192" s="298"/>
      <c r="K1192" s="298"/>
      <c r="L1192" s="298"/>
      <c r="M1192" s="41"/>
      <c r="N1192" s="21"/>
      <c r="O1192" s="21"/>
      <c r="P1192" s="21"/>
      <c r="Q1192" s="326"/>
      <c r="R1192" s="40"/>
      <c r="S1192" s="84"/>
      <c r="T1192" s="40"/>
      <c r="U1192" s="42"/>
      <c r="V1192" s="78"/>
      <c r="Z1192" s="181"/>
      <c r="AA1192" s="183"/>
      <c r="AC1192" s="26"/>
      <c r="AD1192" s="279"/>
      <c r="AE1192" s="26"/>
      <c r="AF1192" s="26"/>
      <c r="AG1192" s="278" t="str">
        <f t="shared" si="132"/>
        <v/>
      </c>
      <c r="AH1192" s="278" t="str">
        <f t="shared" si="133"/>
        <v/>
      </c>
      <c r="AJ1192" s="25"/>
      <c r="AK1192" s="25"/>
      <c r="AL1192" s="25"/>
      <c r="AM1192" s="25"/>
      <c r="AN1192" s="25"/>
      <c r="AO1192" s="25"/>
      <c r="AP1192" s="25"/>
      <c r="AQ1192" s="25"/>
      <c r="AR1192" s="25"/>
      <c r="AS1192" s="25"/>
      <c r="AT1192" s="25"/>
      <c r="AU1192" s="25"/>
      <c r="AV1192" s="43"/>
      <c r="AW1192" s="43"/>
      <c r="AX1192" s="114" t="s">
        <v>76</v>
      </c>
      <c r="AY1192" s="43"/>
      <c r="AZ1192" s="43"/>
      <c r="BA1192" s="43"/>
      <c r="BB1192" s="43"/>
    </row>
    <row r="1193" spans="2:54" ht="12.75" customHeight="1">
      <c r="B1193" s="320"/>
      <c r="C1193" s="134"/>
      <c r="D1193" s="98"/>
      <c r="E1193" s="504"/>
      <c r="F1193" s="306"/>
      <c r="G1193" s="265"/>
      <c r="H1193" s="266"/>
      <c r="I1193" s="297"/>
      <c r="J1193" s="298"/>
      <c r="K1193" s="298"/>
      <c r="L1193" s="298"/>
      <c r="M1193" s="41"/>
      <c r="N1193" s="21"/>
      <c r="O1193" s="21"/>
      <c r="P1193" s="21"/>
      <c r="Q1193" s="326"/>
      <c r="R1193" s="40"/>
      <c r="S1193" s="84"/>
      <c r="T1193" s="40"/>
      <c r="U1193" s="42"/>
      <c r="V1193" s="78"/>
      <c r="Z1193" s="181"/>
      <c r="AA1193" s="183"/>
      <c r="AC1193" s="26"/>
      <c r="AD1193" s="279"/>
      <c r="AE1193" s="26"/>
      <c r="AF1193" s="26"/>
      <c r="AG1193" s="278" t="str">
        <f t="shared" si="132"/>
        <v/>
      </c>
      <c r="AH1193" s="278" t="str">
        <f t="shared" si="133"/>
        <v/>
      </c>
      <c r="AJ1193" s="25"/>
      <c r="AK1193" s="25"/>
      <c r="AL1193" s="25"/>
      <c r="AM1193" s="25"/>
      <c r="AN1193" s="25"/>
      <c r="AO1193" s="25"/>
      <c r="AP1193" s="25"/>
      <c r="AQ1193" s="25"/>
      <c r="AR1193" s="25"/>
      <c r="AS1193" s="25"/>
      <c r="AT1193" s="25"/>
      <c r="AU1193" s="25"/>
      <c r="AV1193" s="43"/>
      <c r="AW1193" s="43"/>
      <c r="AX1193" s="114" t="s">
        <v>76</v>
      </c>
      <c r="AY1193" s="43"/>
      <c r="AZ1193" s="43"/>
      <c r="BA1193" s="43"/>
      <c r="BB1193" s="43"/>
    </row>
    <row r="1194" spans="2:54" ht="12.75" customHeight="1">
      <c r="B1194" s="320"/>
      <c r="C1194" s="134"/>
      <c r="D1194" s="98"/>
      <c r="E1194" s="504"/>
      <c r="F1194" s="306"/>
      <c r="G1194" s="265"/>
      <c r="H1194" s="266"/>
      <c r="I1194" s="297"/>
      <c r="J1194" s="298"/>
      <c r="K1194" s="298"/>
      <c r="L1194" s="298"/>
      <c r="M1194" s="41"/>
      <c r="N1194" s="21"/>
      <c r="O1194" s="21"/>
      <c r="P1194" s="21"/>
      <c r="Q1194" s="326"/>
      <c r="R1194" s="40"/>
      <c r="S1194" s="84"/>
      <c r="T1194" s="40"/>
      <c r="U1194" s="42"/>
      <c r="V1194" s="78"/>
      <c r="Z1194" s="181"/>
      <c r="AA1194" s="183"/>
      <c r="AC1194" s="26"/>
      <c r="AD1194" s="279"/>
      <c r="AE1194" s="26"/>
      <c r="AF1194" s="26"/>
      <c r="AG1194" s="278" t="str">
        <f t="shared" si="132"/>
        <v/>
      </c>
      <c r="AH1194" s="278" t="str">
        <f t="shared" si="133"/>
        <v/>
      </c>
      <c r="AJ1194" s="25"/>
      <c r="AK1194" s="25"/>
      <c r="AL1194" s="25"/>
      <c r="AM1194" s="25"/>
      <c r="AN1194" s="25"/>
      <c r="AO1194" s="25"/>
      <c r="AP1194" s="25"/>
      <c r="AQ1194" s="25"/>
      <c r="AR1194" s="25"/>
      <c r="AS1194" s="25"/>
      <c r="AT1194" s="25"/>
      <c r="AU1194" s="25"/>
      <c r="AV1194" s="43"/>
      <c r="AW1194" s="43"/>
      <c r="AX1194" s="114" t="s">
        <v>76</v>
      </c>
      <c r="AY1194" s="43"/>
      <c r="AZ1194" s="43"/>
      <c r="BA1194" s="43"/>
      <c r="BB1194" s="43"/>
    </row>
    <row r="1195" spans="2:54" ht="12.75" customHeight="1">
      <c r="B1195" s="320"/>
      <c r="C1195" s="134"/>
      <c r="D1195" s="98"/>
      <c r="E1195" s="504"/>
      <c r="F1195" s="306"/>
      <c r="G1195" s="265"/>
      <c r="H1195" s="266"/>
      <c r="I1195" s="297"/>
      <c r="J1195" s="298"/>
      <c r="K1195" s="298"/>
      <c r="L1195" s="298"/>
      <c r="M1195" s="41"/>
      <c r="N1195" s="21"/>
      <c r="O1195" s="21"/>
      <c r="P1195" s="21"/>
      <c r="Q1195" s="326"/>
      <c r="R1195" s="40"/>
      <c r="S1195" s="84"/>
      <c r="T1195" s="40"/>
      <c r="U1195" s="42"/>
      <c r="V1195" s="78"/>
      <c r="Z1195" s="181"/>
      <c r="AA1195" s="183"/>
      <c r="AC1195" s="26"/>
      <c r="AD1195" s="279"/>
      <c r="AE1195" s="26"/>
      <c r="AF1195" s="26"/>
      <c r="AG1195" s="278" t="str">
        <f t="shared" si="132"/>
        <v/>
      </c>
      <c r="AH1195" s="278" t="str">
        <f t="shared" si="133"/>
        <v/>
      </c>
      <c r="AJ1195" s="25"/>
      <c r="AK1195" s="25"/>
      <c r="AL1195" s="25"/>
      <c r="AM1195" s="25"/>
      <c r="AN1195" s="25"/>
      <c r="AO1195" s="25"/>
      <c r="AP1195" s="25"/>
      <c r="AQ1195" s="25"/>
      <c r="AR1195" s="25"/>
      <c r="AS1195" s="25"/>
      <c r="AT1195" s="25"/>
      <c r="AU1195" s="25"/>
      <c r="AV1195" s="43"/>
      <c r="AW1195" s="43"/>
      <c r="AX1195" s="114" t="s">
        <v>76</v>
      </c>
      <c r="AY1195" s="43"/>
      <c r="AZ1195" s="43"/>
      <c r="BA1195" s="43"/>
      <c r="BB1195" s="43"/>
    </row>
    <row r="1196" spans="2:54" ht="12.75" customHeight="1">
      <c r="B1196" s="320"/>
      <c r="C1196" s="134"/>
      <c r="D1196" s="98"/>
      <c r="E1196" s="504"/>
      <c r="F1196" s="306"/>
      <c r="G1196" s="265"/>
      <c r="H1196" s="266"/>
      <c r="I1196" s="297"/>
      <c r="J1196" s="298"/>
      <c r="K1196" s="298"/>
      <c r="L1196" s="298"/>
      <c r="M1196" s="41"/>
      <c r="N1196" s="21"/>
      <c r="O1196" s="21"/>
      <c r="P1196" s="21"/>
      <c r="Q1196" s="326"/>
      <c r="R1196" s="40"/>
      <c r="S1196" s="84"/>
      <c r="T1196" s="40"/>
      <c r="U1196" s="42"/>
      <c r="V1196" s="78"/>
      <c r="Z1196" s="181"/>
      <c r="AA1196" s="183"/>
      <c r="AC1196" s="26"/>
      <c r="AD1196" s="279"/>
      <c r="AE1196" s="26"/>
      <c r="AF1196" s="26"/>
      <c r="AG1196" s="278" t="str">
        <f t="shared" si="132"/>
        <v/>
      </c>
      <c r="AH1196" s="278" t="str">
        <f t="shared" si="133"/>
        <v/>
      </c>
      <c r="AJ1196" s="25"/>
      <c r="AK1196" s="25"/>
      <c r="AL1196" s="25"/>
      <c r="AM1196" s="25"/>
      <c r="AN1196" s="25"/>
      <c r="AO1196" s="25"/>
      <c r="AP1196" s="25"/>
      <c r="AQ1196" s="25"/>
      <c r="AR1196" s="25"/>
      <c r="AS1196" s="25"/>
      <c r="AT1196" s="25"/>
      <c r="AU1196" s="25"/>
      <c r="AV1196" s="43"/>
      <c r="AW1196" s="43"/>
      <c r="AX1196" s="114" t="s">
        <v>76</v>
      </c>
      <c r="AY1196" s="43"/>
      <c r="AZ1196" s="43"/>
      <c r="BA1196" s="43"/>
      <c r="BB1196" s="43"/>
    </row>
    <row r="1197" spans="2:54" ht="12.75" customHeight="1">
      <c r="B1197" s="320"/>
      <c r="C1197" s="134"/>
      <c r="D1197" s="98"/>
      <c r="E1197" s="504"/>
      <c r="F1197" s="306"/>
      <c r="G1197" s="265"/>
      <c r="H1197" s="266"/>
      <c r="I1197" s="297"/>
      <c r="J1197" s="298"/>
      <c r="K1197" s="298"/>
      <c r="L1197" s="298"/>
      <c r="M1197" s="41"/>
      <c r="N1197" s="21"/>
      <c r="O1197" s="21"/>
      <c r="P1197" s="21"/>
      <c r="Q1197" s="326"/>
      <c r="R1197" s="40"/>
      <c r="S1197" s="84"/>
      <c r="T1197" s="40"/>
      <c r="U1197" s="42"/>
      <c r="V1197" s="78"/>
      <c r="Z1197" s="181"/>
      <c r="AA1197" s="183"/>
      <c r="AC1197" s="26"/>
      <c r="AD1197" s="279"/>
      <c r="AE1197" s="26"/>
      <c r="AF1197" s="26"/>
      <c r="AG1197" s="278" t="str">
        <f t="shared" si="132"/>
        <v/>
      </c>
      <c r="AH1197" s="278" t="str">
        <f t="shared" si="133"/>
        <v/>
      </c>
      <c r="AJ1197" s="25"/>
      <c r="AK1197" s="25"/>
      <c r="AL1197" s="25"/>
      <c r="AM1197" s="25"/>
      <c r="AN1197" s="25"/>
      <c r="AO1197" s="25"/>
      <c r="AP1197" s="25"/>
      <c r="AQ1197" s="25"/>
      <c r="AR1197" s="25"/>
      <c r="AS1197" s="25"/>
      <c r="AT1197" s="25"/>
      <c r="AU1197" s="25"/>
      <c r="AV1197" s="43"/>
      <c r="AW1197" s="43"/>
      <c r="AX1197" s="114" t="s">
        <v>76</v>
      </c>
      <c r="AY1197" s="43"/>
      <c r="AZ1197" s="43"/>
      <c r="BA1197" s="43"/>
      <c r="BB1197" s="43"/>
    </row>
    <row r="1198" spans="2:54" ht="12.75" customHeight="1">
      <c r="B1198" s="320"/>
      <c r="C1198" s="134"/>
      <c r="D1198" s="98"/>
      <c r="E1198" s="504"/>
      <c r="F1198" s="306"/>
      <c r="G1198" s="265"/>
      <c r="H1198" s="266"/>
      <c r="I1198" s="297"/>
      <c r="J1198" s="298"/>
      <c r="K1198" s="298"/>
      <c r="L1198" s="298"/>
      <c r="M1198" s="41"/>
      <c r="N1198" s="21"/>
      <c r="O1198" s="21"/>
      <c r="P1198" s="21"/>
      <c r="Q1198" s="326"/>
      <c r="R1198" s="40"/>
      <c r="S1198" s="84"/>
      <c r="T1198" s="40"/>
      <c r="U1198" s="42"/>
      <c r="V1198" s="78"/>
      <c r="Z1198" s="181"/>
      <c r="AA1198" s="183"/>
      <c r="AC1198" s="26"/>
      <c r="AD1198" s="279"/>
      <c r="AE1198" s="26"/>
      <c r="AF1198" s="26"/>
      <c r="AG1198" s="278" t="str">
        <f t="shared" si="132"/>
        <v/>
      </c>
      <c r="AH1198" s="278" t="str">
        <f t="shared" si="133"/>
        <v/>
      </c>
      <c r="AJ1198" s="25"/>
      <c r="AK1198" s="25"/>
      <c r="AL1198" s="25"/>
      <c r="AM1198" s="25"/>
      <c r="AN1198" s="25"/>
      <c r="AO1198" s="25"/>
      <c r="AP1198" s="25"/>
      <c r="AQ1198" s="25"/>
      <c r="AR1198" s="25"/>
      <c r="AS1198" s="25"/>
      <c r="AT1198" s="25"/>
      <c r="AU1198" s="25"/>
      <c r="AV1198" s="43"/>
      <c r="AW1198" s="43"/>
      <c r="AX1198" s="114" t="s">
        <v>76</v>
      </c>
      <c r="AY1198" s="43"/>
      <c r="AZ1198" s="43"/>
      <c r="BA1198" s="43"/>
      <c r="BB1198" s="43"/>
    </row>
    <row r="1199" spans="2:54" ht="12.75" customHeight="1">
      <c r="B1199" s="320"/>
      <c r="C1199" s="134"/>
      <c r="D1199" s="98"/>
      <c r="E1199" s="504"/>
      <c r="F1199" s="306"/>
      <c r="G1199" s="265"/>
      <c r="H1199" s="266"/>
      <c r="I1199" s="297"/>
      <c r="J1199" s="298"/>
      <c r="K1199" s="298"/>
      <c r="L1199" s="298"/>
      <c r="M1199" s="41"/>
      <c r="N1199" s="21"/>
      <c r="O1199" s="21"/>
      <c r="P1199" s="21"/>
      <c r="Q1199" s="326"/>
      <c r="R1199" s="40"/>
      <c r="S1199" s="84"/>
      <c r="T1199" s="40"/>
      <c r="U1199" s="42"/>
      <c r="V1199" s="78"/>
      <c r="Z1199" s="181"/>
      <c r="AA1199" s="183"/>
      <c r="AC1199" s="26"/>
      <c r="AD1199" s="279"/>
      <c r="AE1199" s="26"/>
      <c r="AF1199" s="26"/>
      <c r="AG1199" s="278" t="str">
        <f t="shared" si="132"/>
        <v/>
      </c>
      <c r="AH1199" s="278" t="str">
        <f t="shared" si="133"/>
        <v/>
      </c>
      <c r="AJ1199" s="25"/>
      <c r="AK1199" s="25"/>
      <c r="AL1199" s="25"/>
      <c r="AM1199" s="25"/>
      <c r="AN1199" s="25"/>
      <c r="AO1199" s="25"/>
      <c r="AP1199" s="25"/>
      <c r="AQ1199" s="25"/>
      <c r="AR1199" s="25"/>
      <c r="AS1199" s="25"/>
      <c r="AT1199" s="25"/>
      <c r="AU1199" s="25"/>
      <c r="AV1199" s="43"/>
      <c r="AW1199" s="43"/>
      <c r="AX1199" s="114" t="s">
        <v>76</v>
      </c>
      <c r="AY1199" s="43"/>
      <c r="AZ1199" s="43"/>
      <c r="BA1199" s="43"/>
      <c r="BB1199" s="43"/>
    </row>
    <row r="1200" spans="2:54" ht="12.75" customHeight="1">
      <c r="B1200" s="320"/>
      <c r="C1200" s="134"/>
      <c r="D1200" s="98"/>
      <c r="E1200" s="504"/>
      <c r="F1200" s="306"/>
      <c r="G1200" s="265"/>
      <c r="H1200" s="266"/>
      <c r="I1200" s="297"/>
      <c r="J1200" s="298"/>
      <c r="K1200" s="298"/>
      <c r="L1200" s="298"/>
      <c r="M1200" s="41"/>
      <c r="N1200" s="21"/>
      <c r="O1200" s="21"/>
      <c r="P1200" s="21"/>
      <c r="Q1200" s="326"/>
      <c r="R1200" s="40"/>
      <c r="S1200" s="84"/>
      <c r="T1200" s="40"/>
      <c r="U1200" s="42"/>
      <c r="V1200" s="78"/>
      <c r="Z1200" s="181"/>
      <c r="AA1200" s="183"/>
      <c r="AC1200" s="26"/>
      <c r="AD1200" s="279"/>
      <c r="AE1200" s="26"/>
      <c r="AF1200" s="26"/>
      <c r="AG1200" s="278" t="str">
        <f t="shared" si="132"/>
        <v/>
      </c>
      <c r="AH1200" s="278" t="str">
        <f t="shared" si="133"/>
        <v/>
      </c>
      <c r="AJ1200" s="25"/>
      <c r="AK1200" s="25"/>
      <c r="AL1200" s="25"/>
      <c r="AM1200" s="25"/>
      <c r="AN1200" s="25"/>
      <c r="AO1200" s="25"/>
      <c r="AP1200" s="25"/>
      <c r="AQ1200" s="25"/>
      <c r="AR1200" s="25"/>
      <c r="AS1200" s="25"/>
      <c r="AT1200" s="25"/>
      <c r="AU1200" s="25"/>
      <c r="AV1200" s="43"/>
      <c r="AW1200" s="43"/>
      <c r="AX1200" s="114" t="s">
        <v>76</v>
      </c>
      <c r="AY1200" s="43"/>
      <c r="AZ1200" s="43"/>
      <c r="BA1200" s="43"/>
      <c r="BB1200" s="43"/>
    </row>
    <row r="1201" spans="2:54" ht="12.75" customHeight="1">
      <c r="B1201" s="320"/>
      <c r="C1201" s="134"/>
      <c r="D1201" s="98"/>
      <c r="E1201" s="504"/>
      <c r="F1201" s="306"/>
      <c r="G1201" s="265"/>
      <c r="H1201" s="266"/>
      <c r="I1201" s="297"/>
      <c r="J1201" s="298"/>
      <c r="K1201" s="298"/>
      <c r="L1201" s="298"/>
      <c r="M1201" s="41"/>
      <c r="N1201" s="21"/>
      <c r="O1201" s="21"/>
      <c r="P1201" s="21"/>
      <c r="Q1201" s="326"/>
      <c r="R1201" s="40"/>
      <c r="S1201" s="84"/>
      <c r="T1201" s="40"/>
      <c r="U1201" s="42"/>
      <c r="V1201" s="78"/>
      <c r="Z1201" s="181"/>
      <c r="AA1201" s="183"/>
      <c r="AC1201" s="26"/>
      <c r="AD1201" s="279"/>
      <c r="AE1201" s="26"/>
      <c r="AF1201" s="26"/>
      <c r="AG1201" s="278" t="str">
        <f t="shared" si="132"/>
        <v/>
      </c>
      <c r="AH1201" s="278" t="str">
        <f t="shared" si="133"/>
        <v/>
      </c>
      <c r="AJ1201" s="25"/>
      <c r="AK1201" s="25"/>
      <c r="AL1201" s="25"/>
      <c r="AM1201" s="25"/>
      <c r="AN1201" s="25"/>
      <c r="AO1201" s="25"/>
      <c r="AP1201" s="25"/>
      <c r="AQ1201" s="25"/>
      <c r="AR1201" s="25"/>
      <c r="AS1201" s="25"/>
      <c r="AT1201" s="25"/>
      <c r="AU1201" s="25"/>
      <c r="AV1201" s="43"/>
      <c r="AW1201" s="43"/>
      <c r="AX1201" s="114" t="s">
        <v>76</v>
      </c>
      <c r="AY1201" s="43"/>
      <c r="AZ1201" s="43"/>
      <c r="BA1201" s="43"/>
      <c r="BB1201" s="43"/>
    </row>
    <row r="1202" spans="2:54" ht="12.75" customHeight="1">
      <c r="B1202" s="320"/>
      <c r="C1202" s="134"/>
      <c r="D1202" s="98"/>
      <c r="E1202" s="504"/>
      <c r="F1202" s="306"/>
      <c r="G1202" s="265"/>
      <c r="H1202" s="266"/>
      <c r="I1202" s="297"/>
      <c r="J1202" s="298"/>
      <c r="K1202" s="298"/>
      <c r="L1202" s="298"/>
      <c r="M1202" s="41"/>
      <c r="N1202" s="21"/>
      <c r="O1202" s="21"/>
      <c r="P1202" s="21"/>
      <c r="Q1202" s="326"/>
      <c r="R1202" s="40"/>
      <c r="S1202" s="84"/>
      <c r="T1202" s="40"/>
      <c r="U1202" s="42"/>
      <c r="V1202" s="78"/>
      <c r="Z1202" s="181"/>
      <c r="AA1202" s="183"/>
      <c r="AC1202" s="26"/>
      <c r="AD1202" s="279"/>
      <c r="AE1202" s="26"/>
      <c r="AF1202" s="26"/>
      <c r="AG1202" s="278" t="str">
        <f t="shared" si="132"/>
        <v/>
      </c>
      <c r="AH1202" s="278" t="str">
        <f t="shared" si="133"/>
        <v/>
      </c>
      <c r="AJ1202" s="25"/>
      <c r="AK1202" s="25"/>
      <c r="AL1202" s="25"/>
      <c r="AM1202" s="25"/>
      <c r="AN1202" s="25"/>
      <c r="AO1202" s="25"/>
      <c r="AP1202" s="25"/>
      <c r="AQ1202" s="25"/>
      <c r="AR1202" s="25"/>
      <c r="AS1202" s="25"/>
      <c r="AT1202" s="25"/>
      <c r="AU1202" s="25"/>
      <c r="AV1202" s="43"/>
      <c r="AW1202" s="43"/>
      <c r="AX1202" s="114" t="s">
        <v>76</v>
      </c>
      <c r="AY1202" s="43"/>
      <c r="AZ1202" s="43"/>
      <c r="BA1202" s="43"/>
      <c r="BB1202" s="43"/>
    </row>
    <row r="1203" spans="2:54" ht="12.75" customHeight="1">
      <c r="B1203" s="320"/>
      <c r="C1203" s="134"/>
      <c r="D1203" s="98"/>
      <c r="E1203" s="504"/>
      <c r="F1203" s="306"/>
      <c r="G1203" s="265"/>
      <c r="H1203" s="266"/>
      <c r="I1203" s="297"/>
      <c r="J1203" s="298"/>
      <c r="K1203" s="298"/>
      <c r="L1203" s="298"/>
      <c r="M1203" s="41"/>
      <c r="N1203" s="21"/>
      <c r="O1203" s="21"/>
      <c r="P1203" s="21"/>
      <c r="Q1203" s="326"/>
      <c r="R1203" s="40"/>
      <c r="S1203" s="84"/>
      <c r="T1203" s="40"/>
      <c r="U1203" s="42"/>
      <c r="V1203" s="78"/>
      <c r="Z1203" s="181"/>
      <c r="AA1203" s="183"/>
      <c r="AC1203" s="26"/>
      <c r="AD1203" s="279"/>
      <c r="AE1203" s="26"/>
      <c r="AF1203" s="26"/>
      <c r="AG1203" s="278" t="str">
        <f t="shared" si="132"/>
        <v/>
      </c>
      <c r="AH1203" s="278" t="str">
        <f t="shared" si="133"/>
        <v/>
      </c>
      <c r="AJ1203" s="25"/>
      <c r="AK1203" s="25"/>
      <c r="AL1203" s="25"/>
      <c r="AM1203" s="25"/>
      <c r="AN1203" s="25"/>
      <c r="AO1203" s="25"/>
      <c r="AP1203" s="25"/>
      <c r="AQ1203" s="25"/>
      <c r="AR1203" s="25"/>
      <c r="AS1203" s="25"/>
      <c r="AT1203" s="25"/>
      <c r="AU1203" s="25"/>
      <c r="AV1203" s="43"/>
      <c r="AW1203" s="43"/>
      <c r="AX1203" s="114" t="s">
        <v>76</v>
      </c>
      <c r="AY1203" s="43"/>
      <c r="AZ1203" s="43"/>
      <c r="BA1203" s="43"/>
      <c r="BB1203" s="43"/>
    </row>
    <row r="1204" spans="2:54" ht="12.75" customHeight="1">
      <c r="B1204" s="320"/>
      <c r="C1204" s="134"/>
      <c r="D1204" s="98"/>
      <c r="E1204" s="504"/>
      <c r="F1204" s="306"/>
      <c r="G1204" s="265"/>
      <c r="H1204" s="266"/>
      <c r="I1204" s="297"/>
      <c r="J1204" s="298"/>
      <c r="K1204" s="298"/>
      <c r="L1204" s="298"/>
      <c r="M1204" s="41"/>
      <c r="N1204" s="21"/>
      <c r="O1204" s="21"/>
      <c r="P1204" s="21"/>
      <c r="Q1204" s="326"/>
      <c r="R1204" s="40"/>
      <c r="S1204" s="84"/>
      <c r="T1204" s="40"/>
      <c r="U1204" s="42"/>
      <c r="V1204" s="78"/>
      <c r="Z1204" s="181"/>
      <c r="AA1204" s="183"/>
      <c r="AC1204" s="26"/>
      <c r="AD1204" s="279"/>
      <c r="AE1204" s="26"/>
      <c r="AF1204" s="26"/>
      <c r="AG1204" s="278" t="str">
        <f t="shared" si="132"/>
        <v/>
      </c>
      <c r="AH1204" s="278" t="str">
        <f t="shared" si="133"/>
        <v/>
      </c>
      <c r="AJ1204" s="25"/>
      <c r="AK1204" s="25"/>
      <c r="AL1204" s="25"/>
      <c r="AM1204" s="25"/>
      <c r="AN1204" s="25"/>
      <c r="AO1204" s="25"/>
      <c r="AP1204" s="25"/>
      <c r="AQ1204" s="25"/>
      <c r="AR1204" s="25"/>
      <c r="AS1204" s="25"/>
      <c r="AT1204" s="25"/>
      <c r="AU1204" s="25"/>
      <c r="AV1204" s="43"/>
      <c r="AW1204" s="43"/>
      <c r="AX1204" s="114" t="s">
        <v>76</v>
      </c>
      <c r="AY1204" s="43"/>
      <c r="AZ1204" s="43"/>
      <c r="BA1204" s="43"/>
      <c r="BB1204" s="43"/>
    </row>
    <row r="1205" spans="2:54" ht="12.75" customHeight="1">
      <c r="B1205" s="320"/>
      <c r="C1205" s="134"/>
      <c r="D1205" s="98"/>
      <c r="E1205" s="504"/>
      <c r="F1205" s="306"/>
      <c r="G1205" s="265"/>
      <c r="H1205" s="266"/>
      <c r="I1205" s="297"/>
      <c r="J1205" s="298"/>
      <c r="K1205" s="298"/>
      <c r="L1205" s="298"/>
      <c r="M1205" s="41"/>
      <c r="N1205" s="21"/>
      <c r="O1205" s="21"/>
      <c r="P1205" s="21"/>
      <c r="Q1205" s="326"/>
      <c r="R1205" s="40"/>
      <c r="S1205" s="84"/>
      <c r="T1205" s="40"/>
      <c r="U1205" s="42"/>
      <c r="V1205" s="78"/>
      <c r="Z1205" s="181"/>
      <c r="AA1205" s="183"/>
      <c r="AC1205" s="26"/>
      <c r="AD1205" s="279"/>
      <c r="AE1205" s="26"/>
      <c r="AF1205" s="26"/>
      <c r="AG1205" s="278" t="str">
        <f t="shared" si="132"/>
        <v/>
      </c>
      <c r="AH1205" s="278" t="str">
        <f t="shared" si="133"/>
        <v/>
      </c>
      <c r="AJ1205" s="25"/>
      <c r="AK1205" s="25"/>
      <c r="AL1205" s="25"/>
      <c r="AM1205" s="25"/>
      <c r="AN1205" s="25"/>
      <c r="AO1205" s="25"/>
      <c r="AP1205" s="25"/>
      <c r="AQ1205" s="25"/>
      <c r="AR1205" s="25"/>
      <c r="AS1205" s="25"/>
      <c r="AT1205" s="25"/>
      <c r="AU1205" s="25"/>
      <c r="AV1205" s="43"/>
      <c r="AW1205" s="43"/>
      <c r="AX1205" s="114" t="s">
        <v>76</v>
      </c>
      <c r="AY1205" s="43"/>
      <c r="AZ1205" s="43"/>
      <c r="BA1205" s="43"/>
      <c r="BB1205" s="43"/>
    </row>
    <row r="1206" spans="2:54" ht="12.75" customHeight="1">
      <c r="B1206" s="320"/>
      <c r="C1206" s="134"/>
      <c r="D1206" s="98"/>
      <c r="E1206" s="504"/>
      <c r="F1206" s="306"/>
      <c r="G1206" s="265"/>
      <c r="H1206" s="266"/>
      <c r="I1206" s="297"/>
      <c r="J1206" s="298"/>
      <c r="K1206" s="298"/>
      <c r="L1206" s="298"/>
      <c r="M1206" s="41"/>
      <c r="N1206" s="21"/>
      <c r="O1206" s="21"/>
      <c r="P1206" s="21"/>
      <c r="Q1206" s="326"/>
      <c r="R1206" s="40"/>
      <c r="S1206" s="84"/>
      <c r="T1206" s="40"/>
      <c r="U1206" s="42"/>
      <c r="V1206" s="78"/>
      <c r="Z1206" s="181"/>
      <c r="AA1206" s="183"/>
      <c r="AC1206" s="26"/>
      <c r="AD1206" s="279"/>
      <c r="AE1206" s="26"/>
      <c r="AF1206" s="26"/>
      <c r="AG1206" s="278" t="str">
        <f t="shared" si="132"/>
        <v/>
      </c>
      <c r="AH1206" s="278" t="str">
        <f t="shared" si="133"/>
        <v/>
      </c>
      <c r="AJ1206" s="25"/>
      <c r="AK1206" s="25"/>
      <c r="AL1206" s="25"/>
      <c r="AM1206" s="25"/>
      <c r="AN1206" s="25"/>
      <c r="AO1206" s="25"/>
      <c r="AP1206" s="25"/>
      <c r="AQ1206" s="25"/>
      <c r="AR1206" s="25"/>
      <c r="AS1206" s="25"/>
      <c r="AT1206" s="25"/>
      <c r="AU1206" s="25"/>
      <c r="AV1206" s="43"/>
      <c r="AW1206" s="43"/>
      <c r="AX1206" s="114" t="s">
        <v>76</v>
      </c>
      <c r="AY1206" s="43"/>
      <c r="AZ1206" s="43"/>
      <c r="BA1206" s="43"/>
      <c r="BB1206" s="43"/>
    </row>
    <row r="1207" spans="2:54" ht="12.75" customHeight="1">
      <c r="B1207" s="320"/>
      <c r="C1207" s="134"/>
      <c r="D1207" s="98"/>
      <c r="E1207" s="504"/>
      <c r="F1207" s="306"/>
      <c r="G1207" s="265"/>
      <c r="H1207" s="266"/>
      <c r="I1207" s="297"/>
      <c r="J1207" s="298"/>
      <c r="K1207" s="298"/>
      <c r="L1207" s="298"/>
      <c r="M1207" s="41"/>
      <c r="N1207" s="21"/>
      <c r="O1207" s="21"/>
      <c r="P1207" s="21"/>
      <c r="Q1207" s="326"/>
      <c r="R1207" s="40"/>
      <c r="S1207" s="84"/>
      <c r="T1207" s="40"/>
      <c r="U1207" s="42"/>
      <c r="V1207" s="78"/>
      <c r="Z1207" s="181"/>
      <c r="AA1207" s="183"/>
      <c r="AC1207" s="26"/>
      <c r="AD1207" s="279"/>
      <c r="AE1207" s="26"/>
      <c r="AF1207" s="26"/>
      <c r="AG1207" s="278" t="str">
        <f t="shared" si="132"/>
        <v/>
      </c>
      <c r="AH1207" s="278" t="str">
        <f t="shared" si="133"/>
        <v/>
      </c>
      <c r="AJ1207" s="25"/>
      <c r="AK1207" s="25"/>
      <c r="AL1207" s="25"/>
      <c r="AM1207" s="25"/>
      <c r="AN1207" s="25"/>
      <c r="AO1207" s="25"/>
      <c r="AP1207" s="25"/>
      <c r="AQ1207" s="25"/>
      <c r="AR1207" s="25"/>
      <c r="AS1207" s="25"/>
      <c r="AT1207" s="25"/>
      <c r="AU1207" s="25"/>
      <c r="AV1207" s="43"/>
      <c r="AW1207" s="43"/>
      <c r="AX1207" s="114" t="s">
        <v>76</v>
      </c>
      <c r="AY1207" s="43"/>
      <c r="AZ1207" s="43"/>
      <c r="BA1207" s="43"/>
      <c r="BB1207" s="43"/>
    </row>
    <row r="1208" spans="2:54" ht="12.75" customHeight="1">
      <c r="B1208" s="320"/>
      <c r="C1208" s="134"/>
      <c r="D1208" s="98"/>
      <c r="E1208" s="504"/>
      <c r="F1208" s="306"/>
      <c r="G1208" s="265"/>
      <c r="H1208" s="266"/>
      <c r="I1208" s="297"/>
      <c r="J1208" s="298"/>
      <c r="K1208" s="298"/>
      <c r="L1208" s="298"/>
      <c r="M1208" s="41"/>
      <c r="N1208" s="21"/>
      <c r="O1208" s="21"/>
      <c r="P1208" s="21"/>
      <c r="Q1208" s="326"/>
      <c r="R1208" s="40"/>
      <c r="S1208" s="84"/>
      <c r="T1208" s="40"/>
      <c r="U1208" s="42"/>
      <c r="V1208" s="78"/>
      <c r="Z1208" s="181"/>
      <c r="AA1208" s="183"/>
      <c r="AC1208" s="26"/>
      <c r="AD1208" s="279"/>
      <c r="AE1208" s="26"/>
      <c r="AF1208" s="26"/>
      <c r="AG1208" s="278" t="str">
        <f t="shared" si="132"/>
        <v/>
      </c>
      <c r="AH1208" s="278" t="str">
        <f t="shared" si="133"/>
        <v/>
      </c>
      <c r="AJ1208" s="25"/>
      <c r="AK1208" s="25"/>
      <c r="AL1208" s="25"/>
      <c r="AM1208" s="25"/>
      <c r="AN1208" s="25"/>
      <c r="AO1208" s="25"/>
      <c r="AP1208" s="25"/>
      <c r="AQ1208" s="25"/>
      <c r="AR1208" s="25"/>
      <c r="AS1208" s="25"/>
      <c r="AT1208" s="25"/>
      <c r="AU1208" s="25"/>
      <c r="AV1208" s="43"/>
      <c r="AW1208" s="43"/>
      <c r="AX1208" s="114" t="s">
        <v>76</v>
      </c>
      <c r="AY1208" s="43"/>
      <c r="AZ1208" s="43"/>
      <c r="BA1208" s="43"/>
      <c r="BB1208" s="43"/>
    </row>
    <row r="1209" spans="2:54" ht="12.75" customHeight="1">
      <c r="B1209" s="320"/>
      <c r="C1209" s="134"/>
      <c r="D1209" s="98"/>
      <c r="E1209" s="504"/>
      <c r="F1209" s="306"/>
      <c r="G1209" s="265"/>
      <c r="H1209" s="266"/>
      <c r="I1209" s="297"/>
      <c r="J1209" s="298"/>
      <c r="K1209" s="298"/>
      <c r="L1209" s="298"/>
      <c r="M1209" s="41"/>
      <c r="N1209" s="21"/>
      <c r="O1209" s="21"/>
      <c r="P1209" s="21"/>
      <c r="Q1209" s="326"/>
      <c r="R1209" s="40"/>
      <c r="S1209" s="84"/>
      <c r="T1209" s="40"/>
      <c r="U1209" s="42"/>
      <c r="V1209" s="78"/>
      <c r="Z1209" s="181"/>
      <c r="AA1209" s="183"/>
      <c r="AC1209" s="26"/>
      <c r="AD1209" s="279"/>
      <c r="AE1209" s="26"/>
      <c r="AF1209" s="26"/>
      <c r="AG1209" s="278" t="str">
        <f t="shared" si="132"/>
        <v/>
      </c>
      <c r="AH1209" s="278" t="str">
        <f t="shared" si="133"/>
        <v/>
      </c>
      <c r="AJ1209" s="25"/>
      <c r="AK1209" s="25"/>
      <c r="AL1209" s="25"/>
      <c r="AM1209" s="25"/>
      <c r="AN1209" s="25"/>
      <c r="AO1209" s="25"/>
      <c r="AP1209" s="25"/>
      <c r="AQ1209" s="25"/>
      <c r="AR1209" s="25"/>
      <c r="AS1209" s="25"/>
      <c r="AT1209" s="25"/>
      <c r="AU1209" s="25"/>
      <c r="AV1209" s="43"/>
      <c r="AW1209" s="43"/>
      <c r="AX1209" s="114" t="s">
        <v>76</v>
      </c>
      <c r="AY1209" s="43"/>
      <c r="AZ1209" s="43"/>
      <c r="BA1209" s="43"/>
      <c r="BB1209" s="43"/>
    </row>
    <row r="1210" spans="2:54" ht="12.75" customHeight="1">
      <c r="B1210" s="320"/>
      <c r="C1210" s="134"/>
      <c r="D1210" s="98"/>
      <c r="E1210" s="504"/>
      <c r="F1210" s="306"/>
      <c r="G1210" s="265"/>
      <c r="H1210" s="266"/>
      <c r="I1210" s="297"/>
      <c r="J1210" s="298"/>
      <c r="K1210" s="298"/>
      <c r="L1210" s="298"/>
      <c r="M1210" s="41"/>
      <c r="N1210" s="21"/>
      <c r="O1210" s="21"/>
      <c r="P1210" s="21"/>
      <c r="Q1210" s="326"/>
      <c r="R1210" s="40"/>
      <c r="S1210" s="84"/>
      <c r="T1210" s="40"/>
      <c r="U1210" s="42"/>
      <c r="V1210" s="78"/>
      <c r="Z1210" s="181"/>
      <c r="AA1210" s="183"/>
      <c r="AC1210" s="26"/>
      <c r="AD1210" s="279"/>
      <c r="AE1210" s="26"/>
      <c r="AF1210" s="26"/>
      <c r="AG1210" s="278" t="str">
        <f t="shared" si="132"/>
        <v/>
      </c>
      <c r="AH1210" s="278" t="str">
        <f t="shared" si="133"/>
        <v/>
      </c>
      <c r="AJ1210" s="25"/>
      <c r="AK1210" s="25"/>
      <c r="AL1210" s="25"/>
      <c r="AM1210" s="25"/>
      <c r="AN1210" s="25"/>
      <c r="AO1210" s="25"/>
      <c r="AP1210" s="25"/>
      <c r="AQ1210" s="25"/>
      <c r="AR1210" s="25"/>
      <c r="AS1210" s="25"/>
      <c r="AT1210" s="25"/>
      <c r="AU1210" s="25"/>
      <c r="AV1210" s="43"/>
      <c r="AW1210" s="43"/>
      <c r="AX1210" s="114" t="s">
        <v>76</v>
      </c>
      <c r="AY1210" s="43"/>
      <c r="AZ1210" s="43"/>
      <c r="BA1210" s="43"/>
      <c r="BB1210" s="43"/>
    </row>
    <row r="1211" spans="2:54" ht="12.75" customHeight="1">
      <c r="B1211" s="320"/>
      <c r="C1211" s="134"/>
      <c r="D1211" s="98"/>
      <c r="E1211" s="504"/>
      <c r="F1211" s="306"/>
      <c r="G1211" s="265"/>
      <c r="H1211" s="266"/>
      <c r="I1211" s="297"/>
      <c r="J1211" s="298"/>
      <c r="K1211" s="298"/>
      <c r="L1211" s="298"/>
      <c r="M1211" s="41"/>
      <c r="N1211" s="21"/>
      <c r="O1211" s="21"/>
      <c r="P1211" s="21"/>
      <c r="Q1211" s="326"/>
      <c r="R1211" s="40"/>
      <c r="S1211" s="84"/>
      <c r="T1211" s="40"/>
      <c r="U1211" s="42"/>
      <c r="V1211" s="78"/>
      <c r="Z1211" s="181"/>
      <c r="AA1211" s="183"/>
      <c r="AC1211" s="26"/>
      <c r="AD1211" s="279"/>
      <c r="AE1211" s="26"/>
      <c r="AF1211" s="26"/>
      <c r="AG1211" s="278" t="str">
        <f t="shared" si="132"/>
        <v/>
      </c>
      <c r="AH1211" s="278" t="str">
        <f t="shared" si="133"/>
        <v/>
      </c>
      <c r="AJ1211" s="25"/>
      <c r="AK1211" s="25"/>
      <c r="AL1211" s="25"/>
      <c r="AM1211" s="25"/>
      <c r="AN1211" s="25"/>
      <c r="AO1211" s="25"/>
      <c r="AP1211" s="25"/>
      <c r="AQ1211" s="25"/>
      <c r="AR1211" s="25"/>
      <c r="AS1211" s="25"/>
      <c r="AT1211" s="25"/>
      <c r="AU1211" s="25"/>
      <c r="AV1211" s="43"/>
      <c r="AW1211" s="43"/>
      <c r="AX1211" s="114" t="s">
        <v>76</v>
      </c>
      <c r="AY1211" s="43"/>
      <c r="AZ1211" s="43"/>
      <c r="BA1211" s="43"/>
      <c r="BB1211" s="43"/>
    </row>
    <row r="1212" spans="2:54" ht="12.75" customHeight="1">
      <c r="B1212" s="320"/>
      <c r="C1212" s="134"/>
      <c r="D1212" s="98"/>
      <c r="E1212" s="504"/>
      <c r="F1212" s="306"/>
      <c r="G1212" s="265"/>
      <c r="H1212" s="266"/>
      <c r="I1212" s="297"/>
      <c r="J1212" s="298"/>
      <c r="K1212" s="298"/>
      <c r="L1212" s="298"/>
      <c r="M1212" s="41"/>
      <c r="N1212" s="21"/>
      <c r="O1212" s="21"/>
      <c r="P1212" s="21"/>
      <c r="Q1212" s="326"/>
      <c r="R1212" s="40"/>
      <c r="S1212" s="84"/>
      <c r="T1212" s="40"/>
      <c r="U1212" s="42"/>
      <c r="V1212" s="78"/>
      <c r="Z1212" s="181"/>
      <c r="AA1212" s="183"/>
      <c r="AC1212" s="26"/>
      <c r="AD1212" s="279"/>
      <c r="AE1212" s="26"/>
      <c r="AF1212" s="26"/>
      <c r="AG1212" s="278" t="str">
        <f t="shared" si="132"/>
        <v/>
      </c>
      <c r="AH1212" s="278" t="str">
        <f t="shared" si="133"/>
        <v/>
      </c>
      <c r="AJ1212" s="25"/>
      <c r="AK1212" s="25"/>
      <c r="AL1212" s="25"/>
      <c r="AM1212" s="25"/>
      <c r="AN1212" s="25"/>
      <c r="AO1212" s="25"/>
      <c r="AP1212" s="25"/>
      <c r="AQ1212" s="25"/>
      <c r="AR1212" s="25"/>
      <c r="AS1212" s="25"/>
      <c r="AT1212" s="25"/>
      <c r="AU1212" s="25"/>
      <c r="AV1212" s="43"/>
      <c r="AW1212" s="43"/>
      <c r="AX1212" s="114" t="s">
        <v>76</v>
      </c>
      <c r="AY1212" s="43"/>
      <c r="AZ1212" s="43"/>
      <c r="BA1212" s="43"/>
      <c r="BB1212" s="43"/>
    </row>
    <row r="1213" spans="2:54" ht="12.75" customHeight="1">
      <c r="B1213" s="320"/>
      <c r="C1213" s="134"/>
      <c r="D1213" s="98"/>
      <c r="E1213" s="504"/>
      <c r="F1213" s="306"/>
      <c r="G1213" s="265"/>
      <c r="H1213" s="266"/>
      <c r="I1213" s="297"/>
      <c r="J1213" s="298"/>
      <c r="K1213" s="298"/>
      <c r="L1213" s="298"/>
      <c r="M1213" s="41"/>
      <c r="N1213" s="21"/>
      <c r="O1213" s="21"/>
      <c r="P1213" s="21"/>
      <c r="Q1213" s="326"/>
      <c r="R1213" s="40"/>
      <c r="S1213" s="84"/>
      <c r="T1213" s="40"/>
      <c r="U1213" s="42"/>
      <c r="V1213" s="78"/>
      <c r="Z1213" s="181"/>
      <c r="AA1213" s="183"/>
      <c r="AC1213" s="26"/>
      <c r="AD1213" s="279"/>
      <c r="AE1213" s="26"/>
      <c r="AF1213" s="26"/>
      <c r="AG1213" s="278" t="str">
        <f t="shared" si="132"/>
        <v/>
      </c>
      <c r="AH1213" s="278" t="str">
        <f t="shared" si="133"/>
        <v/>
      </c>
      <c r="AJ1213" s="25"/>
      <c r="AK1213" s="25"/>
      <c r="AL1213" s="25"/>
      <c r="AM1213" s="25"/>
      <c r="AN1213" s="25"/>
      <c r="AO1213" s="25"/>
      <c r="AP1213" s="25"/>
      <c r="AQ1213" s="25"/>
      <c r="AR1213" s="25"/>
      <c r="AS1213" s="25"/>
      <c r="AT1213" s="25"/>
      <c r="AU1213" s="25"/>
      <c r="AV1213" s="43"/>
      <c r="AW1213" s="43"/>
      <c r="AX1213" s="114" t="s">
        <v>76</v>
      </c>
      <c r="AY1213" s="43"/>
      <c r="AZ1213" s="43"/>
      <c r="BA1213" s="43"/>
      <c r="BB1213" s="43"/>
    </row>
    <row r="1214" spans="2:54" ht="12.75" customHeight="1">
      <c r="B1214" s="320"/>
      <c r="C1214" s="134"/>
      <c r="D1214" s="98"/>
      <c r="E1214" s="504"/>
      <c r="F1214" s="306"/>
      <c r="G1214" s="265"/>
      <c r="H1214" s="266"/>
      <c r="I1214" s="297"/>
      <c r="J1214" s="298"/>
      <c r="K1214" s="298"/>
      <c r="L1214" s="298"/>
      <c r="M1214" s="41"/>
      <c r="N1214" s="21"/>
      <c r="O1214" s="21"/>
      <c r="P1214" s="21"/>
      <c r="Q1214" s="326"/>
      <c r="R1214" s="40"/>
      <c r="S1214" s="84"/>
      <c r="T1214" s="40"/>
      <c r="U1214" s="42"/>
      <c r="V1214" s="78"/>
      <c r="Z1214" s="181"/>
      <c r="AA1214" s="183"/>
      <c r="AC1214" s="26"/>
      <c r="AD1214" s="279"/>
      <c r="AE1214" s="26"/>
      <c r="AF1214" s="26"/>
      <c r="AG1214" s="278" t="str">
        <f t="shared" si="132"/>
        <v/>
      </c>
      <c r="AH1214" s="278" t="str">
        <f t="shared" si="133"/>
        <v/>
      </c>
      <c r="AJ1214" s="25"/>
      <c r="AK1214" s="25"/>
      <c r="AL1214" s="25"/>
      <c r="AM1214" s="25"/>
      <c r="AN1214" s="25"/>
      <c r="AO1214" s="25"/>
      <c r="AP1214" s="25"/>
      <c r="AQ1214" s="25"/>
      <c r="AR1214" s="25"/>
      <c r="AS1214" s="25"/>
      <c r="AT1214" s="25"/>
      <c r="AU1214" s="25"/>
      <c r="AV1214" s="43"/>
      <c r="AW1214" s="43"/>
      <c r="AX1214" s="114" t="s">
        <v>76</v>
      </c>
      <c r="AY1214" s="43"/>
      <c r="AZ1214" s="43"/>
      <c r="BA1214" s="43"/>
      <c r="BB1214" s="43"/>
    </row>
    <row r="1215" spans="2:54" ht="12.75" customHeight="1">
      <c r="B1215" s="320"/>
      <c r="C1215" s="134"/>
      <c r="D1215" s="98"/>
      <c r="E1215" s="504"/>
      <c r="F1215" s="306"/>
      <c r="G1215" s="265"/>
      <c r="H1215" s="266"/>
      <c r="I1215" s="297"/>
      <c r="J1215" s="298"/>
      <c r="K1215" s="298"/>
      <c r="L1215" s="298"/>
      <c r="M1215" s="41"/>
      <c r="N1215" s="21"/>
      <c r="O1215" s="21"/>
      <c r="P1215" s="21"/>
      <c r="Q1215" s="326"/>
      <c r="R1215" s="40"/>
      <c r="S1215" s="84"/>
      <c r="T1215" s="40"/>
      <c r="U1215" s="42"/>
      <c r="V1215" s="78"/>
      <c r="Z1215" s="181"/>
      <c r="AA1215" s="183"/>
      <c r="AC1215" s="26"/>
      <c r="AD1215" s="279"/>
      <c r="AE1215" s="26"/>
      <c r="AF1215" s="26"/>
      <c r="AG1215" s="278" t="str">
        <f t="shared" si="132"/>
        <v/>
      </c>
      <c r="AH1215" s="278" t="str">
        <f t="shared" si="133"/>
        <v/>
      </c>
      <c r="AJ1215" s="25"/>
      <c r="AK1215" s="25"/>
      <c r="AL1215" s="25"/>
      <c r="AM1215" s="25"/>
      <c r="AN1215" s="25"/>
      <c r="AO1215" s="25"/>
      <c r="AP1215" s="25"/>
      <c r="AQ1215" s="25"/>
      <c r="AR1215" s="25"/>
      <c r="AS1215" s="25"/>
      <c r="AT1215" s="25"/>
      <c r="AU1215" s="25"/>
      <c r="AV1215" s="43"/>
      <c r="AW1215" s="43"/>
      <c r="AX1215" s="114" t="s">
        <v>76</v>
      </c>
      <c r="AY1215" s="43"/>
      <c r="AZ1215" s="43"/>
      <c r="BA1215" s="43"/>
      <c r="BB1215" s="43"/>
    </row>
    <row r="1216" spans="2:54" ht="12.75" customHeight="1">
      <c r="B1216" s="320"/>
      <c r="C1216" s="134"/>
      <c r="D1216" s="98"/>
      <c r="E1216" s="504"/>
      <c r="F1216" s="306"/>
      <c r="G1216" s="265"/>
      <c r="H1216" s="266"/>
      <c r="I1216" s="297"/>
      <c r="J1216" s="298"/>
      <c r="K1216" s="298"/>
      <c r="L1216" s="298"/>
      <c r="M1216" s="41"/>
      <c r="N1216" s="21"/>
      <c r="O1216" s="21"/>
      <c r="P1216" s="21"/>
      <c r="Q1216" s="326"/>
      <c r="R1216" s="40"/>
      <c r="S1216" s="84"/>
      <c r="T1216" s="40"/>
      <c r="U1216" s="42"/>
      <c r="V1216" s="78"/>
      <c r="Z1216" s="181"/>
      <c r="AA1216" s="183"/>
      <c r="AC1216" s="26"/>
      <c r="AD1216" s="279"/>
      <c r="AE1216" s="26"/>
      <c r="AF1216" s="26"/>
      <c r="AG1216" s="278" t="str">
        <f t="shared" si="132"/>
        <v/>
      </c>
      <c r="AH1216" s="278" t="str">
        <f t="shared" si="133"/>
        <v/>
      </c>
      <c r="AJ1216" s="25"/>
      <c r="AK1216" s="25"/>
      <c r="AL1216" s="25"/>
      <c r="AM1216" s="25"/>
      <c r="AN1216" s="25"/>
      <c r="AO1216" s="25"/>
      <c r="AP1216" s="25"/>
      <c r="AQ1216" s="25"/>
      <c r="AR1216" s="25"/>
      <c r="AS1216" s="25"/>
      <c r="AT1216" s="25"/>
      <c r="AU1216" s="25"/>
      <c r="AV1216" s="43"/>
      <c r="AW1216" s="43"/>
      <c r="AX1216" s="114" t="s">
        <v>76</v>
      </c>
      <c r="AY1216" s="43"/>
      <c r="AZ1216" s="43"/>
      <c r="BA1216" s="43"/>
      <c r="BB1216" s="43"/>
    </row>
    <row r="1217" spans="2:54" ht="12.75" customHeight="1">
      <c r="B1217" s="320"/>
      <c r="C1217" s="134"/>
      <c r="D1217" s="98"/>
      <c r="E1217" s="504"/>
      <c r="F1217" s="306"/>
      <c r="G1217" s="265"/>
      <c r="H1217" s="266"/>
      <c r="I1217" s="297"/>
      <c r="J1217" s="298"/>
      <c r="K1217" s="298"/>
      <c r="L1217" s="298"/>
      <c r="M1217" s="41"/>
      <c r="N1217" s="21"/>
      <c r="O1217" s="21"/>
      <c r="P1217" s="21"/>
      <c r="Q1217" s="326"/>
      <c r="R1217" s="40"/>
      <c r="S1217" s="84"/>
      <c r="T1217" s="40"/>
      <c r="U1217" s="42"/>
      <c r="V1217" s="78"/>
      <c r="Z1217" s="181"/>
      <c r="AA1217" s="183"/>
      <c r="AC1217" s="26"/>
      <c r="AD1217" s="279"/>
      <c r="AE1217" s="26"/>
      <c r="AF1217" s="26"/>
      <c r="AG1217" s="278" t="str">
        <f t="shared" si="132"/>
        <v/>
      </c>
      <c r="AH1217" s="278" t="str">
        <f t="shared" si="133"/>
        <v/>
      </c>
      <c r="AJ1217" s="25"/>
      <c r="AK1217" s="25"/>
      <c r="AL1217" s="25"/>
      <c r="AM1217" s="25"/>
      <c r="AN1217" s="25"/>
      <c r="AO1217" s="25"/>
      <c r="AP1217" s="25"/>
      <c r="AQ1217" s="25"/>
      <c r="AR1217" s="25"/>
      <c r="AS1217" s="25"/>
      <c r="AT1217" s="25"/>
      <c r="AU1217" s="25"/>
      <c r="AV1217" s="43"/>
      <c r="AW1217" s="43"/>
      <c r="AX1217" s="114" t="s">
        <v>76</v>
      </c>
      <c r="AY1217" s="43"/>
      <c r="AZ1217" s="43"/>
      <c r="BA1217" s="43"/>
      <c r="BB1217" s="43"/>
    </row>
    <row r="1218" spans="2:54" ht="12.75" customHeight="1">
      <c r="B1218" s="320"/>
      <c r="C1218" s="134"/>
      <c r="D1218" s="98"/>
      <c r="E1218" s="504"/>
      <c r="F1218" s="306"/>
      <c r="G1218" s="265"/>
      <c r="H1218" s="266"/>
      <c r="I1218" s="297"/>
      <c r="J1218" s="298"/>
      <c r="K1218" s="298"/>
      <c r="L1218" s="298"/>
      <c r="M1218" s="41"/>
      <c r="N1218" s="21"/>
      <c r="O1218" s="21"/>
      <c r="P1218" s="21"/>
      <c r="Q1218" s="326"/>
      <c r="R1218" s="40"/>
      <c r="S1218" s="84"/>
      <c r="T1218" s="40"/>
      <c r="U1218" s="42"/>
      <c r="V1218" s="78"/>
      <c r="Z1218" s="181"/>
      <c r="AA1218" s="183"/>
      <c r="AC1218" s="26"/>
      <c r="AD1218" s="279"/>
      <c r="AE1218" s="26"/>
      <c r="AF1218" s="26"/>
      <c r="AG1218" s="278" t="str">
        <f t="shared" si="132"/>
        <v/>
      </c>
      <c r="AH1218" s="278" t="str">
        <f t="shared" si="133"/>
        <v/>
      </c>
      <c r="AJ1218" s="25"/>
      <c r="AK1218" s="25"/>
      <c r="AL1218" s="25"/>
      <c r="AM1218" s="25"/>
      <c r="AN1218" s="25"/>
      <c r="AO1218" s="25"/>
      <c r="AP1218" s="25"/>
      <c r="AQ1218" s="25"/>
      <c r="AR1218" s="25"/>
      <c r="AS1218" s="25"/>
      <c r="AT1218" s="25"/>
      <c r="AU1218" s="25"/>
      <c r="AV1218" s="43"/>
      <c r="AW1218" s="43"/>
      <c r="AX1218" s="114" t="s">
        <v>76</v>
      </c>
      <c r="AY1218" s="43"/>
      <c r="AZ1218" s="43"/>
      <c r="BA1218" s="43"/>
      <c r="BB1218" s="43"/>
    </row>
    <row r="1219" spans="2:54" ht="12.75" customHeight="1">
      <c r="B1219" s="320"/>
      <c r="C1219" s="134"/>
      <c r="D1219" s="98"/>
      <c r="E1219" s="504"/>
      <c r="F1219" s="306"/>
      <c r="G1219" s="265"/>
      <c r="H1219" s="266"/>
      <c r="I1219" s="297"/>
      <c r="J1219" s="298"/>
      <c r="K1219" s="298"/>
      <c r="L1219" s="298"/>
      <c r="M1219" s="41"/>
      <c r="N1219" s="21"/>
      <c r="O1219" s="21"/>
      <c r="P1219" s="21"/>
      <c r="Q1219" s="326"/>
      <c r="R1219" s="40"/>
      <c r="S1219" s="84"/>
      <c r="T1219" s="40"/>
      <c r="U1219" s="42"/>
      <c r="V1219" s="78"/>
      <c r="Z1219" s="181"/>
      <c r="AA1219" s="183"/>
      <c r="AC1219" s="26"/>
      <c r="AD1219" s="279"/>
      <c r="AE1219" s="26"/>
      <c r="AF1219" s="26"/>
      <c r="AG1219" s="278" t="str">
        <f t="shared" si="132"/>
        <v/>
      </c>
      <c r="AH1219" s="278" t="str">
        <f t="shared" si="133"/>
        <v/>
      </c>
      <c r="AJ1219" s="25"/>
      <c r="AK1219" s="25"/>
      <c r="AL1219" s="25"/>
      <c r="AM1219" s="25"/>
      <c r="AN1219" s="25"/>
      <c r="AO1219" s="25"/>
      <c r="AP1219" s="25"/>
      <c r="AQ1219" s="25"/>
      <c r="AR1219" s="25"/>
      <c r="AS1219" s="25"/>
      <c r="AT1219" s="25"/>
      <c r="AU1219" s="25"/>
      <c r="AV1219" s="43"/>
      <c r="AW1219" s="43"/>
      <c r="AX1219" s="114" t="s">
        <v>76</v>
      </c>
      <c r="AY1219" s="43"/>
      <c r="AZ1219" s="43"/>
      <c r="BA1219" s="43"/>
      <c r="BB1219" s="43"/>
    </row>
    <row r="1220" spans="2:54" ht="12.75" customHeight="1">
      <c r="B1220" s="320"/>
      <c r="C1220" s="134"/>
      <c r="D1220" s="98"/>
      <c r="E1220" s="504"/>
      <c r="F1220" s="306"/>
      <c r="G1220" s="265"/>
      <c r="H1220" s="266"/>
      <c r="I1220" s="297"/>
      <c r="J1220" s="298"/>
      <c r="K1220" s="298"/>
      <c r="L1220" s="298"/>
      <c r="M1220" s="41"/>
      <c r="N1220" s="21"/>
      <c r="O1220" s="21"/>
      <c r="P1220" s="21"/>
      <c r="Q1220" s="326"/>
      <c r="R1220" s="40"/>
      <c r="S1220" s="84"/>
      <c r="T1220" s="40"/>
      <c r="U1220" s="42"/>
      <c r="V1220" s="78"/>
      <c r="Z1220" s="181"/>
      <c r="AA1220" s="183"/>
      <c r="AC1220" s="26"/>
      <c r="AD1220" s="279"/>
      <c r="AE1220" s="26"/>
      <c r="AF1220" s="26"/>
      <c r="AG1220" s="278" t="str">
        <f t="shared" si="132"/>
        <v/>
      </c>
      <c r="AH1220" s="278" t="str">
        <f t="shared" si="133"/>
        <v/>
      </c>
      <c r="AJ1220" s="25"/>
      <c r="AK1220" s="25"/>
      <c r="AL1220" s="25"/>
      <c r="AM1220" s="25"/>
      <c r="AN1220" s="25"/>
      <c r="AO1220" s="25"/>
      <c r="AP1220" s="25"/>
      <c r="AQ1220" s="25"/>
      <c r="AR1220" s="25"/>
      <c r="AS1220" s="25"/>
      <c r="AT1220" s="25"/>
      <c r="AU1220" s="25"/>
      <c r="AV1220" s="43"/>
      <c r="AW1220" s="43"/>
      <c r="AX1220" s="114" t="s">
        <v>76</v>
      </c>
      <c r="AY1220" s="43"/>
      <c r="AZ1220" s="43"/>
      <c r="BA1220" s="43"/>
      <c r="BB1220" s="43"/>
    </row>
    <row r="1221" spans="2:54" ht="12.75" customHeight="1">
      <c r="B1221" s="320"/>
      <c r="C1221" s="134"/>
      <c r="D1221" s="98"/>
      <c r="E1221" s="504"/>
      <c r="F1221" s="306"/>
      <c r="G1221" s="265"/>
      <c r="H1221" s="266"/>
      <c r="I1221" s="297"/>
      <c r="J1221" s="298"/>
      <c r="K1221" s="298"/>
      <c r="L1221" s="298"/>
      <c r="M1221" s="41"/>
      <c r="N1221" s="21"/>
      <c r="O1221" s="21"/>
      <c r="P1221" s="21"/>
      <c r="Q1221" s="326"/>
      <c r="R1221" s="40"/>
      <c r="S1221" s="84"/>
      <c r="T1221" s="40"/>
      <c r="U1221" s="42"/>
      <c r="V1221" s="78"/>
      <c r="Z1221" s="181"/>
      <c r="AA1221" s="183"/>
      <c r="AC1221" s="26"/>
      <c r="AD1221" s="279"/>
      <c r="AE1221" s="26"/>
      <c r="AF1221" s="26"/>
      <c r="AG1221" s="278" t="str">
        <f t="shared" si="132"/>
        <v/>
      </c>
      <c r="AH1221" s="278" t="str">
        <f t="shared" si="133"/>
        <v/>
      </c>
      <c r="AJ1221" s="25"/>
      <c r="AK1221" s="25"/>
      <c r="AL1221" s="25"/>
      <c r="AM1221" s="25"/>
      <c r="AN1221" s="25"/>
      <c r="AO1221" s="25"/>
      <c r="AP1221" s="25"/>
      <c r="AQ1221" s="25"/>
      <c r="AR1221" s="25"/>
      <c r="AS1221" s="25"/>
      <c r="AT1221" s="25"/>
      <c r="AU1221" s="25"/>
      <c r="AV1221" s="43"/>
      <c r="AW1221" s="43"/>
      <c r="AX1221" s="114" t="s">
        <v>76</v>
      </c>
      <c r="AY1221" s="43"/>
      <c r="AZ1221" s="43"/>
      <c r="BA1221" s="43"/>
      <c r="BB1221" s="43"/>
    </row>
    <row r="1222" spans="2:54" ht="12.75" customHeight="1">
      <c r="B1222" s="320"/>
      <c r="C1222" s="134"/>
      <c r="D1222" s="98"/>
      <c r="E1222" s="504"/>
      <c r="F1222" s="306"/>
      <c r="G1222" s="265"/>
      <c r="H1222" s="266"/>
      <c r="I1222" s="297"/>
      <c r="J1222" s="298"/>
      <c r="K1222" s="298"/>
      <c r="L1222" s="298"/>
      <c r="M1222" s="41"/>
      <c r="N1222" s="21"/>
      <c r="O1222" s="21"/>
      <c r="P1222" s="21"/>
      <c r="Q1222" s="326"/>
      <c r="R1222" s="40"/>
      <c r="S1222" s="84"/>
      <c r="T1222" s="40"/>
      <c r="U1222" s="42"/>
      <c r="V1222" s="78"/>
      <c r="Z1222" s="181"/>
      <c r="AA1222" s="183"/>
      <c r="AC1222" s="26"/>
      <c r="AD1222" s="279"/>
      <c r="AE1222" s="26"/>
      <c r="AF1222" s="26"/>
      <c r="AG1222" s="278" t="str">
        <f t="shared" ref="AG1222:AG1244" si="134">IF(AE1222="","",AE1222*AltBounce)</f>
        <v/>
      </c>
      <c r="AH1222" s="278" t="str">
        <f t="shared" ref="AH1222:AH1244" si="135">IF(AA1222="","",AE1222*(1/AltBounce))</f>
        <v/>
      </c>
      <c r="AJ1222" s="25"/>
      <c r="AK1222" s="25"/>
      <c r="AL1222" s="25"/>
      <c r="AM1222" s="25"/>
      <c r="AN1222" s="25"/>
      <c r="AO1222" s="25"/>
      <c r="AP1222" s="25"/>
      <c r="AQ1222" s="25"/>
      <c r="AR1222" s="25"/>
      <c r="AS1222" s="25"/>
      <c r="AT1222" s="25"/>
      <c r="AU1222" s="25"/>
      <c r="AV1222" s="43"/>
      <c r="AW1222" s="43"/>
      <c r="AX1222" s="114" t="s">
        <v>76</v>
      </c>
      <c r="AY1222" s="43"/>
      <c r="AZ1222" s="43"/>
      <c r="BA1222" s="43"/>
      <c r="BB1222" s="43"/>
    </row>
    <row r="1223" spans="2:54" ht="12.75" customHeight="1">
      <c r="B1223" s="320"/>
      <c r="C1223" s="134"/>
      <c r="D1223" s="98"/>
      <c r="E1223" s="504"/>
      <c r="F1223" s="306"/>
      <c r="G1223" s="265"/>
      <c r="H1223" s="266"/>
      <c r="I1223" s="297"/>
      <c r="J1223" s="298"/>
      <c r="K1223" s="298"/>
      <c r="L1223" s="298"/>
      <c r="M1223" s="41"/>
      <c r="N1223" s="21"/>
      <c r="O1223" s="21"/>
      <c r="P1223" s="21"/>
      <c r="Q1223" s="326"/>
      <c r="R1223" s="40"/>
      <c r="S1223" s="84"/>
      <c r="T1223" s="40"/>
      <c r="U1223" s="42"/>
      <c r="V1223" s="78"/>
      <c r="Z1223" s="181"/>
      <c r="AA1223" s="183"/>
      <c r="AC1223" s="26"/>
      <c r="AD1223" s="279"/>
      <c r="AE1223" s="26"/>
      <c r="AF1223" s="26"/>
      <c r="AG1223" s="278" t="str">
        <f t="shared" si="134"/>
        <v/>
      </c>
      <c r="AH1223" s="278" t="str">
        <f t="shared" si="135"/>
        <v/>
      </c>
      <c r="AJ1223" s="25"/>
      <c r="AK1223" s="25"/>
      <c r="AL1223" s="25"/>
      <c r="AM1223" s="25"/>
      <c r="AN1223" s="25"/>
      <c r="AO1223" s="25"/>
      <c r="AP1223" s="25"/>
      <c r="AQ1223" s="25"/>
      <c r="AR1223" s="25"/>
      <c r="AS1223" s="25"/>
      <c r="AT1223" s="25"/>
      <c r="AU1223" s="25"/>
      <c r="AV1223" s="43"/>
      <c r="AW1223" s="43"/>
      <c r="AX1223" s="114" t="s">
        <v>76</v>
      </c>
      <c r="AY1223" s="43"/>
      <c r="AZ1223" s="43"/>
      <c r="BA1223" s="43"/>
      <c r="BB1223" s="43"/>
    </row>
    <row r="1224" spans="2:54" ht="12.75" customHeight="1">
      <c r="B1224" s="320"/>
      <c r="C1224" s="134"/>
      <c r="D1224" s="98"/>
      <c r="E1224" s="504"/>
      <c r="F1224" s="306"/>
      <c r="G1224" s="265"/>
      <c r="H1224" s="266"/>
      <c r="I1224" s="297"/>
      <c r="J1224" s="298"/>
      <c r="K1224" s="298"/>
      <c r="L1224" s="298"/>
      <c r="M1224" s="41"/>
      <c r="N1224" s="21"/>
      <c r="O1224" s="21"/>
      <c r="P1224" s="21"/>
      <c r="Q1224" s="326"/>
      <c r="R1224" s="40"/>
      <c r="S1224" s="84"/>
      <c r="T1224" s="40"/>
      <c r="U1224" s="42"/>
      <c r="V1224" s="78"/>
      <c r="Z1224" s="181"/>
      <c r="AA1224" s="183"/>
      <c r="AC1224" s="26"/>
      <c r="AD1224" s="279"/>
      <c r="AE1224" s="26"/>
      <c r="AF1224" s="26"/>
      <c r="AG1224" s="278" t="str">
        <f t="shared" si="134"/>
        <v/>
      </c>
      <c r="AH1224" s="278" t="str">
        <f t="shared" si="135"/>
        <v/>
      </c>
      <c r="AJ1224" s="25"/>
      <c r="AK1224" s="25"/>
      <c r="AL1224" s="25"/>
      <c r="AM1224" s="25"/>
      <c r="AN1224" s="25"/>
      <c r="AO1224" s="25"/>
      <c r="AP1224" s="25"/>
      <c r="AQ1224" s="25"/>
      <c r="AR1224" s="25"/>
      <c r="AS1224" s="25"/>
      <c r="AT1224" s="25"/>
      <c r="AU1224" s="25"/>
      <c r="AV1224" s="43"/>
      <c r="AW1224" s="43"/>
      <c r="AX1224" s="114" t="s">
        <v>76</v>
      </c>
      <c r="AY1224" s="43"/>
      <c r="AZ1224" s="43"/>
      <c r="BA1224" s="43"/>
      <c r="BB1224" s="43"/>
    </row>
    <row r="1225" spans="2:54" ht="12.75" customHeight="1">
      <c r="B1225" s="320"/>
      <c r="C1225" s="134"/>
      <c r="D1225" s="98"/>
      <c r="E1225" s="504"/>
      <c r="F1225" s="306"/>
      <c r="G1225" s="265"/>
      <c r="H1225" s="266"/>
      <c r="I1225" s="297"/>
      <c r="J1225" s="298"/>
      <c r="K1225" s="298"/>
      <c r="L1225" s="298"/>
      <c r="M1225" s="41"/>
      <c r="N1225" s="21"/>
      <c r="O1225" s="21"/>
      <c r="P1225" s="21"/>
      <c r="Q1225" s="326"/>
      <c r="R1225" s="40"/>
      <c r="S1225" s="84"/>
      <c r="T1225" s="40"/>
      <c r="U1225" s="42"/>
      <c r="V1225" s="78"/>
      <c r="Z1225" s="181"/>
      <c r="AA1225" s="183"/>
      <c r="AC1225" s="26"/>
      <c r="AD1225" s="279"/>
      <c r="AE1225" s="26"/>
      <c r="AF1225" s="26"/>
      <c r="AG1225" s="278" t="str">
        <f t="shared" si="134"/>
        <v/>
      </c>
      <c r="AH1225" s="278" t="str">
        <f t="shared" si="135"/>
        <v/>
      </c>
      <c r="AJ1225" s="25"/>
      <c r="AK1225" s="25"/>
      <c r="AL1225" s="25"/>
      <c r="AM1225" s="25"/>
      <c r="AN1225" s="25"/>
      <c r="AO1225" s="25"/>
      <c r="AP1225" s="25"/>
      <c r="AQ1225" s="25"/>
      <c r="AR1225" s="25"/>
      <c r="AS1225" s="25"/>
      <c r="AT1225" s="25"/>
      <c r="AU1225" s="25"/>
      <c r="AV1225" s="43"/>
      <c r="AW1225" s="43"/>
      <c r="AX1225" s="114" t="s">
        <v>76</v>
      </c>
      <c r="AY1225" s="43"/>
      <c r="AZ1225" s="43"/>
      <c r="BA1225" s="43"/>
      <c r="BB1225" s="43"/>
    </row>
    <row r="1226" spans="2:54" ht="12.75" customHeight="1">
      <c r="B1226" s="320"/>
      <c r="C1226" s="134"/>
      <c r="D1226" s="98"/>
      <c r="E1226" s="504"/>
      <c r="F1226" s="306"/>
      <c r="G1226" s="265"/>
      <c r="H1226" s="266"/>
      <c r="I1226" s="297"/>
      <c r="J1226" s="298"/>
      <c r="K1226" s="298"/>
      <c r="L1226" s="298"/>
      <c r="M1226" s="41"/>
      <c r="N1226" s="21"/>
      <c r="O1226" s="21"/>
      <c r="P1226" s="21"/>
      <c r="Q1226" s="326"/>
      <c r="R1226" s="40"/>
      <c r="S1226" s="84"/>
      <c r="T1226" s="40"/>
      <c r="U1226" s="42"/>
      <c r="V1226" s="78"/>
      <c r="Z1226" s="181"/>
      <c r="AA1226" s="183"/>
      <c r="AC1226" s="26"/>
      <c r="AD1226" s="279"/>
      <c r="AE1226" s="26"/>
      <c r="AF1226" s="26"/>
      <c r="AG1226" s="278" t="str">
        <f t="shared" si="134"/>
        <v/>
      </c>
      <c r="AH1226" s="278" t="str">
        <f t="shared" si="135"/>
        <v/>
      </c>
      <c r="AJ1226" s="25"/>
      <c r="AK1226" s="25"/>
      <c r="AL1226" s="25"/>
      <c r="AM1226" s="25"/>
      <c r="AN1226" s="25"/>
      <c r="AO1226" s="25"/>
      <c r="AP1226" s="25"/>
      <c r="AQ1226" s="25"/>
      <c r="AR1226" s="25"/>
      <c r="AS1226" s="25"/>
      <c r="AT1226" s="25"/>
      <c r="AU1226" s="25"/>
      <c r="AV1226" s="43"/>
      <c r="AW1226" s="43"/>
      <c r="AX1226" s="114" t="s">
        <v>76</v>
      </c>
      <c r="AY1226" s="43"/>
      <c r="AZ1226" s="43"/>
      <c r="BA1226" s="43"/>
      <c r="BB1226" s="43"/>
    </row>
    <row r="1227" spans="2:54" ht="12.75" customHeight="1">
      <c r="B1227" s="320"/>
      <c r="C1227" s="134"/>
      <c r="D1227" s="98"/>
      <c r="E1227" s="504"/>
      <c r="F1227" s="306"/>
      <c r="G1227" s="265"/>
      <c r="H1227" s="266"/>
      <c r="I1227" s="297"/>
      <c r="J1227" s="298"/>
      <c r="K1227" s="298"/>
      <c r="L1227" s="298"/>
      <c r="M1227" s="41"/>
      <c r="N1227" s="21"/>
      <c r="O1227" s="21"/>
      <c r="P1227" s="21"/>
      <c r="Q1227" s="326"/>
      <c r="R1227" s="40"/>
      <c r="S1227" s="84"/>
      <c r="T1227" s="40"/>
      <c r="U1227" s="42"/>
      <c r="V1227" s="78"/>
      <c r="Z1227" s="181"/>
      <c r="AA1227" s="183"/>
      <c r="AC1227" s="26"/>
      <c r="AD1227" s="279"/>
      <c r="AE1227" s="26"/>
      <c r="AF1227" s="26"/>
      <c r="AG1227" s="278" t="str">
        <f t="shared" si="134"/>
        <v/>
      </c>
      <c r="AH1227" s="278" t="str">
        <f t="shared" si="135"/>
        <v/>
      </c>
      <c r="AJ1227" s="25"/>
      <c r="AK1227" s="25"/>
      <c r="AL1227" s="25"/>
      <c r="AM1227" s="25"/>
      <c r="AN1227" s="25"/>
      <c r="AO1227" s="25"/>
      <c r="AP1227" s="25"/>
      <c r="AQ1227" s="25"/>
      <c r="AR1227" s="25"/>
      <c r="AS1227" s="25"/>
      <c r="AT1227" s="25"/>
      <c r="AU1227" s="25"/>
      <c r="AV1227" s="43"/>
      <c r="AW1227" s="43"/>
      <c r="AX1227" s="114" t="s">
        <v>76</v>
      </c>
      <c r="AY1227" s="43"/>
      <c r="AZ1227" s="43"/>
      <c r="BA1227" s="43"/>
      <c r="BB1227" s="43"/>
    </row>
    <row r="1228" spans="2:54" ht="12.75" customHeight="1">
      <c r="B1228" s="320"/>
      <c r="C1228" s="134"/>
      <c r="D1228" s="98"/>
      <c r="E1228" s="504"/>
      <c r="F1228" s="306"/>
      <c r="G1228" s="265"/>
      <c r="H1228" s="266"/>
      <c r="I1228" s="297"/>
      <c r="J1228" s="298"/>
      <c r="K1228" s="298"/>
      <c r="L1228" s="298"/>
      <c r="M1228" s="41"/>
      <c r="N1228" s="21"/>
      <c r="O1228" s="21"/>
      <c r="P1228" s="21"/>
      <c r="Q1228" s="326"/>
      <c r="R1228" s="40"/>
      <c r="S1228" s="84"/>
      <c r="T1228" s="40"/>
      <c r="U1228" s="42"/>
      <c r="V1228" s="78"/>
      <c r="Z1228" s="181"/>
      <c r="AA1228" s="183"/>
      <c r="AC1228" s="26"/>
      <c r="AD1228" s="279"/>
      <c r="AE1228" s="26"/>
      <c r="AF1228" s="26"/>
      <c r="AG1228" s="278" t="str">
        <f t="shared" si="134"/>
        <v/>
      </c>
      <c r="AH1228" s="278" t="str">
        <f t="shared" si="135"/>
        <v/>
      </c>
      <c r="AJ1228" s="25"/>
      <c r="AK1228" s="25"/>
      <c r="AL1228" s="25"/>
      <c r="AM1228" s="25"/>
      <c r="AN1228" s="25"/>
      <c r="AO1228" s="25"/>
      <c r="AP1228" s="25"/>
      <c r="AQ1228" s="25"/>
      <c r="AR1228" s="25"/>
      <c r="AS1228" s="25"/>
      <c r="AT1228" s="25"/>
      <c r="AU1228" s="25"/>
      <c r="AV1228" s="43"/>
      <c r="AW1228" s="43"/>
      <c r="AX1228" s="114" t="s">
        <v>76</v>
      </c>
      <c r="AY1228" s="43"/>
      <c r="AZ1228" s="43"/>
      <c r="BA1228" s="43"/>
      <c r="BB1228" s="43"/>
    </row>
    <row r="1229" spans="2:54" ht="12.75" customHeight="1">
      <c r="B1229" s="320"/>
      <c r="C1229" s="134"/>
      <c r="D1229" s="98"/>
      <c r="E1229" s="504"/>
      <c r="F1229" s="306"/>
      <c r="G1229" s="265"/>
      <c r="H1229" s="266"/>
      <c r="I1229" s="297"/>
      <c r="J1229" s="298"/>
      <c r="K1229" s="298"/>
      <c r="L1229" s="298"/>
      <c r="M1229" s="41"/>
      <c r="N1229" s="21"/>
      <c r="O1229" s="21"/>
      <c r="P1229" s="21"/>
      <c r="Q1229" s="326"/>
      <c r="R1229" s="40"/>
      <c r="S1229" s="84"/>
      <c r="T1229" s="40"/>
      <c r="U1229" s="42"/>
      <c r="V1229" s="78"/>
      <c r="Z1229" s="181"/>
      <c r="AA1229" s="183"/>
      <c r="AC1229" s="26"/>
      <c r="AD1229" s="279"/>
      <c r="AE1229" s="26"/>
      <c r="AF1229" s="26"/>
      <c r="AG1229" s="278" t="str">
        <f t="shared" si="134"/>
        <v/>
      </c>
      <c r="AH1229" s="278" t="str">
        <f t="shared" si="135"/>
        <v/>
      </c>
      <c r="AJ1229" s="25"/>
      <c r="AK1229" s="25"/>
      <c r="AL1229" s="25"/>
      <c r="AM1229" s="25"/>
      <c r="AN1229" s="25"/>
      <c r="AO1229" s="25"/>
      <c r="AP1229" s="25"/>
      <c r="AQ1229" s="25"/>
      <c r="AR1229" s="25"/>
      <c r="AS1229" s="25"/>
      <c r="AT1229" s="25"/>
      <c r="AU1229" s="25"/>
      <c r="AV1229" s="43"/>
      <c r="AW1229" s="43"/>
      <c r="AX1229" s="114" t="s">
        <v>76</v>
      </c>
      <c r="AY1229" s="43"/>
      <c r="AZ1229" s="43"/>
      <c r="BA1229" s="43"/>
      <c r="BB1229" s="43"/>
    </row>
    <row r="1230" spans="2:54" ht="12.75" customHeight="1">
      <c r="B1230" s="320"/>
      <c r="C1230" s="134"/>
      <c r="D1230" s="98"/>
      <c r="E1230" s="504"/>
      <c r="F1230" s="306"/>
      <c r="G1230" s="265"/>
      <c r="H1230" s="266"/>
      <c r="I1230" s="297"/>
      <c r="J1230" s="298"/>
      <c r="K1230" s="298"/>
      <c r="L1230" s="298"/>
      <c r="M1230" s="41"/>
      <c r="N1230" s="21"/>
      <c r="O1230" s="21"/>
      <c r="P1230" s="21"/>
      <c r="Q1230" s="326"/>
      <c r="R1230" s="40"/>
      <c r="S1230" s="84"/>
      <c r="T1230" s="40"/>
      <c r="U1230" s="42"/>
      <c r="V1230" s="78"/>
      <c r="Z1230" s="181"/>
      <c r="AA1230" s="183"/>
      <c r="AC1230" s="26"/>
      <c r="AD1230" s="279"/>
      <c r="AE1230" s="26"/>
      <c r="AF1230" s="26"/>
      <c r="AG1230" s="278" t="str">
        <f t="shared" si="134"/>
        <v/>
      </c>
      <c r="AH1230" s="278" t="str">
        <f t="shared" si="135"/>
        <v/>
      </c>
      <c r="AJ1230" s="25"/>
      <c r="AK1230" s="25"/>
      <c r="AL1230" s="25"/>
      <c r="AM1230" s="25"/>
      <c r="AN1230" s="25"/>
      <c r="AO1230" s="25"/>
      <c r="AP1230" s="25"/>
      <c r="AQ1230" s="25"/>
      <c r="AR1230" s="25"/>
      <c r="AS1230" s="25"/>
      <c r="AT1230" s="25"/>
      <c r="AU1230" s="25"/>
      <c r="AV1230" s="43"/>
      <c r="AW1230" s="43"/>
      <c r="AX1230" s="114" t="s">
        <v>76</v>
      </c>
      <c r="AY1230" s="43"/>
      <c r="AZ1230" s="43"/>
      <c r="BA1230" s="43"/>
      <c r="BB1230" s="43"/>
    </row>
    <row r="1231" spans="2:54" ht="12.75" customHeight="1">
      <c r="B1231" s="320"/>
      <c r="C1231" s="134"/>
      <c r="D1231" s="98"/>
      <c r="E1231" s="504"/>
      <c r="F1231" s="306"/>
      <c r="G1231" s="265"/>
      <c r="H1231" s="266"/>
      <c r="I1231" s="297"/>
      <c r="J1231" s="298"/>
      <c r="K1231" s="298"/>
      <c r="L1231" s="298"/>
      <c r="M1231" s="41"/>
      <c r="N1231" s="21"/>
      <c r="O1231" s="21"/>
      <c r="P1231" s="21"/>
      <c r="Q1231" s="326"/>
      <c r="R1231" s="40"/>
      <c r="S1231" s="84"/>
      <c r="T1231" s="40"/>
      <c r="U1231" s="42"/>
      <c r="V1231" s="78"/>
      <c r="Z1231" s="181"/>
      <c r="AA1231" s="183"/>
      <c r="AC1231" s="26"/>
      <c r="AD1231" s="279"/>
      <c r="AE1231" s="26"/>
      <c r="AF1231" s="26"/>
      <c r="AG1231" s="278" t="str">
        <f t="shared" si="134"/>
        <v/>
      </c>
      <c r="AH1231" s="278" t="str">
        <f t="shared" si="135"/>
        <v/>
      </c>
      <c r="AJ1231" s="25"/>
      <c r="AK1231" s="25"/>
      <c r="AL1231" s="25"/>
      <c r="AM1231" s="25"/>
      <c r="AN1231" s="25"/>
      <c r="AO1231" s="25"/>
      <c r="AP1231" s="25"/>
      <c r="AQ1231" s="25"/>
      <c r="AR1231" s="25"/>
      <c r="AS1231" s="25"/>
      <c r="AT1231" s="25"/>
      <c r="AU1231" s="25"/>
      <c r="AV1231" s="43"/>
      <c r="AW1231" s="43"/>
      <c r="AX1231" s="114" t="s">
        <v>76</v>
      </c>
      <c r="AY1231" s="43"/>
      <c r="AZ1231" s="43"/>
      <c r="BA1231" s="43"/>
      <c r="BB1231" s="43"/>
    </row>
    <row r="1232" spans="2:54" ht="12.75" customHeight="1">
      <c r="B1232" s="320"/>
      <c r="C1232" s="134"/>
      <c r="D1232" s="98"/>
      <c r="E1232" s="504"/>
      <c r="F1232" s="306"/>
      <c r="G1232" s="265"/>
      <c r="H1232" s="266"/>
      <c r="I1232" s="297"/>
      <c r="J1232" s="298"/>
      <c r="K1232" s="298"/>
      <c r="L1232" s="298"/>
      <c r="M1232" s="41"/>
      <c r="N1232" s="21"/>
      <c r="O1232" s="21"/>
      <c r="P1232" s="21"/>
      <c r="Q1232" s="326"/>
      <c r="R1232" s="40"/>
      <c r="S1232" s="84"/>
      <c r="T1232" s="40"/>
      <c r="U1232" s="42"/>
      <c r="V1232" s="78"/>
      <c r="Z1232" s="181"/>
      <c r="AA1232" s="183"/>
      <c r="AC1232" s="26"/>
      <c r="AD1232" s="279"/>
      <c r="AE1232" s="26"/>
      <c r="AF1232" s="26"/>
      <c r="AG1232" s="278" t="str">
        <f t="shared" si="134"/>
        <v/>
      </c>
      <c r="AH1232" s="278" t="str">
        <f t="shared" si="135"/>
        <v/>
      </c>
      <c r="AJ1232" s="25"/>
      <c r="AK1232" s="25"/>
      <c r="AL1232" s="25"/>
      <c r="AM1232" s="25"/>
      <c r="AN1232" s="25"/>
      <c r="AO1232" s="25"/>
      <c r="AP1232" s="25"/>
      <c r="AQ1232" s="25"/>
      <c r="AR1232" s="25"/>
      <c r="AS1232" s="25"/>
      <c r="AT1232" s="25"/>
      <c r="AU1232" s="25"/>
      <c r="AV1232" s="43"/>
      <c r="AW1232" s="43"/>
      <c r="AX1232" s="114" t="s">
        <v>76</v>
      </c>
      <c r="AY1232" s="43"/>
      <c r="AZ1232" s="43"/>
      <c r="BA1232" s="43"/>
      <c r="BB1232" s="43"/>
    </row>
    <row r="1233" spans="2:54" ht="12.75" customHeight="1">
      <c r="B1233" s="320"/>
      <c r="C1233" s="134"/>
      <c r="D1233" s="98"/>
      <c r="E1233" s="504"/>
      <c r="F1233" s="306"/>
      <c r="G1233" s="265"/>
      <c r="H1233" s="266"/>
      <c r="I1233" s="297"/>
      <c r="J1233" s="298"/>
      <c r="K1233" s="298"/>
      <c r="L1233" s="298"/>
      <c r="M1233" s="41"/>
      <c r="N1233" s="21"/>
      <c r="O1233" s="21"/>
      <c r="P1233" s="21"/>
      <c r="Q1233" s="326"/>
      <c r="R1233" s="40"/>
      <c r="S1233" s="84"/>
      <c r="T1233" s="40"/>
      <c r="U1233" s="42"/>
      <c r="V1233" s="78"/>
      <c r="Z1233" s="181"/>
      <c r="AA1233" s="183"/>
      <c r="AC1233" s="26"/>
      <c r="AD1233" s="279"/>
      <c r="AE1233" s="26"/>
      <c r="AF1233" s="26"/>
      <c r="AG1233" s="278" t="str">
        <f t="shared" si="134"/>
        <v/>
      </c>
      <c r="AH1233" s="278" t="str">
        <f t="shared" si="135"/>
        <v/>
      </c>
      <c r="AJ1233" s="25"/>
      <c r="AK1233" s="25"/>
      <c r="AL1233" s="25"/>
      <c r="AM1233" s="25"/>
      <c r="AN1233" s="25"/>
      <c r="AO1233" s="25"/>
      <c r="AP1233" s="25"/>
      <c r="AQ1233" s="25"/>
      <c r="AR1233" s="25"/>
      <c r="AS1233" s="25"/>
      <c r="AT1233" s="25"/>
      <c r="AU1233" s="25"/>
      <c r="AV1233" s="43"/>
      <c r="AW1233" s="43"/>
      <c r="AX1233" s="114" t="s">
        <v>76</v>
      </c>
      <c r="AY1233" s="43"/>
      <c r="AZ1233" s="43"/>
      <c r="BA1233" s="43"/>
      <c r="BB1233" s="43"/>
    </row>
    <row r="1234" spans="2:54" ht="12.75" customHeight="1">
      <c r="B1234" s="320"/>
      <c r="C1234" s="134"/>
      <c r="D1234" s="98"/>
      <c r="E1234" s="504"/>
      <c r="F1234" s="306"/>
      <c r="G1234" s="265"/>
      <c r="H1234" s="266"/>
      <c r="I1234" s="297"/>
      <c r="J1234" s="298"/>
      <c r="K1234" s="298"/>
      <c r="L1234" s="298"/>
      <c r="M1234" s="41"/>
      <c r="N1234" s="21"/>
      <c r="O1234" s="21"/>
      <c r="P1234" s="21"/>
      <c r="Q1234" s="326"/>
      <c r="R1234" s="40"/>
      <c r="S1234" s="84"/>
      <c r="T1234" s="40"/>
      <c r="U1234" s="42"/>
      <c r="V1234" s="78"/>
      <c r="Z1234" s="181"/>
      <c r="AA1234" s="183"/>
      <c r="AC1234" s="26"/>
      <c r="AD1234" s="279"/>
      <c r="AE1234" s="26"/>
      <c r="AF1234" s="26"/>
      <c r="AG1234" s="278" t="str">
        <f t="shared" si="134"/>
        <v/>
      </c>
      <c r="AH1234" s="278" t="str">
        <f t="shared" si="135"/>
        <v/>
      </c>
      <c r="AJ1234" s="25"/>
      <c r="AK1234" s="25"/>
      <c r="AL1234" s="25"/>
      <c r="AM1234" s="25"/>
      <c r="AN1234" s="25"/>
      <c r="AO1234" s="25"/>
      <c r="AP1234" s="25"/>
      <c r="AQ1234" s="25"/>
      <c r="AR1234" s="25"/>
      <c r="AS1234" s="25"/>
      <c r="AT1234" s="25"/>
      <c r="AU1234" s="25"/>
      <c r="AV1234" s="43"/>
      <c r="AW1234" s="43"/>
      <c r="AX1234" s="114" t="s">
        <v>76</v>
      </c>
      <c r="AY1234" s="43"/>
      <c r="AZ1234" s="43"/>
      <c r="BA1234" s="43"/>
      <c r="BB1234" s="43"/>
    </row>
    <row r="1235" spans="2:54" ht="12.75" customHeight="1">
      <c r="B1235" s="320"/>
      <c r="C1235" s="134"/>
      <c r="D1235" s="98"/>
      <c r="E1235" s="504"/>
      <c r="F1235" s="306"/>
      <c r="G1235" s="265"/>
      <c r="H1235" s="266"/>
      <c r="I1235" s="297"/>
      <c r="J1235" s="298"/>
      <c r="K1235" s="298"/>
      <c r="L1235" s="298"/>
      <c r="M1235" s="41"/>
      <c r="N1235" s="21"/>
      <c r="O1235" s="21"/>
      <c r="P1235" s="21"/>
      <c r="Q1235" s="326"/>
      <c r="R1235" s="40"/>
      <c r="S1235" s="84"/>
      <c r="T1235" s="40"/>
      <c r="U1235" s="42"/>
      <c r="V1235" s="78"/>
      <c r="Z1235" s="181"/>
      <c r="AA1235" s="183"/>
      <c r="AC1235" s="26"/>
      <c r="AD1235" s="279"/>
      <c r="AE1235" s="26"/>
      <c r="AF1235" s="26"/>
      <c r="AG1235" s="278" t="str">
        <f t="shared" si="134"/>
        <v/>
      </c>
      <c r="AH1235" s="278" t="str">
        <f t="shared" si="135"/>
        <v/>
      </c>
      <c r="AJ1235" s="25"/>
      <c r="AK1235" s="25"/>
      <c r="AL1235" s="25"/>
      <c r="AM1235" s="25"/>
      <c r="AN1235" s="25"/>
      <c r="AO1235" s="25"/>
      <c r="AP1235" s="25"/>
      <c r="AQ1235" s="25"/>
      <c r="AR1235" s="25"/>
      <c r="AS1235" s="25"/>
      <c r="AT1235" s="25"/>
      <c r="AU1235" s="25"/>
      <c r="AV1235" s="43"/>
      <c r="AW1235" s="43"/>
      <c r="AX1235" s="114" t="s">
        <v>76</v>
      </c>
      <c r="AY1235" s="43"/>
      <c r="AZ1235" s="43"/>
      <c r="BA1235" s="43"/>
      <c r="BB1235" s="43"/>
    </row>
    <row r="1236" spans="2:54" ht="12.75" customHeight="1">
      <c r="B1236" s="320"/>
      <c r="C1236" s="134"/>
      <c r="D1236" s="98"/>
      <c r="E1236" s="504"/>
      <c r="F1236" s="306"/>
      <c r="G1236" s="265"/>
      <c r="H1236" s="266"/>
      <c r="I1236" s="297"/>
      <c r="J1236" s="298"/>
      <c r="K1236" s="298"/>
      <c r="L1236" s="298"/>
      <c r="M1236" s="41"/>
      <c r="N1236" s="21"/>
      <c r="O1236" s="21"/>
      <c r="P1236" s="21"/>
      <c r="Q1236" s="326"/>
      <c r="R1236" s="40"/>
      <c r="S1236" s="84"/>
      <c r="T1236" s="40"/>
      <c r="U1236" s="42"/>
      <c r="V1236" s="78"/>
      <c r="Z1236" s="181"/>
      <c r="AA1236" s="183"/>
      <c r="AC1236" s="26"/>
      <c r="AD1236" s="279"/>
      <c r="AE1236" s="26"/>
      <c r="AF1236" s="26"/>
      <c r="AG1236" s="278" t="str">
        <f t="shared" si="134"/>
        <v/>
      </c>
      <c r="AH1236" s="278" t="str">
        <f t="shared" si="135"/>
        <v/>
      </c>
      <c r="AJ1236" s="25"/>
      <c r="AK1236" s="25"/>
      <c r="AL1236" s="25"/>
      <c r="AM1236" s="25"/>
      <c r="AN1236" s="25"/>
      <c r="AO1236" s="25"/>
      <c r="AP1236" s="25"/>
      <c r="AQ1236" s="25"/>
      <c r="AR1236" s="25"/>
      <c r="AS1236" s="25"/>
      <c r="AT1236" s="25"/>
      <c r="AU1236" s="25"/>
      <c r="AV1236" s="43"/>
      <c r="AW1236" s="43"/>
      <c r="AX1236" s="114" t="s">
        <v>76</v>
      </c>
      <c r="AY1236" s="43"/>
      <c r="AZ1236" s="43"/>
      <c r="BA1236" s="43"/>
      <c r="BB1236" s="43"/>
    </row>
    <row r="1237" spans="2:54" ht="12.75" customHeight="1">
      <c r="B1237" s="320"/>
      <c r="C1237" s="134"/>
      <c r="D1237" s="98"/>
      <c r="E1237" s="504"/>
      <c r="F1237" s="306"/>
      <c r="G1237" s="265"/>
      <c r="H1237" s="266"/>
      <c r="I1237" s="297"/>
      <c r="J1237" s="298"/>
      <c r="K1237" s="298"/>
      <c r="L1237" s="298"/>
      <c r="M1237" s="41"/>
      <c r="N1237" s="21"/>
      <c r="O1237" s="21"/>
      <c r="P1237" s="21"/>
      <c r="Q1237" s="326"/>
      <c r="R1237" s="40"/>
      <c r="S1237" s="84"/>
      <c r="T1237" s="40"/>
      <c r="U1237" s="42"/>
      <c r="V1237" s="78"/>
      <c r="Z1237" s="181"/>
      <c r="AA1237" s="183"/>
      <c r="AC1237" s="26"/>
      <c r="AD1237" s="279"/>
      <c r="AE1237" s="26"/>
      <c r="AF1237" s="26"/>
      <c r="AG1237" s="278" t="str">
        <f t="shared" si="134"/>
        <v/>
      </c>
      <c r="AH1237" s="278" t="str">
        <f t="shared" si="135"/>
        <v/>
      </c>
      <c r="AJ1237" s="25"/>
      <c r="AK1237" s="25"/>
      <c r="AL1237" s="25"/>
      <c r="AM1237" s="25"/>
      <c r="AN1237" s="25"/>
      <c r="AO1237" s="25"/>
      <c r="AP1237" s="25"/>
      <c r="AQ1237" s="25"/>
      <c r="AR1237" s="25"/>
      <c r="AS1237" s="25"/>
      <c r="AT1237" s="25"/>
      <c r="AU1237" s="25"/>
      <c r="AV1237" s="43"/>
      <c r="AW1237" s="43"/>
      <c r="AX1237" s="114" t="s">
        <v>76</v>
      </c>
      <c r="AY1237" s="43"/>
      <c r="AZ1237" s="43"/>
      <c r="BA1237" s="43"/>
      <c r="BB1237" s="43"/>
    </row>
    <row r="1238" spans="2:54" ht="12.75" customHeight="1">
      <c r="B1238" s="320"/>
      <c r="C1238" s="134"/>
      <c r="D1238" s="98"/>
      <c r="E1238" s="504"/>
      <c r="F1238" s="306"/>
      <c r="G1238" s="265"/>
      <c r="H1238" s="266"/>
      <c r="I1238" s="297"/>
      <c r="J1238" s="298"/>
      <c r="K1238" s="298"/>
      <c r="L1238" s="298"/>
      <c r="M1238" s="41"/>
      <c r="N1238" s="21"/>
      <c r="O1238" s="21"/>
      <c r="P1238" s="21"/>
      <c r="Q1238" s="326"/>
      <c r="R1238" s="40"/>
      <c r="S1238" s="84"/>
      <c r="T1238" s="40"/>
      <c r="U1238" s="42"/>
      <c r="V1238" s="78"/>
      <c r="Z1238" s="181"/>
      <c r="AA1238" s="183"/>
      <c r="AC1238" s="26"/>
      <c r="AD1238" s="279"/>
      <c r="AE1238" s="26"/>
      <c r="AF1238" s="26"/>
      <c r="AG1238" s="278" t="str">
        <f t="shared" si="134"/>
        <v/>
      </c>
      <c r="AH1238" s="278" t="str">
        <f t="shared" si="135"/>
        <v/>
      </c>
      <c r="AJ1238" s="25"/>
      <c r="AK1238" s="25"/>
      <c r="AL1238" s="25"/>
      <c r="AM1238" s="25"/>
      <c r="AN1238" s="25"/>
      <c r="AO1238" s="25"/>
      <c r="AP1238" s="25"/>
      <c r="AQ1238" s="25"/>
      <c r="AR1238" s="25"/>
      <c r="AS1238" s="25"/>
      <c r="AT1238" s="25"/>
      <c r="AU1238" s="25"/>
      <c r="AV1238" s="43"/>
      <c r="AW1238" s="43"/>
      <c r="AX1238" s="114" t="s">
        <v>76</v>
      </c>
      <c r="AY1238" s="43"/>
      <c r="AZ1238" s="43"/>
      <c r="BA1238" s="43"/>
      <c r="BB1238" s="43"/>
    </row>
    <row r="1239" spans="2:54" ht="12.75" customHeight="1">
      <c r="B1239" s="320"/>
      <c r="C1239" s="134"/>
      <c r="D1239" s="98"/>
      <c r="E1239" s="504"/>
      <c r="F1239" s="306"/>
      <c r="G1239" s="265"/>
      <c r="H1239" s="266"/>
      <c r="I1239" s="297"/>
      <c r="J1239" s="298"/>
      <c r="K1239" s="298"/>
      <c r="L1239" s="298"/>
      <c r="M1239" s="41"/>
      <c r="N1239" s="21"/>
      <c r="O1239" s="21"/>
      <c r="P1239" s="21"/>
      <c r="Q1239" s="326"/>
      <c r="R1239" s="40"/>
      <c r="S1239" s="84"/>
      <c r="T1239" s="40"/>
      <c r="U1239" s="42"/>
      <c r="V1239" s="78"/>
      <c r="Z1239" s="181"/>
      <c r="AA1239" s="183"/>
      <c r="AC1239" s="26"/>
      <c r="AD1239" s="279"/>
      <c r="AE1239" s="26"/>
      <c r="AF1239" s="26"/>
      <c r="AG1239" s="278" t="str">
        <f t="shared" si="134"/>
        <v/>
      </c>
      <c r="AH1239" s="278" t="str">
        <f t="shared" si="135"/>
        <v/>
      </c>
      <c r="AJ1239" s="25"/>
      <c r="AK1239" s="25"/>
      <c r="AL1239" s="25"/>
      <c r="AM1239" s="25"/>
      <c r="AN1239" s="25"/>
      <c r="AO1239" s="25"/>
      <c r="AP1239" s="25"/>
      <c r="AQ1239" s="25"/>
      <c r="AR1239" s="25"/>
      <c r="AS1239" s="25"/>
      <c r="AT1239" s="25"/>
      <c r="AU1239" s="25"/>
      <c r="AV1239" s="43"/>
      <c r="AW1239" s="43"/>
      <c r="AX1239" s="114" t="s">
        <v>76</v>
      </c>
      <c r="AY1239" s="43"/>
      <c r="AZ1239" s="43"/>
      <c r="BA1239" s="43"/>
      <c r="BB1239" s="43"/>
    </row>
    <row r="1240" spans="2:54" ht="12.75" customHeight="1">
      <c r="B1240" s="320"/>
      <c r="C1240" s="134"/>
      <c r="D1240" s="98"/>
      <c r="E1240" s="504"/>
      <c r="F1240" s="306"/>
      <c r="G1240" s="265"/>
      <c r="H1240" s="266"/>
      <c r="I1240" s="297"/>
      <c r="J1240" s="298"/>
      <c r="K1240" s="298"/>
      <c r="L1240" s="298"/>
      <c r="M1240" s="41"/>
      <c r="N1240" s="21"/>
      <c r="O1240" s="21"/>
      <c r="P1240" s="21"/>
      <c r="Q1240" s="326"/>
      <c r="R1240" s="40"/>
      <c r="S1240" s="84"/>
      <c r="T1240" s="40"/>
      <c r="U1240" s="42"/>
      <c r="V1240" s="78"/>
      <c r="Z1240" s="181"/>
      <c r="AA1240" s="183"/>
      <c r="AC1240" s="26"/>
      <c r="AD1240" s="279"/>
      <c r="AE1240" s="26"/>
      <c r="AF1240" s="26"/>
      <c r="AG1240" s="278" t="str">
        <f t="shared" si="134"/>
        <v/>
      </c>
      <c r="AH1240" s="278" t="str">
        <f t="shared" si="135"/>
        <v/>
      </c>
      <c r="AJ1240" s="25"/>
      <c r="AK1240" s="25"/>
      <c r="AL1240" s="25"/>
      <c r="AM1240" s="25"/>
      <c r="AN1240" s="25"/>
      <c r="AO1240" s="25"/>
      <c r="AP1240" s="25"/>
      <c r="AQ1240" s="25"/>
      <c r="AR1240" s="25"/>
      <c r="AS1240" s="25"/>
      <c r="AT1240" s="25"/>
      <c r="AU1240" s="25"/>
      <c r="AV1240" s="43"/>
      <c r="AW1240" s="43"/>
      <c r="AX1240" s="114" t="s">
        <v>76</v>
      </c>
      <c r="AY1240" s="43"/>
      <c r="AZ1240" s="43"/>
      <c r="BA1240" s="43"/>
      <c r="BB1240" s="43"/>
    </row>
    <row r="1241" spans="2:54" ht="12.75" customHeight="1">
      <c r="B1241" s="320"/>
      <c r="C1241" s="134"/>
      <c r="D1241" s="98"/>
      <c r="E1241" s="504"/>
      <c r="F1241" s="306"/>
      <c r="G1241" s="265"/>
      <c r="H1241" s="266"/>
      <c r="I1241" s="297"/>
      <c r="J1241" s="298"/>
      <c r="K1241" s="298"/>
      <c r="L1241" s="298"/>
      <c r="M1241" s="41"/>
      <c r="N1241" s="21"/>
      <c r="O1241" s="21"/>
      <c r="P1241" s="21"/>
      <c r="Q1241" s="326"/>
      <c r="R1241" s="40"/>
      <c r="S1241" s="84"/>
      <c r="T1241" s="40"/>
      <c r="U1241" s="42"/>
      <c r="V1241" s="78"/>
      <c r="Z1241" s="181"/>
      <c r="AA1241" s="183"/>
      <c r="AC1241" s="26"/>
      <c r="AD1241" s="279"/>
      <c r="AE1241" s="26"/>
      <c r="AF1241" s="26"/>
      <c r="AG1241" s="278" t="str">
        <f t="shared" si="134"/>
        <v/>
      </c>
      <c r="AH1241" s="278" t="str">
        <f t="shared" si="135"/>
        <v/>
      </c>
      <c r="AJ1241" s="25"/>
      <c r="AK1241" s="25"/>
      <c r="AL1241" s="25"/>
      <c r="AM1241" s="25"/>
      <c r="AN1241" s="25"/>
      <c r="AO1241" s="25"/>
      <c r="AP1241" s="25"/>
      <c r="AQ1241" s="25"/>
      <c r="AR1241" s="25"/>
      <c r="AS1241" s="25"/>
      <c r="AT1241" s="25"/>
      <c r="AU1241" s="25"/>
      <c r="AV1241" s="43"/>
      <c r="AW1241" s="43"/>
      <c r="AX1241" s="114" t="s">
        <v>76</v>
      </c>
      <c r="AY1241" s="43"/>
      <c r="AZ1241" s="43"/>
      <c r="BA1241" s="43"/>
      <c r="BB1241" s="43"/>
    </row>
    <row r="1242" spans="2:54" ht="12.75" customHeight="1">
      <c r="B1242" s="320"/>
      <c r="C1242" s="134"/>
      <c r="D1242" s="98"/>
      <c r="E1242" s="504"/>
      <c r="F1242" s="306"/>
      <c r="G1242" s="265"/>
      <c r="H1242" s="266"/>
      <c r="I1242" s="297"/>
      <c r="J1242" s="298"/>
      <c r="K1242" s="298"/>
      <c r="L1242" s="298"/>
      <c r="M1242" s="41"/>
      <c r="N1242" s="21"/>
      <c r="O1242" s="21"/>
      <c r="P1242" s="21"/>
      <c r="Q1242" s="326"/>
      <c r="R1242" s="40"/>
      <c r="S1242" s="84"/>
      <c r="T1242" s="40"/>
      <c r="U1242" s="42"/>
      <c r="V1242" s="78"/>
      <c r="Z1242" s="181"/>
      <c r="AA1242" s="183"/>
      <c r="AC1242" s="26"/>
      <c r="AD1242" s="279"/>
      <c r="AE1242" s="26"/>
      <c r="AF1242" s="26"/>
      <c r="AG1242" s="278" t="str">
        <f t="shared" si="134"/>
        <v/>
      </c>
      <c r="AH1242" s="278" t="str">
        <f t="shared" si="135"/>
        <v/>
      </c>
      <c r="AJ1242" s="25"/>
      <c r="AK1242" s="25"/>
      <c r="AL1242" s="25"/>
      <c r="AM1242" s="25"/>
      <c r="AN1242" s="25"/>
      <c r="AO1242" s="25"/>
      <c r="AP1242" s="25"/>
      <c r="AQ1242" s="25"/>
      <c r="AR1242" s="25"/>
      <c r="AS1242" s="25"/>
      <c r="AT1242" s="25"/>
      <c r="AU1242" s="25"/>
      <c r="AV1242" s="43"/>
      <c r="AW1242" s="43"/>
      <c r="AX1242" s="114" t="s">
        <v>76</v>
      </c>
      <c r="AY1242" s="43"/>
      <c r="AZ1242" s="43"/>
      <c r="BA1242" s="43"/>
      <c r="BB1242" s="43"/>
    </row>
    <row r="1243" spans="2:54" ht="12.75" customHeight="1">
      <c r="B1243" s="320"/>
      <c r="C1243" s="134"/>
      <c r="D1243" s="98"/>
      <c r="E1243" s="504"/>
      <c r="F1243" s="306"/>
      <c r="G1243" s="265"/>
      <c r="H1243" s="266"/>
      <c r="I1243" s="297"/>
      <c r="J1243" s="298"/>
      <c r="K1243" s="298"/>
      <c r="L1243" s="298"/>
      <c r="M1243" s="41"/>
      <c r="N1243" s="21"/>
      <c r="O1243" s="21"/>
      <c r="P1243" s="21"/>
      <c r="Q1243" s="326"/>
      <c r="R1243" s="40"/>
      <c r="S1243" s="84"/>
      <c r="T1243" s="40"/>
      <c r="U1243" s="42"/>
      <c r="V1243" s="78"/>
      <c r="Z1243" s="181"/>
      <c r="AA1243" s="183"/>
      <c r="AC1243" s="26"/>
      <c r="AD1243" s="279"/>
      <c r="AE1243" s="26"/>
      <c r="AF1243" s="26"/>
      <c r="AG1243" s="278" t="str">
        <f t="shared" si="134"/>
        <v/>
      </c>
      <c r="AH1243" s="278" t="str">
        <f t="shared" si="135"/>
        <v/>
      </c>
      <c r="AJ1243" s="25"/>
      <c r="AK1243" s="25"/>
      <c r="AL1243" s="25"/>
      <c r="AM1243" s="25"/>
      <c r="AN1243" s="25"/>
      <c r="AO1243" s="25"/>
      <c r="AP1243" s="25"/>
      <c r="AQ1243" s="25"/>
      <c r="AR1243" s="25"/>
      <c r="AS1243" s="25"/>
      <c r="AT1243" s="25"/>
      <c r="AU1243" s="25"/>
      <c r="AV1243" s="43"/>
      <c r="AW1243" s="43"/>
      <c r="AX1243" s="114" t="s">
        <v>76</v>
      </c>
      <c r="AY1243" s="43"/>
      <c r="AZ1243" s="43"/>
      <c r="BA1243" s="43"/>
      <c r="BB1243" s="43"/>
    </row>
    <row r="1244" spans="2:54" ht="12.75" customHeight="1">
      <c r="B1244" s="320"/>
      <c r="C1244" s="134"/>
      <c r="D1244" s="98"/>
      <c r="E1244" s="504"/>
      <c r="F1244" s="306"/>
      <c r="G1244" s="265"/>
      <c r="H1244" s="266"/>
      <c r="I1244" s="297"/>
      <c r="J1244" s="298"/>
      <c r="K1244" s="298"/>
      <c r="L1244" s="298"/>
      <c r="M1244" s="41"/>
      <c r="N1244" s="21"/>
      <c r="O1244" s="21"/>
      <c r="P1244" s="21"/>
      <c r="Q1244" s="326"/>
      <c r="R1244" s="40"/>
      <c r="S1244" s="84"/>
      <c r="T1244" s="40"/>
      <c r="U1244" s="42"/>
      <c r="V1244" s="78"/>
      <c r="Z1244" s="181"/>
      <c r="AA1244" s="183"/>
      <c r="AC1244" s="26"/>
      <c r="AD1244" s="279"/>
      <c r="AE1244" s="26"/>
      <c r="AF1244" s="26"/>
      <c r="AG1244" s="278" t="str">
        <f t="shared" si="134"/>
        <v/>
      </c>
      <c r="AH1244" s="278" t="str">
        <f t="shared" si="135"/>
        <v/>
      </c>
      <c r="AJ1244" s="25"/>
      <c r="AK1244" s="25"/>
      <c r="AL1244" s="25"/>
      <c r="AM1244" s="25"/>
      <c r="AN1244" s="25"/>
      <c r="AO1244" s="25"/>
      <c r="AP1244" s="25"/>
      <c r="AQ1244" s="25"/>
      <c r="AR1244" s="25"/>
      <c r="AS1244" s="25"/>
      <c r="AT1244" s="25"/>
      <c r="AU1244" s="25"/>
      <c r="AV1244" s="43"/>
      <c r="AW1244" s="43"/>
      <c r="AX1244" s="114" t="s">
        <v>76</v>
      </c>
      <c r="AY1244" s="43"/>
      <c r="AZ1244" s="43"/>
      <c r="BA1244" s="43"/>
      <c r="BB1244" s="43"/>
    </row>
    <row r="1245" spans="2:54">
      <c r="B1245" s="320"/>
      <c r="C1245" s="134"/>
      <c r="D1245" s="98"/>
      <c r="E1245" s="504"/>
      <c r="F1245" s="306"/>
      <c r="G1245" s="306"/>
      <c r="H1245" s="306"/>
      <c r="I1245" s="297"/>
      <c r="J1245" s="298"/>
      <c r="K1245" s="298"/>
      <c r="L1245" s="298"/>
      <c r="M1245" s="41"/>
      <c r="N1245" s="21"/>
      <c r="O1245" s="21"/>
      <c r="P1245" s="21"/>
      <c r="Q1245" s="326"/>
      <c r="R1245" s="40"/>
      <c r="S1245" s="84"/>
      <c r="T1245" s="40"/>
      <c r="U1245" s="42"/>
      <c r="V1245" s="78"/>
      <c r="Z1245" s="181"/>
      <c r="AA1245" s="183"/>
      <c r="AC1245" s="26"/>
      <c r="AE1245" s="26"/>
      <c r="AF1245" s="26"/>
      <c r="AJ1245" s="25"/>
      <c r="AK1245" s="25"/>
      <c r="AL1245" s="25"/>
      <c r="AM1245" s="25"/>
      <c r="AN1245" s="25"/>
      <c r="AO1245" s="25"/>
      <c r="AP1245" s="25"/>
      <c r="AQ1245" s="25"/>
      <c r="AR1245" s="25"/>
      <c r="AS1245" s="25"/>
      <c r="AT1245" s="25"/>
      <c r="AU1245" s="25"/>
      <c r="AV1245" s="43"/>
      <c r="AW1245" s="43"/>
      <c r="AY1245" s="43"/>
      <c r="AZ1245" s="43"/>
      <c r="BA1245" s="43"/>
      <c r="BB1245" s="43"/>
    </row>
    <row r="1246" spans="2:54">
      <c r="B1246" s="320"/>
      <c r="C1246" s="134"/>
      <c r="D1246" s="98"/>
      <c r="E1246" s="504"/>
      <c r="F1246" s="306"/>
      <c r="G1246" s="306"/>
      <c r="H1246" s="306"/>
      <c r="I1246" s="297"/>
      <c r="J1246" s="298"/>
      <c r="K1246" s="298"/>
      <c r="L1246" s="298"/>
      <c r="M1246" s="41"/>
      <c r="N1246" s="21"/>
      <c r="O1246" s="21"/>
      <c r="P1246" s="21"/>
      <c r="Q1246" s="326"/>
      <c r="R1246" s="40"/>
      <c r="S1246" s="84"/>
      <c r="T1246" s="40"/>
      <c r="U1246" s="42"/>
      <c r="V1246" s="78"/>
      <c r="Z1246" s="181"/>
      <c r="AA1246" s="183"/>
      <c r="AC1246" s="26"/>
      <c r="AE1246" s="26"/>
      <c r="AF1246" s="26"/>
      <c r="AJ1246" s="25"/>
      <c r="AK1246" s="25"/>
      <c r="AL1246" s="25"/>
      <c r="AM1246" s="25"/>
      <c r="AN1246" s="25"/>
      <c r="AO1246" s="25"/>
      <c r="AP1246" s="25"/>
      <c r="AQ1246" s="25"/>
      <c r="AR1246" s="25"/>
      <c r="AS1246" s="25"/>
      <c r="AT1246" s="25"/>
      <c r="AU1246" s="25"/>
      <c r="AV1246" s="43"/>
      <c r="AW1246" s="43"/>
      <c r="AY1246" s="43"/>
      <c r="AZ1246" s="43"/>
      <c r="BA1246" s="43"/>
      <c r="BB1246" s="43"/>
    </row>
    <row r="1247" spans="2:54">
      <c r="B1247" s="320"/>
      <c r="C1247" s="134"/>
      <c r="D1247" s="98"/>
      <c r="E1247" s="504"/>
      <c r="F1247" s="306"/>
      <c r="G1247" s="306"/>
      <c r="H1247" s="306"/>
      <c r="I1247" s="297"/>
      <c r="J1247" s="298"/>
      <c r="K1247" s="298"/>
      <c r="L1247" s="298"/>
      <c r="M1247" s="41"/>
      <c r="N1247" s="21"/>
      <c r="O1247" s="21"/>
      <c r="P1247" s="21"/>
      <c r="Q1247" s="326"/>
      <c r="R1247" s="40"/>
      <c r="S1247" s="84"/>
      <c r="T1247" s="40"/>
      <c r="U1247" s="42"/>
      <c r="V1247" s="78"/>
      <c r="Z1247" s="181"/>
      <c r="AA1247" s="183"/>
      <c r="AC1247" s="26"/>
      <c r="AE1247" s="26"/>
      <c r="AF1247" s="26"/>
      <c r="AJ1247" s="25"/>
      <c r="AK1247" s="25"/>
      <c r="AL1247" s="25"/>
      <c r="AM1247" s="25"/>
      <c r="AN1247" s="25"/>
      <c r="AO1247" s="25"/>
      <c r="AP1247" s="25"/>
      <c r="AQ1247" s="25"/>
      <c r="AR1247" s="25"/>
      <c r="AS1247" s="25"/>
      <c r="AT1247" s="25"/>
      <c r="AU1247" s="25"/>
      <c r="AV1247" s="43"/>
      <c r="AW1247" s="43"/>
      <c r="AY1247" s="43"/>
      <c r="AZ1247" s="43"/>
      <c r="BA1247" s="43"/>
      <c r="BB1247" s="43"/>
    </row>
    <row r="1248" spans="2:54">
      <c r="B1248" s="320"/>
      <c r="C1248" s="134"/>
      <c r="D1248" s="98"/>
      <c r="E1248" s="504"/>
      <c r="F1248" s="306"/>
      <c r="G1248" s="306"/>
      <c r="H1248" s="306"/>
      <c r="I1248" s="297"/>
      <c r="J1248" s="298"/>
      <c r="K1248" s="298"/>
      <c r="L1248" s="298"/>
      <c r="M1248" s="41"/>
      <c r="N1248" s="21"/>
      <c r="O1248" s="21"/>
      <c r="P1248" s="21"/>
      <c r="Q1248" s="326"/>
      <c r="R1248" s="40"/>
      <c r="S1248" s="84"/>
      <c r="T1248" s="40"/>
      <c r="U1248" s="42"/>
      <c r="V1248" s="78"/>
      <c r="Z1248" s="181"/>
      <c r="AA1248" s="183"/>
      <c r="AC1248" s="26"/>
      <c r="AE1248" s="26"/>
      <c r="AF1248" s="26"/>
      <c r="AJ1248" s="25"/>
      <c r="AK1248" s="25"/>
      <c r="AL1248" s="25"/>
      <c r="AM1248" s="25"/>
      <c r="AN1248" s="25"/>
      <c r="AO1248" s="25"/>
      <c r="AP1248" s="25"/>
      <c r="AQ1248" s="25"/>
      <c r="AR1248" s="25"/>
      <c r="AS1248" s="25"/>
      <c r="AT1248" s="25"/>
      <c r="AU1248" s="25"/>
      <c r="AV1248" s="43"/>
      <c r="AW1248" s="43"/>
      <c r="AY1248" s="43"/>
      <c r="AZ1248" s="43"/>
      <c r="BA1248" s="43"/>
      <c r="BB1248" s="43"/>
    </row>
    <row r="1249" spans="2:54">
      <c r="B1249" s="320"/>
      <c r="C1249" s="134"/>
      <c r="D1249" s="98"/>
      <c r="E1249" s="504"/>
      <c r="F1249" s="306"/>
      <c r="G1249" s="306"/>
      <c r="H1249" s="306"/>
      <c r="I1249" s="297"/>
      <c r="J1249" s="298"/>
      <c r="K1249" s="298"/>
      <c r="L1249" s="298"/>
      <c r="M1249" s="41"/>
      <c r="N1249" s="21"/>
      <c r="O1249" s="21"/>
      <c r="P1249" s="21"/>
      <c r="Q1249" s="326"/>
      <c r="R1249" s="40"/>
      <c r="S1249" s="84"/>
      <c r="T1249" s="40"/>
      <c r="U1249" s="42"/>
      <c r="V1249" s="78"/>
      <c r="Z1249" s="181"/>
      <c r="AA1249" s="183"/>
      <c r="AC1249" s="26"/>
      <c r="AE1249" s="26"/>
      <c r="AF1249" s="26"/>
      <c r="AJ1249" s="25"/>
      <c r="AK1249" s="25"/>
      <c r="AL1249" s="25"/>
      <c r="AM1249" s="25"/>
      <c r="AN1249" s="25"/>
      <c r="AO1249" s="25"/>
      <c r="AP1249" s="25"/>
      <c r="AQ1249" s="25"/>
      <c r="AR1249" s="25"/>
      <c r="AS1249" s="25"/>
      <c r="AT1249" s="25"/>
      <c r="AU1249" s="25"/>
      <c r="AV1249" s="43"/>
      <c r="AW1249" s="43"/>
      <c r="AY1249" s="43"/>
      <c r="AZ1249" s="43"/>
      <c r="BA1249" s="43"/>
      <c r="BB1249" s="43"/>
    </row>
    <row r="1250" spans="2:54">
      <c r="B1250" s="320"/>
      <c r="C1250" s="134"/>
      <c r="D1250" s="98"/>
      <c r="E1250" s="504"/>
      <c r="F1250" s="306"/>
      <c r="G1250" s="306"/>
      <c r="H1250" s="306"/>
      <c r="I1250" s="297"/>
      <c r="J1250" s="298"/>
      <c r="K1250" s="298"/>
      <c r="L1250" s="298"/>
      <c r="M1250" s="41"/>
      <c r="N1250" s="21"/>
      <c r="O1250" s="21"/>
      <c r="P1250" s="21"/>
      <c r="Q1250" s="326"/>
      <c r="R1250" s="40"/>
      <c r="S1250" s="84"/>
      <c r="T1250" s="40"/>
      <c r="U1250" s="42"/>
      <c r="V1250" s="78"/>
      <c r="Z1250" s="181"/>
      <c r="AA1250" s="183"/>
      <c r="AC1250" s="26"/>
      <c r="AE1250" s="26"/>
      <c r="AF1250" s="26"/>
      <c r="AJ1250" s="25"/>
      <c r="AK1250" s="25"/>
      <c r="AL1250" s="25"/>
      <c r="AM1250" s="25"/>
      <c r="AN1250" s="25"/>
      <c r="AO1250" s="25"/>
      <c r="AP1250" s="25"/>
      <c r="AQ1250" s="25"/>
      <c r="AR1250" s="25"/>
      <c r="AS1250" s="25"/>
      <c r="AT1250" s="25"/>
      <c r="AU1250" s="25"/>
      <c r="AV1250" s="43"/>
      <c r="AW1250" s="43"/>
      <c r="AY1250" s="43"/>
      <c r="AZ1250" s="43"/>
      <c r="BA1250" s="43"/>
      <c r="BB1250" s="43"/>
    </row>
    <row r="1251" spans="2:54">
      <c r="B1251" s="320"/>
      <c r="C1251" s="134"/>
      <c r="D1251" s="98"/>
      <c r="E1251" s="504"/>
      <c r="F1251" s="306"/>
      <c r="G1251" s="306"/>
      <c r="H1251" s="306"/>
      <c r="I1251" s="297"/>
      <c r="J1251" s="298"/>
      <c r="K1251" s="298"/>
      <c r="L1251" s="298"/>
      <c r="M1251" s="41"/>
      <c r="N1251" s="21"/>
      <c r="O1251" s="21"/>
      <c r="P1251" s="21"/>
      <c r="Q1251" s="326"/>
      <c r="R1251" s="40"/>
      <c r="S1251" s="84"/>
      <c r="T1251" s="40"/>
      <c r="U1251" s="42"/>
      <c r="V1251" s="78"/>
      <c r="Z1251" s="181"/>
      <c r="AA1251" s="183"/>
      <c r="AC1251" s="26"/>
      <c r="AE1251" s="26"/>
      <c r="AF1251" s="26"/>
      <c r="AJ1251" s="25"/>
      <c r="AK1251" s="25"/>
      <c r="AL1251" s="25"/>
      <c r="AM1251" s="25"/>
      <c r="AN1251" s="25"/>
      <c r="AO1251" s="25"/>
      <c r="AP1251" s="25"/>
      <c r="AQ1251" s="25"/>
      <c r="AR1251" s="25"/>
      <c r="AS1251" s="25"/>
      <c r="AT1251" s="25"/>
      <c r="AU1251" s="25"/>
      <c r="AV1251" s="43"/>
      <c r="AW1251" s="43"/>
      <c r="AY1251" s="43"/>
      <c r="AZ1251" s="43"/>
      <c r="BA1251" s="43"/>
      <c r="BB1251" s="43"/>
    </row>
    <row r="1252" spans="2:54">
      <c r="B1252" s="320"/>
      <c r="C1252" s="134"/>
      <c r="D1252" s="98"/>
      <c r="E1252" s="504"/>
      <c r="F1252" s="306"/>
      <c r="G1252" s="306"/>
      <c r="H1252" s="306"/>
      <c r="I1252" s="297"/>
      <c r="J1252" s="298"/>
      <c r="K1252" s="298"/>
      <c r="L1252" s="298"/>
      <c r="M1252" s="41"/>
      <c r="N1252" s="21"/>
      <c r="O1252" s="21"/>
      <c r="P1252" s="21"/>
      <c r="Q1252" s="326"/>
      <c r="R1252" s="40"/>
      <c r="S1252" s="84"/>
      <c r="T1252" s="40"/>
      <c r="U1252" s="42"/>
      <c r="V1252" s="78"/>
      <c r="Z1252" s="181"/>
      <c r="AA1252" s="183"/>
      <c r="AC1252" s="26"/>
      <c r="AE1252" s="26"/>
      <c r="AF1252" s="26"/>
      <c r="AJ1252" s="25"/>
      <c r="AK1252" s="25"/>
      <c r="AL1252" s="25"/>
      <c r="AM1252" s="25"/>
      <c r="AN1252" s="25"/>
      <c r="AO1252" s="25"/>
      <c r="AP1252" s="25"/>
      <c r="AQ1252" s="25"/>
      <c r="AR1252" s="25"/>
      <c r="AS1252" s="25"/>
      <c r="AT1252" s="25"/>
      <c r="AU1252" s="25"/>
      <c r="AV1252" s="43"/>
      <c r="AW1252" s="43"/>
      <c r="AY1252" s="43"/>
      <c r="AZ1252" s="43"/>
      <c r="BA1252" s="43"/>
      <c r="BB1252" s="43"/>
    </row>
    <row r="1253" spans="2:54">
      <c r="B1253" s="320"/>
      <c r="C1253" s="134"/>
      <c r="D1253" s="98"/>
      <c r="E1253" s="504"/>
      <c r="F1253" s="306"/>
      <c r="G1253" s="306"/>
      <c r="H1253" s="306"/>
      <c r="I1253" s="297"/>
      <c r="J1253" s="298"/>
      <c r="K1253" s="298"/>
      <c r="L1253" s="298"/>
      <c r="M1253" s="41"/>
      <c r="N1253" s="21"/>
      <c r="O1253" s="21"/>
      <c r="P1253" s="21"/>
      <c r="Q1253" s="326"/>
      <c r="R1253" s="40"/>
      <c r="S1253" s="84"/>
      <c r="T1253" s="40"/>
      <c r="U1253" s="42"/>
      <c r="V1253" s="78"/>
      <c r="Z1253" s="181"/>
      <c r="AA1253" s="183"/>
      <c r="AC1253" s="26"/>
      <c r="AE1253" s="26"/>
      <c r="AF1253" s="26"/>
      <c r="AJ1253" s="25"/>
      <c r="AK1253" s="25"/>
      <c r="AL1253" s="25"/>
      <c r="AM1253" s="25"/>
      <c r="AN1253" s="25"/>
      <c r="AO1253" s="25"/>
      <c r="AP1253" s="25"/>
      <c r="AQ1253" s="25"/>
      <c r="AR1253" s="25"/>
      <c r="AS1253" s="25"/>
      <c r="AT1253" s="25"/>
      <c r="AU1253" s="25"/>
      <c r="AV1253" s="43"/>
      <c r="AW1253" s="43"/>
      <c r="AY1253" s="43"/>
      <c r="AZ1253" s="43"/>
      <c r="BA1253" s="43"/>
      <c r="BB1253" s="43"/>
    </row>
    <row r="1254" spans="2:54">
      <c r="B1254" s="320"/>
      <c r="C1254" s="134"/>
      <c r="D1254" s="98"/>
      <c r="E1254" s="504"/>
      <c r="F1254" s="306"/>
      <c r="G1254" s="306"/>
      <c r="H1254" s="306"/>
      <c r="I1254" s="297"/>
      <c r="J1254" s="298"/>
      <c r="K1254" s="298"/>
      <c r="L1254" s="298"/>
      <c r="M1254" s="41"/>
      <c r="N1254" s="21"/>
      <c r="O1254" s="21"/>
      <c r="P1254" s="21"/>
      <c r="Q1254" s="326"/>
      <c r="R1254" s="40"/>
      <c r="S1254" s="84"/>
      <c r="T1254" s="40"/>
      <c r="U1254" s="42"/>
      <c r="V1254" s="78"/>
      <c r="Z1254" s="181"/>
      <c r="AA1254" s="183"/>
      <c r="AC1254" s="26"/>
      <c r="AE1254" s="26"/>
      <c r="AF1254" s="26"/>
      <c r="AJ1254" s="25"/>
      <c r="AK1254" s="25"/>
      <c r="AL1254" s="25"/>
      <c r="AM1254" s="25"/>
      <c r="AN1254" s="25"/>
      <c r="AO1254" s="25"/>
      <c r="AP1254" s="25"/>
      <c r="AQ1254" s="25"/>
      <c r="AR1254" s="25"/>
      <c r="AS1254" s="25"/>
      <c r="AT1254" s="25"/>
      <c r="AU1254" s="25"/>
      <c r="AV1254" s="43"/>
      <c r="AW1254" s="43"/>
      <c r="AY1254" s="43"/>
      <c r="AZ1254" s="43"/>
      <c r="BA1254" s="43"/>
      <c r="BB1254" s="43"/>
    </row>
    <row r="1255" spans="2:54">
      <c r="B1255" s="320"/>
      <c r="C1255" s="134"/>
      <c r="D1255" s="98"/>
      <c r="E1255" s="504"/>
      <c r="F1255" s="306"/>
      <c r="G1255" s="306"/>
      <c r="H1255" s="306"/>
      <c r="I1255" s="297"/>
      <c r="J1255" s="298"/>
      <c r="K1255" s="298"/>
      <c r="L1255" s="298"/>
      <c r="M1255" s="41"/>
      <c r="N1255" s="21"/>
      <c r="O1255" s="21"/>
      <c r="P1255" s="21"/>
      <c r="Q1255" s="326"/>
      <c r="R1255" s="40"/>
      <c r="S1255" s="84"/>
      <c r="T1255" s="40"/>
      <c r="U1255" s="42"/>
      <c r="V1255" s="78"/>
      <c r="Z1255" s="181"/>
      <c r="AA1255" s="183"/>
      <c r="AC1255" s="26"/>
      <c r="AE1255" s="26"/>
      <c r="AF1255" s="26"/>
      <c r="AJ1255" s="25"/>
      <c r="AK1255" s="25"/>
      <c r="AL1255" s="25"/>
      <c r="AM1255" s="25"/>
      <c r="AN1255" s="25"/>
      <c r="AO1255" s="25"/>
      <c r="AP1255" s="25"/>
      <c r="AQ1255" s="25"/>
      <c r="AR1255" s="25"/>
      <c r="AS1255" s="25"/>
      <c r="AT1255" s="25"/>
      <c r="AU1255" s="25"/>
      <c r="AV1255" s="43"/>
      <c r="AW1255" s="43"/>
      <c r="AY1255" s="43"/>
      <c r="AZ1255" s="43"/>
      <c r="BA1255" s="43"/>
      <c r="BB1255" s="43"/>
    </row>
    <row r="1256" spans="2:54">
      <c r="B1256" s="320"/>
      <c r="C1256" s="134"/>
      <c r="D1256" s="98"/>
      <c r="E1256" s="504"/>
      <c r="F1256" s="306"/>
      <c r="G1256" s="306"/>
      <c r="H1256" s="306"/>
      <c r="I1256" s="297"/>
      <c r="J1256" s="298"/>
      <c r="K1256" s="298"/>
      <c r="L1256" s="298"/>
      <c r="M1256" s="41"/>
      <c r="N1256" s="21"/>
      <c r="O1256" s="21"/>
      <c r="P1256" s="21"/>
      <c r="Q1256" s="326"/>
      <c r="R1256" s="40"/>
      <c r="S1256" s="84"/>
      <c r="T1256" s="40"/>
      <c r="U1256" s="42"/>
      <c r="V1256" s="78"/>
      <c r="Z1256" s="181"/>
      <c r="AA1256" s="183"/>
      <c r="AC1256" s="26"/>
      <c r="AE1256" s="26"/>
      <c r="AF1256" s="26"/>
      <c r="AJ1256" s="25"/>
      <c r="AK1256" s="25"/>
      <c r="AL1256" s="25"/>
      <c r="AM1256" s="25"/>
      <c r="AN1256" s="25"/>
      <c r="AO1256" s="25"/>
      <c r="AP1256" s="25"/>
      <c r="AQ1256" s="25"/>
      <c r="AR1256" s="25"/>
      <c r="AS1256" s="25"/>
      <c r="AT1256" s="25"/>
      <c r="AU1256" s="25"/>
      <c r="AV1256" s="43"/>
      <c r="AW1256" s="43"/>
      <c r="AY1256" s="43"/>
      <c r="AZ1256" s="43"/>
      <c r="BA1256" s="43"/>
      <c r="BB1256" s="43"/>
    </row>
    <row r="1257" spans="2:54">
      <c r="B1257" s="320"/>
      <c r="C1257" s="134"/>
      <c r="D1257" s="98"/>
      <c r="E1257" s="504"/>
      <c r="F1257" s="306"/>
      <c r="G1257" s="306"/>
      <c r="H1257" s="306"/>
      <c r="I1257" s="297"/>
      <c r="J1257" s="298"/>
      <c r="K1257" s="298"/>
      <c r="L1257" s="298"/>
      <c r="M1257" s="41"/>
      <c r="N1257" s="21"/>
      <c r="O1257" s="21"/>
      <c r="P1257" s="21"/>
      <c r="Q1257" s="326"/>
      <c r="R1257" s="40"/>
      <c r="S1257" s="84"/>
      <c r="T1257" s="40"/>
      <c r="U1257" s="42"/>
      <c r="V1257" s="78"/>
      <c r="Z1257" s="181"/>
      <c r="AA1257" s="183"/>
      <c r="AC1257" s="26"/>
      <c r="AE1257" s="26"/>
      <c r="AF1257" s="26"/>
      <c r="AJ1257" s="25"/>
      <c r="AK1257" s="25"/>
      <c r="AL1257" s="25"/>
      <c r="AM1257" s="25"/>
      <c r="AN1257" s="25"/>
      <c r="AO1257" s="25"/>
      <c r="AP1257" s="25"/>
      <c r="AQ1257" s="25"/>
      <c r="AR1257" s="25"/>
      <c r="AS1257" s="25"/>
      <c r="AT1257" s="25"/>
      <c r="AU1257" s="25"/>
      <c r="AV1257" s="43"/>
      <c r="AW1257" s="43"/>
      <c r="AY1257" s="43"/>
      <c r="AZ1257" s="43"/>
      <c r="BA1257" s="43"/>
      <c r="BB1257" s="43"/>
    </row>
    <row r="1258" spans="2:54">
      <c r="B1258" s="320"/>
      <c r="C1258" s="134"/>
      <c r="D1258" s="98"/>
      <c r="E1258" s="504"/>
      <c r="F1258" s="306"/>
      <c r="G1258" s="306"/>
      <c r="H1258" s="306"/>
      <c r="I1258" s="297"/>
      <c r="J1258" s="298"/>
      <c r="K1258" s="298"/>
      <c r="L1258" s="298"/>
      <c r="M1258" s="41"/>
      <c r="N1258" s="21"/>
      <c r="O1258" s="21"/>
      <c r="P1258" s="21"/>
      <c r="Q1258" s="326"/>
      <c r="R1258" s="40"/>
      <c r="S1258" s="84"/>
      <c r="T1258" s="40"/>
      <c r="U1258" s="42"/>
      <c r="V1258" s="78"/>
      <c r="Z1258" s="181"/>
      <c r="AA1258" s="183"/>
      <c r="AC1258" s="26"/>
      <c r="AE1258" s="26"/>
      <c r="AF1258" s="26"/>
      <c r="AJ1258" s="25"/>
      <c r="AK1258" s="25"/>
      <c r="AL1258" s="25"/>
      <c r="AM1258" s="25"/>
      <c r="AN1258" s="25"/>
      <c r="AO1258" s="25"/>
      <c r="AP1258" s="25"/>
      <c r="AQ1258" s="25"/>
      <c r="AR1258" s="25"/>
      <c r="AS1258" s="25"/>
      <c r="AT1258" s="25"/>
      <c r="AU1258" s="25"/>
      <c r="AV1258" s="43"/>
      <c r="AW1258" s="43"/>
      <c r="AY1258" s="43"/>
      <c r="AZ1258" s="43"/>
      <c r="BA1258" s="43"/>
      <c r="BB1258" s="43"/>
    </row>
    <row r="1259" spans="2:54">
      <c r="B1259" s="320"/>
      <c r="C1259" s="134"/>
      <c r="D1259" s="98"/>
      <c r="E1259" s="504"/>
      <c r="F1259" s="306"/>
      <c r="G1259" s="306"/>
      <c r="H1259" s="306"/>
      <c r="I1259" s="297"/>
      <c r="J1259" s="298"/>
      <c r="K1259" s="298"/>
      <c r="L1259" s="298"/>
      <c r="M1259" s="41"/>
      <c r="N1259" s="21"/>
      <c r="O1259" s="21"/>
      <c r="P1259" s="21"/>
      <c r="Q1259" s="326"/>
      <c r="R1259" s="40"/>
      <c r="S1259" s="84"/>
      <c r="T1259" s="40"/>
      <c r="U1259" s="42"/>
      <c r="V1259" s="78"/>
      <c r="Z1259" s="181"/>
      <c r="AA1259" s="183"/>
      <c r="AC1259" s="26"/>
      <c r="AE1259" s="26"/>
      <c r="AF1259" s="26"/>
      <c r="AJ1259" s="25"/>
      <c r="AK1259" s="25"/>
      <c r="AL1259" s="25"/>
      <c r="AM1259" s="25"/>
      <c r="AN1259" s="25"/>
      <c r="AO1259" s="25"/>
      <c r="AP1259" s="25"/>
      <c r="AQ1259" s="25"/>
      <c r="AR1259" s="25"/>
      <c r="AS1259" s="25"/>
      <c r="AT1259" s="25"/>
      <c r="AU1259" s="25"/>
      <c r="AV1259" s="43"/>
      <c r="AW1259" s="43"/>
      <c r="AY1259" s="43"/>
      <c r="AZ1259" s="43"/>
      <c r="BA1259" s="43"/>
      <c r="BB1259" s="43"/>
    </row>
    <row r="1260" spans="2:54">
      <c r="B1260" s="320"/>
      <c r="C1260" s="134"/>
      <c r="D1260" s="98"/>
      <c r="E1260" s="504"/>
      <c r="F1260" s="306"/>
      <c r="G1260" s="306"/>
      <c r="H1260" s="306"/>
      <c r="I1260" s="297"/>
      <c r="J1260" s="298"/>
      <c r="K1260" s="298"/>
      <c r="L1260" s="298"/>
      <c r="M1260" s="41"/>
      <c r="N1260" s="21"/>
      <c r="O1260" s="21"/>
      <c r="P1260" s="21"/>
      <c r="Q1260" s="326"/>
      <c r="R1260" s="40"/>
      <c r="S1260" s="84"/>
      <c r="T1260" s="40"/>
      <c r="U1260" s="42"/>
      <c r="V1260" s="78"/>
      <c r="Z1260" s="181"/>
      <c r="AA1260" s="183"/>
      <c r="AC1260" s="26"/>
      <c r="AE1260" s="26"/>
      <c r="AF1260" s="26"/>
      <c r="AJ1260" s="25"/>
      <c r="AK1260" s="25"/>
      <c r="AL1260" s="25"/>
      <c r="AM1260" s="25"/>
      <c r="AN1260" s="25"/>
      <c r="AO1260" s="25"/>
      <c r="AP1260" s="25"/>
      <c r="AQ1260" s="25"/>
      <c r="AR1260" s="25"/>
      <c r="AS1260" s="25"/>
      <c r="AT1260" s="25"/>
      <c r="AU1260" s="25"/>
      <c r="AV1260" s="43"/>
      <c r="AW1260" s="43"/>
      <c r="AY1260" s="43"/>
      <c r="AZ1260" s="43"/>
      <c r="BA1260" s="43"/>
      <c r="BB1260" s="43"/>
    </row>
    <row r="1261" spans="2:54">
      <c r="B1261" s="320"/>
      <c r="C1261" s="134"/>
      <c r="D1261" s="98"/>
      <c r="E1261" s="504"/>
      <c r="F1261" s="306"/>
      <c r="G1261" s="306"/>
      <c r="H1261" s="306"/>
      <c r="I1261" s="297"/>
      <c r="J1261" s="298"/>
      <c r="K1261" s="298"/>
      <c r="L1261" s="298"/>
      <c r="M1261" s="41"/>
      <c r="N1261" s="21"/>
      <c r="O1261" s="21"/>
      <c r="P1261" s="21"/>
      <c r="Q1261" s="326"/>
      <c r="R1261" s="40"/>
      <c r="S1261" s="84"/>
      <c r="T1261" s="40"/>
      <c r="U1261" s="42"/>
      <c r="V1261" s="78"/>
      <c r="Z1261" s="181"/>
      <c r="AA1261" s="183"/>
      <c r="AC1261" s="26"/>
      <c r="AE1261" s="26"/>
      <c r="AF1261" s="26"/>
      <c r="AJ1261" s="25"/>
      <c r="AK1261" s="25"/>
      <c r="AL1261" s="25"/>
      <c r="AM1261" s="25"/>
      <c r="AN1261" s="25"/>
      <c r="AO1261" s="25"/>
      <c r="AP1261" s="25"/>
      <c r="AQ1261" s="25"/>
      <c r="AR1261" s="25"/>
      <c r="AS1261" s="25"/>
      <c r="AT1261" s="25"/>
      <c r="AU1261" s="25"/>
      <c r="AV1261" s="43"/>
      <c r="AW1261" s="43"/>
      <c r="AY1261" s="43"/>
      <c r="AZ1261" s="43"/>
      <c r="BA1261" s="43"/>
      <c r="BB1261" s="43"/>
    </row>
    <row r="1262" spans="2:54">
      <c r="B1262" s="320"/>
      <c r="C1262" s="134"/>
      <c r="D1262" s="98"/>
      <c r="E1262" s="504"/>
      <c r="F1262" s="306"/>
      <c r="G1262" s="306"/>
      <c r="H1262" s="306"/>
      <c r="I1262" s="297"/>
      <c r="J1262" s="298"/>
      <c r="K1262" s="298"/>
      <c r="L1262" s="298"/>
      <c r="M1262" s="41"/>
      <c r="N1262" s="21"/>
      <c r="O1262" s="21"/>
      <c r="P1262" s="21"/>
      <c r="Q1262" s="326"/>
      <c r="R1262" s="40"/>
      <c r="S1262" s="84"/>
      <c r="T1262" s="40"/>
      <c r="U1262" s="42"/>
      <c r="V1262" s="78"/>
      <c r="Z1262" s="181"/>
      <c r="AA1262" s="183"/>
      <c r="AC1262" s="26"/>
      <c r="AE1262" s="26"/>
      <c r="AF1262" s="26"/>
      <c r="AJ1262" s="25"/>
      <c r="AK1262" s="25"/>
      <c r="AL1262" s="25"/>
      <c r="AM1262" s="25"/>
      <c r="AN1262" s="25"/>
      <c r="AO1262" s="25"/>
      <c r="AP1262" s="25"/>
      <c r="AQ1262" s="25"/>
      <c r="AR1262" s="25"/>
      <c r="AS1262" s="25"/>
      <c r="AT1262" s="25"/>
      <c r="AU1262" s="25"/>
      <c r="AV1262" s="43"/>
      <c r="AW1262" s="43"/>
      <c r="AY1262" s="43"/>
      <c r="AZ1262" s="43"/>
      <c r="BA1262" s="43"/>
      <c r="BB1262" s="43"/>
    </row>
    <row r="1263" spans="2:54">
      <c r="B1263" s="320"/>
      <c r="C1263" s="134"/>
      <c r="D1263" s="98"/>
      <c r="E1263" s="504"/>
      <c r="F1263" s="306"/>
      <c r="G1263" s="306"/>
      <c r="H1263" s="306"/>
      <c r="I1263" s="297"/>
      <c r="J1263" s="298"/>
      <c r="K1263" s="298"/>
      <c r="L1263" s="298"/>
      <c r="M1263" s="41"/>
      <c r="N1263" s="21"/>
      <c r="O1263" s="21"/>
      <c r="P1263" s="21"/>
      <c r="Q1263" s="326"/>
      <c r="R1263" s="40"/>
      <c r="S1263" s="84"/>
      <c r="T1263" s="40"/>
      <c r="U1263" s="42"/>
      <c r="V1263" s="78"/>
      <c r="Z1263" s="181"/>
      <c r="AA1263" s="183"/>
      <c r="AC1263" s="26"/>
      <c r="AE1263" s="26"/>
      <c r="AF1263" s="26"/>
      <c r="AJ1263" s="25"/>
      <c r="AK1263" s="25"/>
      <c r="AL1263" s="25"/>
      <c r="AM1263" s="25"/>
      <c r="AN1263" s="25"/>
      <c r="AO1263" s="25"/>
      <c r="AP1263" s="25"/>
      <c r="AQ1263" s="25"/>
      <c r="AR1263" s="25"/>
      <c r="AS1263" s="25"/>
      <c r="AT1263" s="25"/>
      <c r="AU1263" s="25"/>
      <c r="AV1263" s="43"/>
      <c r="AW1263" s="43"/>
      <c r="AY1263" s="43"/>
      <c r="AZ1263" s="43"/>
      <c r="BA1263" s="43"/>
      <c r="BB1263" s="43"/>
    </row>
    <row r="1264" spans="2:54">
      <c r="B1264" s="320"/>
      <c r="C1264" s="134"/>
      <c r="D1264" s="98"/>
      <c r="E1264" s="504"/>
      <c r="F1264" s="306"/>
      <c r="G1264" s="306"/>
      <c r="H1264" s="306"/>
      <c r="I1264" s="297"/>
      <c r="J1264" s="298"/>
      <c r="K1264" s="298"/>
      <c r="L1264" s="298"/>
      <c r="M1264" s="41"/>
      <c r="N1264" s="21"/>
      <c r="O1264" s="21"/>
      <c r="P1264" s="21"/>
      <c r="Q1264" s="326"/>
      <c r="R1264" s="40"/>
      <c r="S1264" s="84"/>
      <c r="T1264" s="40"/>
      <c r="U1264" s="42"/>
      <c r="V1264" s="78"/>
      <c r="Z1264" s="181"/>
      <c r="AA1264" s="183"/>
      <c r="AC1264" s="26"/>
      <c r="AE1264" s="26"/>
      <c r="AF1264" s="26"/>
      <c r="AJ1264" s="25"/>
      <c r="AK1264" s="25"/>
      <c r="AL1264" s="25"/>
      <c r="AM1264" s="25"/>
      <c r="AN1264" s="25"/>
      <c r="AO1264" s="25"/>
      <c r="AP1264" s="25"/>
      <c r="AQ1264" s="25"/>
      <c r="AR1264" s="25"/>
      <c r="AS1264" s="25"/>
      <c r="AT1264" s="25"/>
      <c r="AU1264" s="25"/>
      <c r="AV1264" s="43"/>
      <c r="AW1264" s="43"/>
      <c r="AY1264" s="43"/>
      <c r="AZ1264" s="43"/>
      <c r="BA1264" s="43"/>
      <c r="BB1264" s="43"/>
    </row>
    <row r="1265" spans="2:54">
      <c r="B1265" s="320"/>
      <c r="C1265" s="134"/>
      <c r="D1265" s="98"/>
      <c r="E1265" s="504"/>
      <c r="F1265" s="306"/>
      <c r="G1265" s="306"/>
      <c r="H1265" s="306"/>
      <c r="I1265" s="297"/>
      <c r="J1265" s="298"/>
      <c r="K1265" s="298"/>
      <c r="L1265" s="298"/>
      <c r="M1265" s="41"/>
      <c r="N1265" s="21"/>
      <c r="O1265" s="21"/>
      <c r="P1265" s="21"/>
      <c r="Q1265" s="326"/>
      <c r="R1265" s="40"/>
      <c r="S1265" s="84"/>
      <c r="T1265" s="40"/>
      <c r="U1265" s="42"/>
      <c r="V1265" s="78"/>
      <c r="Z1265" s="181"/>
      <c r="AA1265" s="183"/>
      <c r="AC1265" s="26"/>
      <c r="AE1265" s="26"/>
      <c r="AF1265" s="26"/>
      <c r="AJ1265" s="25"/>
      <c r="AK1265" s="25"/>
      <c r="AL1265" s="25"/>
      <c r="AM1265" s="25"/>
      <c r="AN1265" s="25"/>
      <c r="AO1265" s="25"/>
      <c r="AP1265" s="25"/>
      <c r="AQ1265" s="25"/>
      <c r="AR1265" s="25"/>
      <c r="AS1265" s="25"/>
      <c r="AT1265" s="25"/>
      <c r="AU1265" s="25"/>
      <c r="AV1265" s="43"/>
      <c r="AW1265" s="43"/>
      <c r="AY1265" s="43"/>
      <c r="AZ1265" s="43"/>
      <c r="BA1265" s="43"/>
      <c r="BB1265" s="43"/>
    </row>
    <row r="1266" spans="2:54">
      <c r="B1266" s="320"/>
      <c r="C1266" s="134"/>
      <c r="D1266" s="98"/>
      <c r="E1266" s="504"/>
      <c r="F1266" s="306"/>
      <c r="G1266" s="306"/>
      <c r="H1266" s="306"/>
      <c r="I1266" s="297"/>
      <c r="J1266" s="298"/>
      <c r="K1266" s="298"/>
      <c r="L1266" s="298"/>
      <c r="M1266" s="41"/>
      <c r="N1266" s="21"/>
      <c r="O1266" s="21"/>
      <c r="P1266" s="21"/>
      <c r="Q1266" s="326"/>
      <c r="R1266" s="40"/>
      <c r="S1266" s="84"/>
      <c r="T1266" s="40"/>
      <c r="U1266" s="42"/>
      <c r="V1266" s="78"/>
      <c r="Z1266" s="181"/>
      <c r="AA1266" s="183"/>
      <c r="AC1266" s="26"/>
      <c r="AE1266" s="26"/>
      <c r="AF1266" s="26"/>
      <c r="AJ1266" s="25"/>
      <c r="AK1266" s="25"/>
      <c r="AL1266" s="25"/>
      <c r="AM1266" s="25"/>
      <c r="AN1266" s="25"/>
      <c r="AO1266" s="25"/>
      <c r="AP1266" s="25"/>
      <c r="AQ1266" s="25"/>
      <c r="AR1266" s="25"/>
      <c r="AS1266" s="25"/>
      <c r="AT1266" s="25"/>
      <c r="AU1266" s="25"/>
      <c r="AV1266" s="43"/>
      <c r="AW1266" s="43"/>
      <c r="AY1266" s="43"/>
      <c r="AZ1266" s="43"/>
      <c r="BA1266" s="43"/>
      <c r="BB1266" s="43"/>
    </row>
    <row r="1267" spans="2:54">
      <c r="B1267" s="320"/>
      <c r="C1267" s="134"/>
      <c r="D1267" s="98"/>
      <c r="E1267" s="504"/>
      <c r="F1267" s="306"/>
      <c r="G1267" s="306"/>
      <c r="H1267" s="306"/>
      <c r="I1267" s="297"/>
      <c r="J1267" s="298"/>
      <c r="K1267" s="298"/>
      <c r="L1267" s="298"/>
      <c r="M1267" s="41"/>
      <c r="N1267" s="21"/>
      <c r="O1267" s="21"/>
      <c r="P1267" s="21"/>
      <c r="Q1267" s="326"/>
      <c r="R1267" s="40"/>
      <c r="S1267" s="84"/>
      <c r="T1267" s="40"/>
      <c r="U1267" s="42"/>
      <c r="V1267" s="78"/>
      <c r="Z1267" s="181"/>
      <c r="AA1267" s="183"/>
      <c r="AC1267" s="26"/>
      <c r="AE1267" s="26"/>
      <c r="AF1267" s="26"/>
      <c r="AJ1267" s="25"/>
      <c r="AK1267" s="25"/>
      <c r="AL1267" s="25"/>
      <c r="AM1267" s="25"/>
      <c r="AN1267" s="25"/>
      <c r="AO1267" s="25"/>
      <c r="AP1267" s="25"/>
      <c r="AQ1267" s="25"/>
      <c r="AR1267" s="25"/>
      <c r="AS1267" s="25"/>
      <c r="AT1267" s="25"/>
      <c r="AU1267" s="25"/>
      <c r="AV1267" s="43"/>
      <c r="AW1267" s="43"/>
      <c r="AY1267" s="43"/>
      <c r="AZ1267" s="43"/>
      <c r="BA1267" s="43"/>
      <c r="BB1267" s="43"/>
    </row>
    <row r="1268" spans="2:54">
      <c r="B1268" s="320"/>
      <c r="C1268" s="134"/>
      <c r="D1268" s="98"/>
      <c r="E1268" s="504"/>
      <c r="F1268" s="306"/>
      <c r="G1268" s="306"/>
      <c r="H1268" s="306"/>
      <c r="I1268" s="297"/>
      <c r="J1268" s="298"/>
      <c r="K1268" s="298"/>
      <c r="L1268" s="298"/>
      <c r="M1268" s="41"/>
      <c r="N1268" s="21"/>
      <c r="O1268" s="21"/>
      <c r="P1268" s="21"/>
      <c r="Q1268" s="326"/>
      <c r="R1268" s="40"/>
      <c r="S1268" s="84"/>
      <c r="T1268" s="40"/>
      <c r="U1268" s="42"/>
      <c r="V1268" s="78"/>
      <c r="Z1268" s="181"/>
      <c r="AA1268" s="183"/>
      <c r="AC1268" s="26"/>
      <c r="AE1268" s="26"/>
      <c r="AF1268" s="26"/>
      <c r="AJ1268" s="25"/>
      <c r="AK1268" s="25"/>
      <c r="AL1268" s="25"/>
      <c r="AM1268" s="25"/>
      <c r="AN1268" s="25"/>
      <c r="AO1268" s="25"/>
      <c r="AP1268" s="25"/>
      <c r="AQ1268" s="25"/>
      <c r="AR1268" s="25"/>
      <c r="AS1268" s="25"/>
      <c r="AT1268" s="25"/>
      <c r="AU1268" s="25"/>
      <c r="AV1268" s="43"/>
      <c r="AW1268" s="43"/>
      <c r="AY1268" s="43"/>
      <c r="AZ1268" s="43"/>
      <c r="BA1268" s="43"/>
      <c r="BB1268" s="43"/>
    </row>
    <row r="1269" spans="2:54">
      <c r="B1269" s="320"/>
      <c r="C1269" s="134"/>
      <c r="D1269" s="98"/>
      <c r="E1269" s="504"/>
      <c r="F1269" s="306"/>
      <c r="G1269" s="306"/>
      <c r="H1269" s="306"/>
      <c r="I1269" s="297"/>
      <c r="J1269" s="298"/>
      <c r="K1269" s="298"/>
      <c r="L1269" s="298"/>
      <c r="M1269" s="41"/>
      <c r="N1269" s="21"/>
      <c r="O1269" s="21"/>
      <c r="P1269" s="21"/>
      <c r="Q1269" s="326"/>
      <c r="R1269" s="40"/>
      <c r="S1269" s="84"/>
      <c r="T1269" s="40"/>
      <c r="U1269" s="42"/>
      <c r="V1269" s="78"/>
      <c r="Z1269" s="181"/>
      <c r="AA1269" s="183"/>
      <c r="AC1269" s="26"/>
      <c r="AE1269" s="26"/>
      <c r="AF1269" s="26"/>
      <c r="AJ1269" s="25"/>
      <c r="AK1269" s="25"/>
      <c r="AL1269" s="25"/>
      <c r="AM1269" s="25"/>
      <c r="AN1269" s="25"/>
      <c r="AO1269" s="25"/>
      <c r="AP1269" s="25"/>
      <c r="AQ1269" s="25"/>
      <c r="AR1269" s="25"/>
      <c r="AS1269" s="25"/>
      <c r="AT1269" s="25"/>
      <c r="AU1269" s="25"/>
      <c r="AV1269" s="43"/>
      <c r="AW1269" s="43"/>
      <c r="AY1269" s="43"/>
      <c r="AZ1269" s="43"/>
      <c r="BA1269" s="43"/>
      <c r="BB1269" s="43"/>
    </row>
    <row r="1270" spans="2:54">
      <c r="B1270" s="320"/>
      <c r="C1270" s="134"/>
      <c r="D1270" s="98"/>
      <c r="E1270" s="504"/>
      <c r="F1270" s="306"/>
      <c r="G1270" s="306"/>
      <c r="H1270" s="306"/>
      <c r="I1270" s="297"/>
      <c r="J1270" s="298"/>
      <c r="K1270" s="298"/>
      <c r="L1270" s="298"/>
      <c r="M1270" s="41"/>
      <c r="N1270" s="21"/>
      <c r="O1270" s="21"/>
      <c r="P1270" s="21"/>
      <c r="Q1270" s="326"/>
      <c r="R1270" s="40"/>
      <c r="S1270" s="84"/>
      <c r="T1270" s="40"/>
      <c r="U1270" s="42"/>
      <c r="V1270" s="78"/>
      <c r="Z1270" s="181"/>
      <c r="AA1270" s="183"/>
      <c r="AC1270" s="26"/>
      <c r="AE1270" s="26"/>
      <c r="AF1270" s="26"/>
      <c r="AJ1270" s="25"/>
      <c r="AK1270" s="25"/>
      <c r="AL1270" s="25"/>
      <c r="AM1270" s="25"/>
      <c r="AN1270" s="25"/>
      <c r="AO1270" s="25"/>
      <c r="AP1270" s="25"/>
      <c r="AQ1270" s="25"/>
      <c r="AR1270" s="25"/>
      <c r="AS1270" s="25"/>
      <c r="AT1270" s="25"/>
      <c r="AU1270" s="25"/>
      <c r="AV1270" s="43"/>
      <c r="AW1270" s="43"/>
      <c r="AY1270" s="43"/>
      <c r="AZ1270" s="43"/>
      <c r="BA1270" s="43"/>
      <c r="BB1270" s="43"/>
    </row>
    <row r="1271" spans="2:54">
      <c r="B1271" s="320"/>
      <c r="C1271" s="134"/>
      <c r="D1271" s="98"/>
      <c r="E1271" s="504"/>
      <c r="F1271" s="306"/>
      <c r="G1271" s="306"/>
      <c r="H1271" s="306"/>
      <c r="I1271" s="297"/>
      <c r="J1271" s="298"/>
      <c r="K1271" s="298"/>
      <c r="L1271" s="298"/>
      <c r="M1271" s="41"/>
      <c r="N1271" s="21"/>
      <c r="O1271" s="21"/>
      <c r="P1271" s="21"/>
      <c r="Q1271" s="326"/>
      <c r="R1271" s="40"/>
      <c r="S1271" s="84"/>
      <c r="T1271" s="40"/>
      <c r="U1271" s="42"/>
      <c r="V1271" s="78"/>
      <c r="Z1271" s="181"/>
      <c r="AA1271" s="183"/>
      <c r="AC1271" s="26"/>
      <c r="AE1271" s="26"/>
      <c r="AF1271" s="26"/>
      <c r="AJ1271" s="25"/>
      <c r="AK1271" s="25"/>
      <c r="AL1271" s="25"/>
      <c r="AM1271" s="25"/>
      <c r="AN1271" s="25"/>
      <c r="AO1271" s="25"/>
      <c r="AP1271" s="25"/>
      <c r="AQ1271" s="25"/>
      <c r="AR1271" s="25"/>
      <c r="AS1271" s="25"/>
      <c r="AT1271" s="25"/>
      <c r="AU1271" s="25"/>
      <c r="AV1271" s="43"/>
      <c r="AW1271" s="43"/>
      <c r="AY1271" s="43"/>
      <c r="AZ1271" s="43"/>
      <c r="BA1271" s="43"/>
      <c r="BB1271" s="43"/>
    </row>
    <row r="1272" spans="2:54">
      <c r="B1272" s="320"/>
      <c r="C1272" s="134"/>
      <c r="D1272" s="98"/>
      <c r="E1272" s="504"/>
      <c r="F1272" s="306"/>
      <c r="G1272" s="306"/>
      <c r="H1272" s="306"/>
      <c r="I1272" s="297"/>
      <c r="J1272" s="298"/>
      <c r="K1272" s="298"/>
      <c r="L1272" s="298"/>
      <c r="M1272" s="41"/>
      <c r="N1272" s="21"/>
      <c r="O1272" s="21"/>
      <c r="P1272" s="21"/>
      <c r="Q1272" s="326"/>
      <c r="R1272" s="40"/>
      <c r="S1272" s="84"/>
      <c r="T1272" s="40"/>
      <c r="U1272" s="42"/>
      <c r="V1272" s="78"/>
      <c r="Z1272" s="181"/>
      <c r="AA1272" s="183"/>
      <c r="AC1272" s="26"/>
      <c r="AE1272" s="26"/>
      <c r="AF1272" s="26"/>
      <c r="AJ1272" s="25"/>
      <c r="AK1272" s="25"/>
      <c r="AL1272" s="25"/>
      <c r="AM1272" s="25"/>
      <c r="AN1272" s="25"/>
      <c r="AO1272" s="25"/>
      <c r="AP1272" s="25"/>
      <c r="AQ1272" s="25"/>
      <c r="AR1272" s="25"/>
      <c r="AS1272" s="25"/>
      <c r="AT1272" s="25"/>
      <c r="AU1272" s="25"/>
      <c r="AV1272" s="43"/>
      <c r="AW1272" s="43"/>
      <c r="AY1272" s="43"/>
      <c r="AZ1272" s="43"/>
      <c r="BA1272" s="43"/>
      <c r="BB1272" s="43"/>
    </row>
    <row r="1273" spans="2:54">
      <c r="B1273" s="320"/>
      <c r="C1273" s="134"/>
      <c r="D1273" s="98"/>
      <c r="E1273" s="504"/>
      <c r="F1273" s="306"/>
      <c r="G1273" s="306"/>
      <c r="H1273" s="306"/>
      <c r="I1273" s="297"/>
      <c r="J1273" s="298"/>
      <c r="K1273" s="298"/>
      <c r="L1273" s="298"/>
      <c r="M1273" s="41"/>
      <c r="N1273" s="21"/>
      <c r="O1273" s="21"/>
      <c r="P1273" s="21"/>
      <c r="Q1273" s="326"/>
      <c r="R1273" s="40"/>
      <c r="S1273" s="84"/>
      <c r="T1273" s="40"/>
      <c r="U1273" s="42"/>
      <c r="V1273" s="78"/>
      <c r="Z1273" s="181"/>
      <c r="AA1273" s="183"/>
      <c r="AC1273" s="26"/>
      <c r="AE1273" s="26"/>
      <c r="AF1273" s="26"/>
      <c r="AJ1273" s="25"/>
      <c r="AK1273" s="25"/>
      <c r="AL1273" s="25"/>
      <c r="AM1273" s="25"/>
      <c r="AN1273" s="25"/>
      <c r="AO1273" s="25"/>
      <c r="AP1273" s="25"/>
      <c r="AQ1273" s="25"/>
      <c r="AR1273" s="25"/>
      <c r="AS1273" s="25"/>
      <c r="AT1273" s="25"/>
      <c r="AU1273" s="25"/>
      <c r="AV1273" s="43"/>
      <c r="AW1273" s="43"/>
      <c r="AY1273" s="43"/>
      <c r="AZ1273" s="43"/>
      <c r="BA1273" s="43"/>
      <c r="BB1273" s="43"/>
    </row>
    <row r="1274" spans="2:54">
      <c r="B1274" s="320"/>
      <c r="C1274" s="134"/>
      <c r="D1274" s="98"/>
      <c r="F1274" s="44"/>
      <c r="G1274" s="45"/>
      <c r="H1274" s="46"/>
      <c r="I1274" s="299"/>
      <c r="Q1274" s="326"/>
      <c r="R1274" s="40"/>
      <c r="S1274" s="84"/>
      <c r="T1274" s="40"/>
      <c r="U1274" s="42"/>
      <c r="V1274" s="78"/>
      <c r="Z1274" s="181"/>
      <c r="AA1274" s="183"/>
      <c r="AC1274" s="26"/>
      <c r="AE1274" s="26"/>
      <c r="AF1274" s="26"/>
      <c r="AJ1274" s="25"/>
      <c r="AK1274" s="25"/>
      <c r="AL1274" s="25"/>
      <c r="AM1274" s="25"/>
      <c r="AN1274" s="25"/>
      <c r="AO1274" s="25"/>
      <c r="AP1274" s="25"/>
      <c r="AQ1274" s="25"/>
      <c r="AR1274" s="25"/>
      <c r="AS1274" s="25"/>
      <c r="AT1274" s="25"/>
      <c r="AU1274" s="25"/>
      <c r="AV1274" s="43"/>
      <c r="AW1274" s="43"/>
      <c r="AY1274" s="43"/>
      <c r="AZ1274" s="43"/>
      <c r="BA1274" s="43"/>
      <c r="BB1274" s="43"/>
    </row>
    <row r="1275" spans="2:54">
      <c r="B1275" s="320"/>
      <c r="C1275" s="134"/>
      <c r="D1275" s="98"/>
      <c r="F1275" s="44"/>
      <c r="G1275" s="45"/>
      <c r="H1275" s="46"/>
      <c r="I1275" s="299"/>
      <c r="Q1275" s="326"/>
      <c r="R1275" s="40"/>
      <c r="S1275" s="84"/>
      <c r="T1275" s="40"/>
      <c r="U1275" s="42"/>
      <c r="V1275" s="78"/>
      <c r="Z1275" s="181"/>
      <c r="AA1275" s="183"/>
      <c r="AC1275" s="26"/>
      <c r="AE1275" s="26"/>
      <c r="AF1275" s="26"/>
      <c r="AJ1275" s="25"/>
      <c r="AK1275" s="25"/>
      <c r="AL1275" s="25"/>
      <c r="AM1275" s="25"/>
      <c r="AN1275" s="25"/>
      <c r="AO1275" s="25"/>
      <c r="AP1275" s="25"/>
      <c r="AQ1275" s="25"/>
      <c r="AR1275" s="25"/>
      <c r="AS1275" s="25"/>
      <c r="AT1275" s="25"/>
      <c r="AU1275" s="25"/>
      <c r="AV1275" s="43"/>
      <c r="AW1275" s="43"/>
      <c r="AY1275" s="43"/>
      <c r="AZ1275" s="43"/>
      <c r="BA1275" s="43"/>
      <c r="BB1275" s="43"/>
    </row>
    <row r="1276" spans="2:54">
      <c r="B1276" s="320"/>
      <c r="C1276" s="134"/>
      <c r="D1276" s="98"/>
      <c r="F1276" s="44"/>
      <c r="G1276" s="45"/>
      <c r="H1276" s="46"/>
      <c r="I1276" s="299"/>
      <c r="Q1276" s="326"/>
      <c r="R1276" s="40"/>
      <c r="S1276" s="84"/>
      <c r="T1276" s="40"/>
      <c r="U1276" s="42"/>
      <c r="V1276" s="78"/>
      <c r="Z1276" s="181"/>
      <c r="AA1276" s="183"/>
      <c r="AC1276" s="26"/>
      <c r="AE1276" s="26"/>
      <c r="AF1276" s="26"/>
      <c r="AJ1276" s="25"/>
      <c r="AK1276" s="25"/>
      <c r="AL1276" s="25"/>
      <c r="AM1276" s="25"/>
      <c r="AN1276" s="25"/>
      <c r="AO1276" s="25"/>
      <c r="AP1276" s="25"/>
      <c r="AQ1276" s="25"/>
      <c r="AR1276" s="25"/>
      <c r="AS1276" s="25"/>
      <c r="AT1276" s="25"/>
      <c r="AU1276" s="25"/>
      <c r="AV1276" s="43"/>
      <c r="AW1276" s="43"/>
      <c r="AY1276" s="43"/>
      <c r="AZ1276" s="43"/>
      <c r="BA1276" s="43"/>
      <c r="BB1276" s="43"/>
    </row>
    <row r="1277" spans="2:54">
      <c r="B1277" s="320"/>
      <c r="C1277" s="134"/>
      <c r="D1277" s="98"/>
      <c r="F1277" s="44"/>
      <c r="G1277" s="47"/>
      <c r="H1277" s="48"/>
      <c r="I1277" s="299"/>
      <c r="Q1277" s="326"/>
      <c r="R1277" s="40"/>
      <c r="S1277" s="84"/>
      <c r="T1277" s="40"/>
      <c r="U1277" s="42"/>
      <c r="V1277" s="78"/>
      <c r="Z1277" s="181"/>
      <c r="AA1277" s="183"/>
      <c r="AC1277" s="26"/>
      <c r="AE1277" s="26"/>
      <c r="AF1277" s="26"/>
      <c r="AJ1277" s="25"/>
      <c r="AK1277" s="25"/>
      <c r="AL1277" s="25"/>
      <c r="AM1277" s="25"/>
      <c r="AN1277" s="25"/>
      <c r="AO1277" s="25"/>
      <c r="AP1277" s="25"/>
      <c r="AQ1277" s="25"/>
      <c r="AR1277" s="25"/>
      <c r="AS1277" s="25"/>
      <c r="AT1277" s="25"/>
      <c r="AU1277" s="25"/>
      <c r="AV1277" s="43"/>
      <c r="AW1277" s="43"/>
      <c r="AY1277" s="43"/>
      <c r="AZ1277" s="43"/>
      <c r="BA1277" s="43"/>
      <c r="BB1277" s="43"/>
    </row>
    <row r="1278" spans="2:54">
      <c r="F1278" s="44"/>
      <c r="G1278" s="47"/>
      <c r="H1278" s="48"/>
      <c r="I1278" s="299"/>
      <c r="AC1278" s="26"/>
      <c r="AE1278" s="26"/>
      <c r="AF1278" s="26"/>
      <c r="AJ1278" s="25"/>
      <c r="AK1278" s="25"/>
      <c r="AL1278" s="25"/>
      <c r="AM1278" s="25"/>
      <c r="AN1278" s="25"/>
      <c r="AO1278" s="25"/>
      <c r="AP1278" s="25"/>
      <c r="AQ1278" s="25"/>
      <c r="AR1278" s="25"/>
      <c r="AS1278" s="25"/>
      <c r="AT1278" s="25"/>
      <c r="AU1278" s="25"/>
      <c r="AV1278" s="43"/>
      <c r="AW1278" s="43"/>
      <c r="AY1278" s="43"/>
      <c r="AZ1278" s="43"/>
      <c r="BA1278" s="43"/>
      <c r="BB1278" s="43"/>
    </row>
    <row r="1279" spans="2:54">
      <c r="F1279" s="44"/>
      <c r="G1279" s="47"/>
      <c r="H1279" s="48"/>
      <c r="I1279" s="299"/>
      <c r="AC1279" s="26"/>
      <c r="AE1279" s="26"/>
      <c r="AF1279" s="26"/>
      <c r="AJ1279" s="25"/>
      <c r="AK1279" s="25"/>
      <c r="AL1279" s="25"/>
      <c r="AM1279" s="25"/>
      <c r="AN1279" s="25"/>
      <c r="AO1279" s="25"/>
      <c r="AP1279" s="25"/>
      <c r="AQ1279" s="25"/>
      <c r="AR1279" s="25"/>
      <c r="AS1279" s="25"/>
      <c r="AT1279" s="25"/>
      <c r="AU1279" s="25"/>
      <c r="AV1279" s="43"/>
      <c r="AW1279" s="43"/>
      <c r="AY1279" s="43"/>
      <c r="AZ1279" s="43"/>
      <c r="BA1279" s="43"/>
      <c r="BB1279" s="43"/>
    </row>
    <row r="1280" spans="2:54">
      <c r="F1280" s="44"/>
      <c r="G1280" s="47"/>
      <c r="H1280" s="48"/>
      <c r="I1280" s="299"/>
      <c r="AC1280" s="26"/>
      <c r="AE1280" s="26"/>
      <c r="AF1280" s="26"/>
      <c r="AJ1280" s="25"/>
      <c r="AK1280" s="25"/>
      <c r="AL1280" s="25"/>
      <c r="AM1280" s="25"/>
      <c r="AN1280" s="25"/>
      <c r="AO1280" s="25"/>
      <c r="AP1280" s="25"/>
      <c r="AQ1280" s="25"/>
      <c r="AR1280" s="25"/>
      <c r="AS1280" s="25"/>
      <c r="AT1280" s="25"/>
      <c r="AU1280" s="25"/>
      <c r="AV1280" s="43"/>
      <c r="AW1280" s="43"/>
      <c r="AY1280" s="43"/>
      <c r="AZ1280" s="43"/>
      <c r="BA1280" s="43"/>
      <c r="BB1280" s="43"/>
    </row>
    <row r="1281" spans="6:54">
      <c r="F1281" s="44"/>
      <c r="G1281" s="47"/>
      <c r="H1281" s="48"/>
      <c r="I1281" s="299"/>
      <c r="AC1281" s="26"/>
      <c r="AE1281" s="26"/>
      <c r="AF1281" s="26"/>
      <c r="AJ1281" s="25"/>
      <c r="AK1281" s="25"/>
      <c r="AL1281" s="25"/>
      <c r="AM1281" s="25"/>
      <c r="AN1281" s="25"/>
      <c r="AO1281" s="25"/>
      <c r="AP1281" s="25"/>
      <c r="AQ1281" s="25"/>
      <c r="AR1281" s="25"/>
      <c r="AS1281" s="25"/>
      <c r="AT1281" s="25"/>
      <c r="AU1281" s="25"/>
      <c r="AV1281" s="43"/>
      <c r="AW1281" s="43"/>
      <c r="AY1281" s="43"/>
      <c r="AZ1281" s="43"/>
      <c r="BA1281" s="43"/>
      <c r="BB1281" s="43"/>
    </row>
    <row r="1282" spans="6:54">
      <c r="F1282" s="44"/>
      <c r="G1282" s="49"/>
      <c r="H1282" s="48"/>
      <c r="I1282" s="299"/>
      <c r="AC1282" s="26"/>
      <c r="AE1282" s="26"/>
      <c r="AF1282" s="26"/>
      <c r="AJ1282" s="25"/>
      <c r="AK1282" s="25"/>
      <c r="AL1282" s="25"/>
      <c r="AM1282" s="25"/>
      <c r="AN1282" s="25"/>
      <c r="AO1282" s="25"/>
      <c r="AP1282" s="25"/>
      <c r="AQ1282" s="25"/>
      <c r="AR1282" s="25"/>
      <c r="AS1282" s="25"/>
      <c r="AT1282" s="25"/>
      <c r="AU1282" s="25"/>
      <c r="AV1282" s="43"/>
      <c r="AW1282" s="43"/>
      <c r="AY1282" s="43"/>
      <c r="AZ1282" s="43"/>
      <c r="BA1282" s="43"/>
      <c r="BB1282" s="43"/>
    </row>
    <row r="1283" spans="6:54">
      <c r="F1283" s="44"/>
      <c r="G1283" s="49"/>
      <c r="H1283" s="48"/>
      <c r="I1283" s="299"/>
      <c r="AC1283" s="26"/>
      <c r="AE1283" s="26"/>
      <c r="AF1283" s="26"/>
      <c r="AJ1283" s="25"/>
      <c r="AK1283" s="25"/>
      <c r="AL1283" s="25"/>
      <c r="AM1283" s="25"/>
      <c r="AN1283" s="25"/>
      <c r="AO1283" s="25"/>
      <c r="AP1283" s="25"/>
      <c r="AQ1283" s="25"/>
      <c r="AR1283" s="25"/>
      <c r="AS1283" s="25"/>
      <c r="AT1283" s="25"/>
      <c r="AU1283" s="25"/>
      <c r="AV1283" s="43"/>
      <c r="AW1283" s="43"/>
      <c r="AY1283" s="43"/>
      <c r="AZ1283" s="43"/>
      <c r="BA1283" s="43"/>
      <c r="BB1283" s="43"/>
    </row>
    <row r="1284" spans="6:54">
      <c r="F1284" s="44"/>
      <c r="G1284" s="49"/>
      <c r="H1284" s="48"/>
      <c r="I1284" s="299"/>
      <c r="AC1284" s="26"/>
      <c r="AE1284" s="26"/>
      <c r="AF1284" s="26"/>
      <c r="AJ1284" s="25"/>
      <c r="AK1284" s="25"/>
      <c r="AL1284" s="25"/>
      <c r="AM1284" s="25"/>
      <c r="AN1284" s="25"/>
      <c r="AO1284" s="25"/>
      <c r="AP1284" s="25"/>
      <c r="AQ1284" s="25"/>
      <c r="AR1284" s="25"/>
      <c r="AS1284" s="25"/>
      <c r="AT1284" s="25"/>
      <c r="AU1284" s="25"/>
      <c r="AV1284" s="43"/>
      <c r="AW1284" s="43"/>
      <c r="AY1284" s="43"/>
      <c r="AZ1284" s="43"/>
      <c r="BA1284" s="43"/>
      <c r="BB1284" s="43"/>
    </row>
    <row r="1285" spans="6:54">
      <c r="F1285" s="44"/>
      <c r="G1285" s="49"/>
      <c r="H1285" s="48"/>
      <c r="I1285" s="299"/>
      <c r="AC1285" s="26"/>
      <c r="AE1285" s="26"/>
      <c r="AF1285" s="26"/>
      <c r="AJ1285" s="25"/>
      <c r="AK1285" s="25"/>
      <c r="AL1285" s="25"/>
      <c r="AM1285" s="25"/>
      <c r="AN1285" s="25"/>
      <c r="AO1285" s="25"/>
      <c r="AP1285" s="25"/>
      <c r="AQ1285" s="25"/>
      <c r="AR1285" s="25"/>
      <c r="AS1285" s="25"/>
      <c r="AT1285" s="25"/>
      <c r="AU1285" s="25"/>
      <c r="AV1285" s="43"/>
      <c r="AW1285" s="43"/>
      <c r="AY1285" s="43"/>
      <c r="AZ1285" s="43"/>
      <c r="BA1285" s="43"/>
      <c r="BB1285" s="43"/>
    </row>
    <row r="1286" spans="6:54">
      <c r="F1286" s="44"/>
      <c r="G1286" s="49"/>
      <c r="H1286" s="48"/>
      <c r="I1286" s="299"/>
      <c r="AC1286" s="26"/>
      <c r="AE1286" s="26"/>
      <c r="AF1286" s="26"/>
      <c r="AJ1286" s="25"/>
      <c r="AK1286" s="25"/>
      <c r="AL1286" s="25"/>
      <c r="AM1286" s="25"/>
      <c r="AN1286" s="25"/>
      <c r="AO1286" s="25"/>
      <c r="AP1286" s="25"/>
      <c r="AQ1286" s="25"/>
      <c r="AR1286" s="25"/>
      <c r="AS1286" s="25"/>
      <c r="AT1286" s="25"/>
      <c r="AU1286" s="25"/>
      <c r="AV1286" s="43"/>
      <c r="AW1286" s="43"/>
      <c r="AY1286" s="43"/>
      <c r="AZ1286" s="43"/>
      <c r="BA1286" s="43"/>
      <c r="BB1286" s="43"/>
    </row>
    <row r="1287" spans="6:54">
      <c r="F1287" s="44"/>
      <c r="G1287" s="47"/>
      <c r="H1287" s="48"/>
      <c r="I1287" s="299"/>
      <c r="AC1287" s="26"/>
      <c r="AE1287" s="26"/>
      <c r="AF1287" s="26"/>
      <c r="AJ1287" s="25"/>
      <c r="AK1287" s="25"/>
      <c r="AL1287" s="25"/>
      <c r="AM1287" s="25"/>
      <c r="AN1287" s="25"/>
      <c r="AO1287" s="25"/>
      <c r="AP1287" s="25"/>
      <c r="AQ1287" s="25"/>
      <c r="AR1287" s="25"/>
      <c r="AS1287" s="25"/>
      <c r="AT1287" s="25"/>
      <c r="AU1287" s="25"/>
      <c r="AV1287" s="43"/>
      <c r="AW1287" s="43"/>
      <c r="AY1287" s="43"/>
      <c r="AZ1287" s="43"/>
      <c r="BA1287" s="43"/>
      <c r="BB1287" s="43"/>
    </row>
    <row r="1288" spans="6:54">
      <c r="F1288" s="44"/>
      <c r="G1288" s="47"/>
      <c r="H1288" s="48"/>
      <c r="I1288" s="299"/>
      <c r="AC1288" s="26"/>
      <c r="AE1288" s="26"/>
      <c r="AF1288" s="26"/>
      <c r="AJ1288" s="25"/>
      <c r="AK1288" s="25"/>
      <c r="AL1288" s="25"/>
      <c r="AM1288" s="25"/>
      <c r="AN1288" s="25"/>
      <c r="AO1288" s="25"/>
      <c r="AP1288" s="25"/>
      <c r="AQ1288" s="25"/>
      <c r="AR1288" s="25"/>
      <c r="AS1288" s="25"/>
      <c r="AT1288" s="25"/>
      <c r="AU1288" s="25"/>
      <c r="AV1288" s="43"/>
      <c r="AW1288" s="43"/>
      <c r="AY1288" s="43"/>
      <c r="AZ1288" s="43"/>
      <c r="BA1288" s="43"/>
      <c r="BB1288" s="43"/>
    </row>
    <row r="1289" spans="6:54">
      <c r="F1289" s="44"/>
      <c r="G1289" s="47"/>
      <c r="H1289" s="48"/>
      <c r="I1289" s="299"/>
      <c r="AC1289" s="26"/>
      <c r="AE1289" s="26"/>
      <c r="AF1289" s="26"/>
      <c r="AJ1289" s="25"/>
      <c r="AK1289" s="25"/>
      <c r="AL1289" s="25"/>
      <c r="AM1289" s="25"/>
      <c r="AN1289" s="25"/>
      <c r="AO1289" s="25"/>
      <c r="AP1289" s="25"/>
      <c r="AQ1289" s="25"/>
      <c r="AR1289" s="25"/>
      <c r="AS1289" s="25"/>
      <c r="AT1289" s="25"/>
      <c r="AU1289" s="25"/>
      <c r="AV1289" s="43"/>
      <c r="AW1289" s="43"/>
      <c r="AY1289" s="43"/>
      <c r="AZ1289" s="43"/>
      <c r="BA1289" s="43"/>
      <c r="BB1289" s="43"/>
    </row>
    <row r="1290" spans="6:54">
      <c r="F1290" s="44"/>
      <c r="G1290" s="47"/>
      <c r="H1290" s="48"/>
      <c r="I1290" s="299"/>
      <c r="AC1290" s="26"/>
      <c r="AE1290" s="26"/>
      <c r="AF1290" s="26"/>
      <c r="AJ1290" s="25"/>
      <c r="AK1290" s="25"/>
      <c r="AL1290" s="25"/>
      <c r="AM1290" s="25"/>
      <c r="AN1290" s="25"/>
      <c r="AO1290" s="25"/>
      <c r="AP1290" s="25"/>
      <c r="AQ1290" s="25"/>
      <c r="AR1290" s="25"/>
      <c r="AS1290" s="25"/>
      <c r="AT1290" s="25"/>
      <c r="AU1290" s="25"/>
      <c r="AV1290" s="43"/>
      <c r="AW1290" s="43"/>
      <c r="AY1290" s="43"/>
      <c r="AZ1290" s="43"/>
      <c r="BA1290" s="43"/>
      <c r="BB1290" s="43"/>
    </row>
    <row r="1291" spans="6:54">
      <c r="F1291" s="44"/>
      <c r="G1291" s="47"/>
      <c r="H1291" s="48"/>
      <c r="I1291" s="299"/>
      <c r="AC1291" s="26"/>
      <c r="AE1291" s="26"/>
      <c r="AF1291" s="26"/>
      <c r="AJ1291" s="25"/>
      <c r="AK1291" s="25"/>
      <c r="AL1291" s="25"/>
      <c r="AM1291" s="25"/>
      <c r="AN1291" s="25"/>
      <c r="AO1291" s="25"/>
      <c r="AP1291" s="25"/>
      <c r="AQ1291" s="25"/>
      <c r="AR1291" s="25"/>
      <c r="AS1291" s="25"/>
      <c r="AT1291" s="25"/>
      <c r="AU1291" s="25"/>
      <c r="AV1291" s="43"/>
      <c r="AW1291" s="43"/>
      <c r="AY1291" s="43"/>
      <c r="AZ1291" s="43"/>
      <c r="BA1291" s="43"/>
      <c r="BB1291" s="43"/>
    </row>
    <row r="1292" spans="6:54">
      <c r="F1292" s="44"/>
      <c r="G1292" s="49"/>
      <c r="H1292" s="48"/>
      <c r="I1292" s="299"/>
      <c r="AC1292" s="26"/>
      <c r="AE1292" s="26"/>
      <c r="AF1292" s="26"/>
      <c r="AJ1292" s="25"/>
      <c r="AK1292" s="25"/>
      <c r="AL1292" s="25"/>
      <c r="AM1292" s="25"/>
      <c r="AN1292" s="25"/>
      <c r="AO1292" s="25"/>
      <c r="AP1292" s="25"/>
      <c r="AQ1292" s="25"/>
      <c r="AR1292" s="25"/>
      <c r="AS1292" s="25"/>
      <c r="AT1292" s="25"/>
      <c r="AU1292" s="25"/>
      <c r="AV1292" s="43"/>
      <c r="AW1292" s="43"/>
      <c r="AY1292" s="43"/>
      <c r="AZ1292" s="43"/>
      <c r="BA1292" s="43"/>
      <c r="BB1292" s="43"/>
    </row>
    <row r="1293" spans="6:54">
      <c r="F1293" s="44"/>
      <c r="G1293" s="49"/>
      <c r="H1293" s="48"/>
      <c r="I1293" s="299"/>
      <c r="AC1293" s="26"/>
      <c r="AE1293" s="26"/>
      <c r="AF1293" s="26"/>
      <c r="AJ1293" s="25"/>
      <c r="AK1293" s="25"/>
      <c r="AL1293" s="25"/>
      <c r="AM1293" s="25"/>
      <c r="AN1293" s="25"/>
      <c r="AO1293" s="25"/>
      <c r="AP1293" s="25"/>
      <c r="AQ1293" s="25"/>
      <c r="AR1293" s="25"/>
      <c r="AS1293" s="25"/>
      <c r="AT1293" s="25"/>
      <c r="AU1293" s="25"/>
      <c r="AV1293" s="43"/>
      <c r="AW1293" s="43"/>
      <c r="AY1293" s="43"/>
      <c r="AZ1293" s="43"/>
      <c r="BA1293" s="43"/>
      <c r="BB1293" s="43"/>
    </row>
    <row r="1294" spans="6:54">
      <c r="F1294" s="44"/>
      <c r="G1294" s="49"/>
      <c r="H1294" s="48"/>
      <c r="I1294" s="299"/>
      <c r="AC1294" s="26"/>
      <c r="AE1294" s="26"/>
      <c r="AF1294" s="26"/>
      <c r="AJ1294" s="25"/>
      <c r="AK1294" s="25"/>
      <c r="AL1294" s="25"/>
      <c r="AM1294" s="25"/>
      <c r="AN1294" s="25"/>
      <c r="AO1294" s="25"/>
      <c r="AP1294" s="25"/>
      <c r="AQ1294" s="25"/>
      <c r="AR1294" s="25"/>
      <c r="AS1294" s="25"/>
      <c r="AT1294" s="25"/>
      <c r="AU1294" s="25"/>
      <c r="AV1294" s="43"/>
      <c r="AW1294" s="43"/>
      <c r="AY1294" s="43"/>
      <c r="AZ1294" s="43"/>
      <c r="BA1294" s="43"/>
      <c r="BB1294" s="43"/>
    </row>
    <row r="1295" spans="6:54">
      <c r="F1295" s="44"/>
      <c r="G1295" s="49"/>
      <c r="H1295" s="48"/>
      <c r="I1295" s="299"/>
      <c r="AC1295" s="26"/>
      <c r="AE1295" s="26"/>
      <c r="AF1295" s="26"/>
      <c r="AJ1295" s="25"/>
      <c r="AK1295" s="25"/>
      <c r="AL1295" s="25"/>
      <c r="AM1295" s="25"/>
      <c r="AN1295" s="25"/>
      <c r="AO1295" s="25"/>
      <c r="AP1295" s="25"/>
      <c r="AQ1295" s="25"/>
      <c r="AR1295" s="25"/>
      <c r="AS1295" s="25"/>
      <c r="AT1295" s="25"/>
      <c r="AU1295" s="25"/>
      <c r="AV1295" s="43"/>
      <c r="AW1295" s="43"/>
      <c r="AY1295" s="43"/>
      <c r="AZ1295" s="43"/>
      <c r="BA1295" s="43"/>
      <c r="BB1295" s="43"/>
    </row>
    <row r="1296" spans="6:54">
      <c r="F1296" s="44"/>
      <c r="G1296" s="49"/>
      <c r="H1296" s="48"/>
      <c r="I1296" s="299"/>
      <c r="AC1296" s="26"/>
      <c r="AE1296" s="26"/>
      <c r="AF1296" s="26"/>
      <c r="AJ1296" s="25"/>
      <c r="AK1296" s="25"/>
      <c r="AL1296" s="25"/>
      <c r="AM1296" s="25"/>
      <c r="AN1296" s="25"/>
      <c r="AO1296" s="25"/>
      <c r="AP1296" s="25"/>
      <c r="AQ1296" s="25"/>
      <c r="AR1296" s="25"/>
      <c r="AS1296" s="25"/>
      <c r="AT1296" s="25"/>
      <c r="AU1296" s="25"/>
      <c r="AV1296" s="43"/>
      <c r="AW1296" s="43"/>
      <c r="AY1296" s="43"/>
      <c r="AZ1296" s="43"/>
      <c r="BA1296" s="43"/>
      <c r="BB1296" s="43"/>
    </row>
    <row r="1297" spans="6:54">
      <c r="F1297" s="44"/>
      <c r="G1297" s="47"/>
      <c r="H1297" s="48"/>
      <c r="I1297" s="299"/>
      <c r="AC1297" s="26"/>
      <c r="AE1297" s="26"/>
      <c r="AF1297" s="26"/>
      <c r="AJ1297" s="25"/>
      <c r="AK1297" s="25"/>
      <c r="AL1297" s="25"/>
      <c r="AM1297" s="25"/>
      <c r="AN1297" s="25"/>
      <c r="AO1297" s="25"/>
      <c r="AP1297" s="25"/>
      <c r="AQ1297" s="25"/>
      <c r="AR1297" s="25"/>
      <c r="AS1297" s="25"/>
      <c r="AT1297" s="25"/>
      <c r="AU1297" s="25"/>
      <c r="AV1297" s="43"/>
      <c r="AW1297" s="43"/>
      <c r="AY1297" s="43"/>
      <c r="AZ1297" s="43"/>
      <c r="BA1297" s="43"/>
      <c r="BB1297" s="43"/>
    </row>
    <row r="1298" spans="6:54">
      <c r="F1298" s="44"/>
      <c r="G1298" s="47"/>
      <c r="H1298" s="48"/>
      <c r="I1298" s="299"/>
      <c r="AC1298" s="26"/>
      <c r="AE1298" s="26"/>
      <c r="AF1298" s="26"/>
      <c r="AJ1298" s="25"/>
      <c r="AK1298" s="25"/>
      <c r="AL1298" s="25"/>
      <c r="AM1298" s="25"/>
      <c r="AN1298" s="25"/>
      <c r="AO1298" s="25"/>
      <c r="AP1298" s="25"/>
      <c r="AQ1298" s="25"/>
      <c r="AR1298" s="25"/>
      <c r="AS1298" s="25"/>
      <c r="AT1298" s="25"/>
      <c r="AU1298" s="25"/>
      <c r="AV1298" s="43"/>
      <c r="AW1298" s="43"/>
      <c r="AY1298" s="43"/>
      <c r="AZ1298" s="43"/>
      <c r="BA1298" s="43"/>
      <c r="BB1298" s="43"/>
    </row>
    <row r="1299" spans="6:54">
      <c r="F1299" s="44"/>
      <c r="G1299" s="47"/>
      <c r="H1299" s="48"/>
      <c r="I1299" s="299"/>
      <c r="AC1299" s="26"/>
      <c r="AE1299" s="26"/>
      <c r="AF1299" s="26"/>
      <c r="AJ1299" s="25"/>
      <c r="AK1299" s="25"/>
      <c r="AL1299" s="25"/>
      <c r="AM1299" s="25"/>
      <c r="AN1299" s="25"/>
      <c r="AO1299" s="25"/>
      <c r="AP1299" s="25"/>
      <c r="AQ1299" s="25"/>
      <c r="AR1299" s="25"/>
      <c r="AS1299" s="25"/>
      <c r="AT1299" s="25"/>
      <c r="AU1299" s="25"/>
      <c r="AV1299" s="43"/>
      <c r="AW1299" s="43"/>
      <c r="AY1299" s="43"/>
      <c r="AZ1299" s="43"/>
      <c r="BA1299" s="43"/>
      <c r="BB1299" s="43"/>
    </row>
    <row r="1300" spans="6:54">
      <c r="F1300" s="44"/>
      <c r="G1300" s="47"/>
      <c r="H1300" s="48"/>
      <c r="I1300" s="299"/>
      <c r="AC1300" s="26"/>
      <c r="AE1300" s="26"/>
      <c r="AF1300" s="26"/>
      <c r="AJ1300" s="25"/>
      <c r="AK1300" s="25"/>
      <c r="AL1300" s="25"/>
      <c r="AM1300" s="25"/>
      <c r="AN1300" s="25"/>
      <c r="AO1300" s="25"/>
      <c r="AP1300" s="25"/>
      <c r="AQ1300" s="25"/>
      <c r="AR1300" s="25"/>
      <c r="AS1300" s="25"/>
      <c r="AT1300" s="25"/>
      <c r="AU1300" s="25"/>
      <c r="AV1300" s="43"/>
      <c r="AW1300" s="43"/>
      <c r="AY1300" s="43"/>
      <c r="AZ1300" s="43"/>
      <c r="BA1300" s="43"/>
      <c r="BB1300" s="43"/>
    </row>
    <row r="1301" spans="6:54">
      <c r="F1301" s="44"/>
      <c r="G1301" s="47"/>
      <c r="H1301" s="48"/>
      <c r="I1301" s="299"/>
      <c r="AC1301" s="26"/>
      <c r="AE1301" s="26"/>
      <c r="AF1301" s="26"/>
      <c r="AJ1301" s="25"/>
      <c r="AK1301" s="25"/>
      <c r="AL1301" s="25"/>
      <c r="AM1301" s="25"/>
      <c r="AN1301" s="25"/>
      <c r="AO1301" s="25"/>
      <c r="AP1301" s="25"/>
      <c r="AQ1301" s="25"/>
      <c r="AR1301" s="25"/>
      <c r="AS1301" s="25"/>
      <c r="AT1301" s="25"/>
      <c r="AU1301" s="25"/>
      <c r="AV1301" s="43"/>
      <c r="AW1301" s="43"/>
      <c r="AY1301" s="43"/>
      <c r="AZ1301" s="43"/>
      <c r="BA1301" s="43"/>
      <c r="BB1301" s="43"/>
    </row>
    <row r="1302" spans="6:54">
      <c r="F1302" s="44"/>
      <c r="G1302" s="45"/>
      <c r="H1302" s="46"/>
      <c r="I1302" s="299"/>
      <c r="AC1302" s="26"/>
      <c r="AE1302" s="26"/>
      <c r="AF1302" s="26"/>
      <c r="AJ1302" s="25"/>
      <c r="AK1302" s="25"/>
      <c r="AL1302" s="25"/>
      <c r="AM1302" s="25"/>
      <c r="AN1302" s="25"/>
      <c r="AO1302" s="25"/>
      <c r="AP1302" s="25"/>
      <c r="AQ1302" s="25"/>
      <c r="AR1302" s="25"/>
      <c r="AS1302" s="25"/>
      <c r="AT1302" s="25"/>
      <c r="AU1302" s="25"/>
      <c r="AV1302" s="43"/>
      <c r="AW1302" s="43"/>
      <c r="AY1302" s="43"/>
      <c r="AZ1302" s="43"/>
      <c r="BA1302" s="43"/>
      <c r="BB1302" s="43"/>
    </row>
    <row r="1303" spans="6:54">
      <c r="F1303" s="44"/>
      <c r="G1303" s="45"/>
      <c r="H1303" s="46"/>
      <c r="I1303" s="299"/>
      <c r="AC1303" s="26"/>
      <c r="AE1303" s="26"/>
      <c r="AF1303" s="26"/>
      <c r="AJ1303" s="25"/>
      <c r="AK1303" s="25"/>
      <c r="AL1303" s="25"/>
      <c r="AM1303" s="25"/>
      <c r="AN1303" s="25"/>
      <c r="AO1303" s="25"/>
      <c r="AP1303" s="25"/>
      <c r="AQ1303" s="25"/>
      <c r="AR1303" s="25"/>
      <c r="AS1303" s="25"/>
      <c r="AT1303" s="25"/>
      <c r="AU1303" s="25"/>
      <c r="AV1303" s="43"/>
      <c r="AW1303" s="43"/>
      <c r="AY1303" s="43"/>
      <c r="BB1303" s="43"/>
    </row>
    <row r="1304" spans="6:54">
      <c r="F1304" s="44"/>
      <c r="G1304" s="45"/>
      <c r="H1304" s="46"/>
      <c r="I1304" s="299"/>
      <c r="AC1304" s="26"/>
      <c r="AE1304" s="26"/>
      <c r="AF1304" s="26"/>
      <c r="AJ1304" s="25"/>
      <c r="AK1304" s="25"/>
      <c r="AL1304" s="25"/>
      <c r="AM1304" s="25"/>
      <c r="AN1304" s="25"/>
      <c r="AO1304" s="25"/>
      <c r="AP1304" s="25"/>
      <c r="AQ1304" s="25"/>
      <c r="AR1304" s="25"/>
      <c r="AS1304" s="25"/>
      <c r="AT1304" s="25"/>
      <c r="AU1304" s="25"/>
      <c r="AV1304" s="43"/>
      <c r="AW1304" s="43"/>
      <c r="AY1304" s="43"/>
    </row>
    <row r="1305" spans="6:54">
      <c r="F1305" s="44"/>
      <c r="G1305" s="45"/>
      <c r="H1305" s="46"/>
      <c r="I1305" s="299"/>
      <c r="AC1305" s="26"/>
      <c r="AE1305" s="26"/>
      <c r="AF1305" s="26"/>
      <c r="AJ1305" s="25"/>
      <c r="AK1305" s="25"/>
      <c r="AL1305" s="25"/>
      <c r="AM1305" s="25"/>
      <c r="AN1305" s="25"/>
      <c r="AO1305" s="25"/>
      <c r="AP1305" s="25"/>
      <c r="AQ1305" s="25"/>
      <c r="AR1305" s="25"/>
      <c r="AS1305" s="25"/>
      <c r="AT1305" s="25"/>
      <c r="AU1305" s="25"/>
      <c r="AW1305" s="43"/>
      <c r="AY1305" s="43"/>
    </row>
    <row r="1306" spans="6:54">
      <c r="F1306" s="44"/>
      <c r="G1306" s="45"/>
      <c r="H1306" s="46"/>
      <c r="I1306" s="299"/>
      <c r="AC1306" s="26"/>
      <c r="AE1306" s="26"/>
      <c r="AF1306" s="26"/>
      <c r="AJ1306" s="25"/>
      <c r="AK1306" s="25"/>
      <c r="AL1306" s="25"/>
      <c r="AM1306" s="25"/>
      <c r="AN1306" s="25"/>
      <c r="AO1306" s="25"/>
      <c r="AP1306" s="25"/>
      <c r="AQ1306" s="25"/>
      <c r="AR1306" s="25"/>
      <c r="AS1306" s="25"/>
      <c r="AT1306" s="25"/>
      <c r="AU1306" s="25"/>
      <c r="AW1306" s="43"/>
      <c r="AY1306" s="43"/>
    </row>
    <row r="1307" spans="6:54">
      <c r="F1307" s="44"/>
      <c r="G1307" s="47"/>
      <c r="H1307" s="48"/>
      <c r="I1307" s="299"/>
      <c r="AC1307" s="26"/>
      <c r="AE1307" s="26"/>
      <c r="AF1307" s="26"/>
      <c r="AJ1307" s="25"/>
      <c r="AK1307" s="25"/>
      <c r="AL1307" s="25"/>
      <c r="AM1307" s="25"/>
      <c r="AN1307" s="25"/>
      <c r="AO1307" s="25"/>
      <c r="AP1307" s="25"/>
      <c r="AQ1307" s="25"/>
      <c r="AR1307" s="25"/>
      <c r="AS1307" s="25"/>
      <c r="AT1307" s="25"/>
      <c r="AU1307" s="25"/>
      <c r="AW1307" s="43"/>
      <c r="AY1307" s="43"/>
    </row>
    <row r="1308" spans="6:54">
      <c r="F1308" s="44"/>
      <c r="G1308" s="47"/>
      <c r="H1308" s="48"/>
      <c r="I1308" s="299"/>
      <c r="AC1308" s="26"/>
      <c r="AE1308" s="26"/>
      <c r="AF1308" s="26"/>
      <c r="AJ1308" s="25"/>
      <c r="AK1308" s="25"/>
      <c r="AL1308" s="25"/>
      <c r="AM1308" s="25"/>
      <c r="AN1308" s="25"/>
      <c r="AO1308" s="25"/>
      <c r="AP1308" s="25"/>
      <c r="AQ1308" s="25"/>
      <c r="AR1308" s="25"/>
      <c r="AS1308" s="25"/>
      <c r="AT1308" s="25"/>
      <c r="AU1308" s="25"/>
      <c r="AW1308" s="43"/>
      <c r="AY1308" s="43"/>
    </row>
    <row r="1309" spans="6:54">
      <c r="F1309" s="44"/>
      <c r="G1309" s="47"/>
      <c r="H1309" s="48"/>
      <c r="I1309" s="299"/>
      <c r="AC1309" s="26"/>
      <c r="AE1309" s="26"/>
      <c r="AF1309" s="26"/>
      <c r="AJ1309" s="25"/>
      <c r="AK1309" s="25"/>
      <c r="AL1309" s="25"/>
      <c r="AM1309" s="25"/>
      <c r="AN1309" s="25"/>
      <c r="AO1309" s="25"/>
      <c r="AP1309" s="25"/>
      <c r="AQ1309" s="25"/>
      <c r="AR1309" s="25"/>
      <c r="AS1309" s="25"/>
      <c r="AT1309" s="25"/>
      <c r="AU1309" s="25"/>
      <c r="AW1309" s="43"/>
      <c r="AY1309" s="43"/>
    </row>
    <row r="1310" spans="6:54">
      <c r="F1310" s="44"/>
      <c r="G1310" s="47"/>
      <c r="H1310" s="48"/>
      <c r="I1310" s="299"/>
      <c r="AC1310" s="26"/>
      <c r="AE1310" s="26"/>
      <c r="AF1310" s="26"/>
      <c r="AJ1310" s="25"/>
      <c r="AK1310" s="25"/>
      <c r="AL1310" s="25"/>
      <c r="AM1310" s="25"/>
      <c r="AN1310" s="25"/>
      <c r="AO1310" s="25"/>
      <c r="AP1310" s="25"/>
      <c r="AQ1310" s="25"/>
      <c r="AR1310" s="25"/>
      <c r="AS1310" s="25"/>
      <c r="AT1310" s="25"/>
      <c r="AU1310" s="25"/>
      <c r="AW1310" s="43"/>
      <c r="AY1310" s="43"/>
    </row>
    <row r="1311" spans="6:54">
      <c r="F1311" s="44"/>
      <c r="G1311" s="47"/>
      <c r="H1311" s="48"/>
      <c r="I1311" s="299"/>
      <c r="AC1311" s="26"/>
      <c r="AE1311" s="26"/>
      <c r="AF1311" s="26"/>
      <c r="AJ1311" s="25"/>
      <c r="AK1311" s="25"/>
      <c r="AL1311" s="25"/>
      <c r="AM1311" s="25"/>
      <c r="AN1311" s="25"/>
      <c r="AO1311" s="25"/>
      <c r="AP1311" s="25"/>
      <c r="AQ1311" s="25"/>
      <c r="AR1311" s="25"/>
      <c r="AS1311" s="25"/>
      <c r="AT1311" s="25"/>
      <c r="AU1311" s="25"/>
      <c r="AW1311" s="43"/>
      <c r="AY1311" s="43"/>
    </row>
    <row r="1312" spans="6:54">
      <c r="F1312" s="44"/>
      <c r="G1312" s="45"/>
      <c r="H1312" s="46"/>
      <c r="I1312" s="299"/>
      <c r="AC1312" s="26"/>
      <c r="AE1312" s="26"/>
      <c r="AF1312" s="26"/>
      <c r="AJ1312" s="25"/>
      <c r="AK1312" s="25"/>
      <c r="AL1312" s="25"/>
      <c r="AM1312" s="25"/>
      <c r="AN1312" s="25"/>
      <c r="AO1312" s="25"/>
      <c r="AP1312" s="25"/>
      <c r="AQ1312" s="25"/>
      <c r="AR1312" s="25"/>
      <c r="AS1312" s="25"/>
      <c r="AT1312" s="25"/>
      <c r="AU1312" s="25"/>
      <c r="AW1312" s="43"/>
      <c r="AY1312" s="43"/>
    </row>
    <row r="1313" spans="6:51">
      <c r="F1313" s="44"/>
      <c r="G1313" s="45"/>
      <c r="H1313" s="46"/>
      <c r="I1313" s="299"/>
      <c r="AC1313" s="26"/>
      <c r="AE1313" s="26"/>
      <c r="AF1313" s="26"/>
      <c r="AJ1313" s="25"/>
      <c r="AK1313" s="25"/>
      <c r="AL1313" s="25"/>
      <c r="AM1313" s="25"/>
      <c r="AN1313" s="25"/>
      <c r="AO1313" s="25"/>
      <c r="AP1313" s="25"/>
      <c r="AQ1313" s="25"/>
      <c r="AR1313" s="25"/>
      <c r="AS1313" s="25"/>
      <c r="AT1313" s="25"/>
      <c r="AU1313" s="25"/>
      <c r="AW1313" s="43"/>
      <c r="AY1313" s="43"/>
    </row>
    <row r="1314" spans="6:51">
      <c r="F1314" s="44"/>
      <c r="G1314" s="45"/>
      <c r="H1314" s="46"/>
      <c r="I1314" s="299"/>
      <c r="AC1314" s="26"/>
      <c r="AE1314" s="26"/>
      <c r="AF1314" s="26"/>
      <c r="AJ1314" s="25"/>
      <c r="AK1314" s="25"/>
      <c r="AL1314" s="25"/>
      <c r="AM1314" s="25"/>
      <c r="AN1314" s="25"/>
      <c r="AO1314" s="25"/>
      <c r="AP1314" s="25"/>
      <c r="AQ1314" s="25"/>
      <c r="AR1314" s="25"/>
      <c r="AS1314" s="25"/>
      <c r="AT1314" s="25"/>
      <c r="AU1314" s="25"/>
      <c r="AW1314" s="43"/>
      <c r="AY1314" s="43"/>
    </row>
    <row r="1315" spans="6:51">
      <c r="F1315" s="44"/>
      <c r="G1315" s="45"/>
      <c r="H1315" s="46"/>
      <c r="I1315" s="299"/>
      <c r="AC1315" s="26"/>
      <c r="AE1315" s="26"/>
      <c r="AF1315" s="26"/>
      <c r="AJ1315" s="25"/>
      <c r="AK1315" s="25"/>
      <c r="AL1315" s="25"/>
      <c r="AM1315" s="25"/>
      <c r="AN1315" s="25"/>
      <c r="AO1315" s="25"/>
      <c r="AP1315" s="25"/>
      <c r="AQ1315" s="25"/>
      <c r="AR1315" s="25"/>
      <c r="AS1315" s="25"/>
      <c r="AT1315" s="25"/>
      <c r="AU1315" s="25"/>
    </row>
    <row r="1316" spans="6:51">
      <c r="F1316" s="44"/>
      <c r="G1316" s="45"/>
      <c r="H1316" s="46"/>
      <c r="I1316" s="299"/>
      <c r="AC1316" s="26"/>
      <c r="AE1316" s="26"/>
      <c r="AF1316" s="26"/>
      <c r="AJ1316" s="25"/>
      <c r="AK1316" s="25"/>
      <c r="AL1316" s="25"/>
      <c r="AM1316" s="25"/>
      <c r="AN1316" s="25"/>
      <c r="AO1316" s="25"/>
      <c r="AP1316" s="25"/>
      <c r="AQ1316" s="25"/>
      <c r="AR1316" s="25"/>
      <c r="AS1316" s="25"/>
      <c r="AT1316" s="25"/>
      <c r="AU1316" s="25"/>
    </row>
    <row r="1317" spans="6:51">
      <c r="F1317" s="44"/>
      <c r="G1317" s="49"/>
      <c r="H1317" s="48"/>
      <c r="I1317" s="299"/>
      <c r="AC1317" s="26"/>
      <c r="AE1317" s="26"/>
      <c r="AF1317" s="26"/>
      <c r="AJ1317" s="25"/>
      <c r="AK1317" s="25"/>
      <c r="AL1317" s="25"/>
      <c r="AM1317" s="25"/>
      <c r="AN1317" s="25"/>
      <c r="AO1317" s="25"/>
      <c r="AP1317" s="25"/>
      <c r="AQ1317" s="25"/>
      <c r="AR1317" s="25"/>
      <c r="AS1317" s="25"/>
      <c r="AT1317" s="25"/>
      <c r="AU1317" s="25"/>
    </row>
    <row r="1318" spans="6:51">
      <c r="F1318" s="44"/>
      <c r="G1318" s="49"/>
      <c r="H1318" s="48"/>
      <c r="I1318" s="299"/>
      <c r="AC1318" s="26"/>
      <c r="AE1318" s="26"/>
      <c r="AF1318" s="26"/>
      <c r="AJ1318" s="25"/>
      <c r="AK1318" s="25"/>
      <c r="AL1318" s="25"/>
      <c r="AM1318" s="25"/>
      <c r="AN1318" s="25"/>
      <c r="AO1318" s="25"/>
      <c r="AP1318" s="25"/>
      <c r="AQ1318" s="25"/>
      <c r="AR1318" s="25"/>
      <c r="AS1318" s="25"/>
      <c r="AT1318" s="25"/>
      <c r="AU1318" s="25"/>
    </row>
    <row r="1319" spans="6:51">
      <c r="F1319" s="44"/>
      <c r="G1319" s="49"/>
      <c r="H1319" s="48"/>
      <c r="I1319" s="299"/>
      <c r="AC1319" s="26"/>
      <c r="AE1319" s="26"/>
      <c r="AF1319" s="26"/>
      <c r="AJ1319" s="25"/>
      <c r="AK1319" s="25"/>
      <c r="AL1319" s="25"/>
      <c r="AM1319" s="25"/>
      <c r="AN1319" s="25"/>
      <c r="AO1319" s="25"/>
      <c r="AP1319" s="25"/>
      <c r="AQ1319" s="25"/>
      <c r="AR1319" s="25"/>
      <c r="AS1319" s="25"/>
      <c r="AT1319" s="25"/>
      <c r="AU1319" s="25"/>
    </row>
    <row r="1320" spans="6:51">
      <c r="F1320" s="44"/>
      <c r="G1320" s="49"/>
      <c r="H1320" s="48"/>
      <c r="I1320" s="299"/>
      <c r="AC1320" s="26"/>
      <c r="AE1320" s="26"/>
      <c r="AF1320" s="26"/>
      <c r="AJ1320" s="25"/>
      <c r="AK1320" s="25"/>
      <c r="AL1320" s="25"/>
      <c r="AM1320" s="25"/>
      <c r="AN1320" s="25"/>
      <c r="AO1320" s="25"/>
      <c r="AP1320" s="25"/>
      <c r="AQ1320" s="25"/>
      <c r="AR1320" s="25"/>
      <c r="AS1320" s="25"/>
      <c r="AT1320" s="25"/>
      <c r="AU1320" s="25"/>
    </row>
    <row r="1321" spans="6:51">
      <c r="F1321" s="44"/>
      <c r="G1321" s="49"/>
      <c r="H1321" s="48"/>
      <c r="I1321" s="299"/>
      <c r="AC1321" s="26"/>
      <c r="AE1321" s="26"/>
      <c r="AF1321" s="26"/>
      <c r="AJ1321" s="25"/>
      <c r="AK1321" s="25"/>
      <c r="AL1321" s="25"/>
      <c r="AM1321" s="25"/>
      <c r="AN1321" s="25"/>
      <c r="AO1321" s="25"/>
      <c r="AP1321" s="25"/>
      <c r="AQ1321" s="25"/>
      <c r="AR1321" s="25"/>
      <c r="AS1321" s="25"/>
      <c r="AT1321" s="25"/>
      <c r="AU1321" s="25"/>
    </row>
    <row r="1322" spans="6:51">
      <c r="F1322" s="44"/>
      <c r="G1322" s="45"/>
      <c r="H1322" s="46"/>
      <c r="I1322" s="299"/>
      <c r="AC1322" s="26"/>
      <c r="AE1322" s="26"/>
      <c r="AF1322" s="26"/>
      <c r="AJ1322" s="25"/>
      <c r="AK1322" s="25"/>
      <c r="AL1322" s="25"/>
      <c r="AM1322" s="25"/>
      <c r="AN1322" s="25"/>
      <c r="AO1322" s="25"/>
      <c r="AP1322" s="25"/>
      <c r="AQ1322" s="25"/>
      <c r="AR1322" s="25"/>
      <c r="AS1322" s="25"/>
      <c r="AT1322" s="25"/>
      <c r="AU1322" s="25"/>
    </row>
    <row r="1323" spans="6:51">
      <c r="F1323" s="44"/>
      <c r="G1323" s="45"/>
      <c r="H1323" s="46"/>
      <c r="I1323" s="299"/>
      <c r="AC1323" s="26"/>
      <c r="AE1323" s="26"/>
      <c r="AF1323" s="26"/>
      <c r="AJ1323" s="25"/>
      <c r="AK1323" s="25"/>
      <c r="AL1323" s="25"/>
      <c r="AM1323" s="25"/>
      <c r="AN1323" s="25"/>
      <c r="AO1323" s="25"/>
      <c r="AP1323" s="25"/>
      <c r="AQ1323" s="25"/>
      <c r="AR1323" s="25"/>
      <c r="AS1323" s="25"/>
      <c r="AT1323" s="25"/>
      <c r="AU1323" s="25"/>
    </row>
    <row r="1324" spans="6:51">
      <c r="F1324" s="44"/>
      <c r="G1324" s="45"/>
      <c r="H1324" s="46"/>
      <c r="I1324" s="299"/>
      <c r="AC1324" s="26"/>
      <c r="AE1324" s="26"/>
      <c r="AF1324" s="26"/>
      <c r="AJ1324" s="25"/>
      <c r="AK1324" s="25"/>
      <c r="AL1324" s="25"/>
      <c r="AM1324" s="25"/>
      <c r="AN1324" s="25"/>
      <c r="AO1324" s="25"/>
      <c r="AP1324" s="25"/>
      <c r="AQ1324" s="25"/>
      <c r="AR1324" s="25"/>
      <c r="AS1324" s="25"/>
      <c r="AT1324" s="25"/>
      <c r="AU1324" s="25"/>
    </row>
    <row r="1325" spans="6:51">
      <c r="F1325" s="44"/>
      <c r="G1325" s="45"/>
      <c r="H1325" s="46"/>
      <c r="I1325" s="299"/>
      <c r="AC1325" s="26"/>
      <c r="AE1325" s="26"/>
      <c r="AF1325" s="26"/>
      <c r="AJ1325" s="25"/>
      <c r="AK1325" s="25"/>
      <c r="AL1325" s="25"/>
      <c r="AM1325" s="25"/>
      <c r="AN1325" s="25"/>
      <c r="AO1325" s="25"/>
      <c r="AP1325" s="25"/>
      <c r="AQ1325" s="25"/>
      <c r="AR1325" s="25"/>
      <c r="AS1325" s="25"/>
      <c r="AT1325" s="25"/>
      <c r="AU1325" s="25"/>
    </row>
    <row r="1326" spans="6:51">
      <c r="F1326" s="44"/>
      <c r="G1326" s="45"/>
      <c r="H1326" s="46"/>
      <c r="I1326" s="299"/>
      <c r="AC1326" s="26"/>
      <c r="AE1326" s="26"/>
      <c r="AF1326" s="26"/>
      <c r="AJ1326" s="25"/>
      <c r="AK1326" s="25"/>
      <c r="AL1326" s="25"/>
      <c r="AM1326" s="25"/>
      <c r="AN1326" s="25"/>
      <c r="AO1326" s="25"/>
      <c r="AP1326" s="25"/>
      <c r="AQ1326" s="25"/>
      <c r="AR1326" s="25"/>
      <c r="AS1326" s="25"/>
      <c r="AT1326" s="25"/>
      <c r="AU1326" s="25"/>
    </row>
    <row r="1327" spans="6:51">
      <c r="F1327" s="44"/>
      <c r="G1327" s="47"/>
      <c r="H1327" s="48"/>
      <c r="I1327" s="299"/>
      <c r="AC1327" s="26"/>
      <c r="AE1327" s="26"/>
      <c r="AF1327" s="26"/>
      <c r="AJ1327" s="25"/>
      <c r="AK1327" s="25"/>
      <c r="AL1327" s="25"/>
      <c r="AM1327" s="25"/>
      <c r="AN1327" s="25"/>
      <c r="AO1327" s="25"/>
      <c r="AP1327" s="25"/>
      <c r="AQ1327" s="25"/>
      <c r="AR1327" s="25"/>
      <c r="AS1327" s="25"/>
      <c r="AT1327" s="25"/>
      <c r="AU1327" s="25"/>
    </row>
    <row r="1328" spans="6:51">
      <c r="F1328" s="44"/>
      <c r="G1328" s="47"/>
      <c r="H1328" s="48"/>
      <c r="I1328" s="299"/>
      <c r="AC1328" s="26"/>
      <c r="AE1328" s="26"/>
      <c r="AF1328" s="26"/>
      <c r="AJ1328" s="25"/>
      <c r="AK1328" s="25"/>
      <c r="AL1328" s="25"/>
      <c r="AM1328" s="25"/>
      <c r="AN1328" s="25"/>
      <c r="AO1328" s="25"/>
      <c r="AP1328" s="25"/>
      <c r="AQ1328" s="25"/>
      <c r="AR1328" s="25"/>
      <c r="AS1328" s="25"/>
      <c r="AT1328" s="25"/>
      <c r="AU1328" s="25"/>
    </row>
    <row r="1329" spans="6:47">
      <c r="F1329" s="44"/>
      <c r="G1329" s="47"/>
      <c r="H1329" s="48"/>
      <c r="I1329" s="299"/>
      <c r="AC1329" s="26"/>
      <c r="AE1329" s="26"/>
      <c r="AF1329" s="26"/>
      <c r="AJ1329" s="25"/>
      <c r="AK1329" s="25"/>
      <c r="AL1329" s="25"/>
      <c r="AM1329" s="25"/>
      <c r="AN1329" s="25"/>
      <c r="AO1329" s="25"/>
      <c r="AP1329" s="25"/>
      <c r="AQ1329" s="25"/>
      <c r="AR1329" s="25"/>
      <c r="AS1329" s="25"/>
      <c r="AT1329" s="25"/>
      <c r="AU1329" s="25"/>
    </row>
    <row r="1330" spans="6:47">
      <c r="F1330" s="44"/>
      <c r="G1330" s="47"/>
      <c r="H1330" s="48"/>
      <c r="I1330" s="299"/>
      <c r="AC1330" s="26"/>
      <c r="AE1330" s="26"/>
      <c r="AF1330" s="26"/>
      <c r="AJ1330" s="25"/>
      <c r="AK1330" s="25"/>
      <c r="AL1330" s="25"/>
      <c r="AM1330" s="25"/>
      <c r="AN1330" s="25"/>
      <c r="AO1330" s="25"/>
      <c r="AP1330" s="25"/>
      <c r="AQ1330" s="25"/>
      <c r="AR1330" s="25"/>
      <c r="AS1330" s="25"/>
      <c r="AT1330" s="25"/>
      <c r="AU1330" s="25"/>
    </row>
    <row r="1331" spans="6:47">
      <c r="F1331" s="44"/>
      <c r="G1331" s="47"/>
      <c r="H1331" s="48"/>
      <c r="I1331" s="299"/>
      <c r="AC1331" s="26"/>
      <c r="AE1331" s="26"/>
      <c r="AF1331" s="26"/>
      <c r="AJ1331" s="25"/>
      <c r="AK1331" s="25"/>
      <c r="AL1331" s="25"/>
      <c r="AM1331" s="25"/>
      <c r="AN1331" s="25"/>
      <c r="AO1331" s="25"/>
      <c r="AP1331" s="25"/>
      <c r="AQ1331" s="25"/>
      <c r="AR1331" s="25"/>
      <c r="AS1331" s="25"/>
      <c r="AT1331" s="25"/>
      <c r="AU1331" s="25"/>
    </row>
    <row r="1332" spans="6:47">
      <c r="F1332" s="44"/>
      <c r="G1332" s="45"/>
      <c r="H1332" s="46"/>
      <c r="I1332" s="299"/>
      <c r="AC1332" s="26"/>
      <c r="AE1332" s="26"/>
      <c r="AF1332" s="26"/>
      <c r="AJ1332" s="25"/>
      <c r="AK1332" s="25"/>
      <c r="AL1332" s="25"/>
      <c r="AM1332" s="25"/>
      <c r="AN1332" s="25"/>
      <c r="AO1332" s="25"/>
      <c r="AP1332" s="25"/>
      <c r="AQ1332" s="25"/>
      <c r="AR1332" s="25"/>
      <c r="AS1332" s="25"/>
      <c r="AT1332" s="25"/>
      <c r="AU1332" s="25"/>
    </row>
    <row r="1333" spans="6:47">
      <c r="F1333" s="44"/>
      <c r="G1333" s="45"/>
      <c r="H1333" s="46"/>
      <c r="I1333" s="299"/>
      <c r="AC1333" s="26"/>
      <c r="AE1333" s="26"/>
      <c r="AF1333" s="26"/>
      <c r="AJ1333" s="25"/>
      <c r="AK1333" s="25"/>
      <c r="AL1333" s="25"/>
      <c r="AM1333" s="25"/>
      <c r="AN1333" s="25"/>
      <c r="AO1333" s="25"/>
      <c r="AP1333" s="25"/>
      <c r="AQ1333" s="25"/>
      <c r="AR1333" s="25"/>
      <c r="AS1333" s="25"/>
      <c r="AT1333" s="25"/>
      <c r="AU1333" s="25"/>
    </row>
    <row r="1334" spans="6:47">
      <c r="F1334" s="44"/>
      <c r="G1334" s="45"/>
      <c r="H1334" s="46"/>
      <c r="I1334" s="299"/>
      <c r="AC1334" s="26"/>
      <c r="AE1334" s="26"/>
      <c r="AF1334" s="26"/>
      <c r="AJ1334" s="25"/>
      <c r="AK1334" s="25"/>
      <c r="AL1334" s="25"/>
      <c r="AM1334" s="25"/>
      <c r="AN1334" s="25"/>
      <c r="AO1334" s="25"/>
      <c r="AP1334" s="25"/>
      <c r="AQ1334" s="25"/>
      <c r="AR1334" s="25"/>
      <c r="AS1334" s="25"/>
      <c r="AT1334" s="25"/>
      <c r="AU1334" s="25"/>
    </row>
    <row r="1335" spans="6:47">
      <c r="F1335" s="44"/>
      <c r="G1335" s="45"/>
      <c r="H1335" s="46"/>
      <c r="I1335" s="299"/>
      <c r="AC1335" s="26"/>
      <c r="AE1335" s="26"/>
      <c r="AF1335" s="26"/>
      <c r="AJ1335" s="25"/>
      <c r="AK1335" s="25"/>
      <c r="AL1335" s="25"/>
      <c r="AM1335" s="25"/>
      <c r="AN1335" s="25"/>
      <c r="AO1335" s="25"/>
      <c r="AP1335" s="25"/>
      <c r="AQ1335" s="25"/>
      <c r="AR1335" s="25"/>
      <c r="AS1335" s="25"/>
      <c r="AT1335" s="25"/>
      <c r="AU1335" s="25"/>
    </row>
    <row r="1336" spans="6:47">
      <c r="F1336" s="44"/>
      <c r="G1336" s="45"/>
      <c r="H1336" s="46"/>
      <c r="I1336" s="299"/>
      <c r="AC1336" s="26"/>
      <c r="AE1336" s="26"/>
      <c r="AF1336" s="26"/>
      <c r="AJ1336" s="25"/>
      <c r="AK1336" s="25"/>
      <c r="AL1336" s="25"/>
      <c r="AM1336" s="25"/>
      <c r="AN1336" s="25"/>
      <c r="AO1336" s="25"/>
      <c r="AP1336" s="25"/>
      <c r="AQ1336" s="25"/>
      <c r="AR1336" s="25"/>
      <c r="AS1336" s="25"/>
      <c r="AT1336" s="25"/>
      <c r="AU1336" s="25"/>
    </row>
    <row r="1337" spans="6:47">
      <c r="F1337" s="44"/>
      <c r="G1337" s="49"/>
      <c r="H1337" s="48"/>
      <c r="I1337" s="299"/>
      <c r="AC1337" s="26"/>
      <c r="AE1337" s="26"/>
      <c r="AF1337" s="26"/>
      <c r="AJ1337" s="25"/>
      <c r="AK1337" s="25"/>
      <c r="AL1337" s="25"/>
      <c r="AM1337" s="25"/>
      <c r="AN1337" s="25"/>
      <c r="AO1337" s="25"/>
      <c r="AP1337" s="25"/>
      <c r="AQ1337" s="25"/>
      <c r="AR1337" s="25"/>
      <c r="AS1337" s="25"/>
      <c r="AT1337" s="25"/>
      <c r="AU1337" s="25"/>
    </row>
    <row r="1338" spans="6:47">
      <c r="F1338" s="44"/>
      <c r="G1338" s="49"/>
      <c r="H1338" s="48"/>
      <c r="I1338" s="299"/>
      <c r="AC1338" s="26"/>
      <c r="AE1338" s="26"/>
      <c r="AF1338" s="26"/>
      <c r="AJ1338" s="25"/>
      <c r="AK1338" s="25"/>
      <c r="AL1338" s="25"/>
      <c r="AM1338" s="25"/>
      <c r="AN1338" s="25"/>
      <c r="AO1338" s="25"/>
      <c r="AP1338" s="25"/>
      <c r="AQ1338" s="25"/>
      <c r="AR1338" s="25"/>
      <c r="AS1338" s="25"/>
      <c r="AT1338" s="25"/>
      <c r="AU1338" s="25"/>
    </row>
    <row r="1339" spans="6:47">
      <c r="F1339" s="44"/>
      <c r="G1339" s="49"/>
      <c r="H1339" s="48"/>
      <c r="I1339" s="299"/>
      <c r="AC1339" s="26"/>
      <c r="AE1339" s="26"/>
      <c r="AF1339" s="26"/>
      <c r="AJ1339" s="25"/>
      <c r="AK1339" s="25"/>
      <c r="AL1339" s="25"/>
      <c r="AM1339" s="25"/>
      <c r="AN1339" s="25"/>
      <c r="AO1339" s="25"/>
      <c r="AP1339" s="25"/>
      <c r="AQ1339" s="25"/>
      <c r="AR1339" s="25"/>
      <c r="AS1339" s="25"/>
      <c r="AT1339" s="25"/>
      <c r="AU1339" s="25"/>
    </row>
    <row r="1340" spans="6:47">
      <c r="F1340" s="44"/>
      <c r="G1340" s="49"/>
      <c r="H1340" s="48"/>
      <c r="I1340" s="299"/>
      <c r="AC1340" s="26"/>
      <c r="AE1340" s="26"/>
      <c r="AF1340" s="26"/>
      <c r="AJ1340" s="25"/>
      <c r="AK1340" s="25"/>
      <c r="AL1340" s="25"/>
      <c r="AM1340" s="25"/>
      <c r="AN1340" s="25"/>
      <c r="AO1340" s="25"/>
      <c r="AP1340" s="25"/>
      <c r="AQ1340" s="25"/>
      <c r="AR1340" s="25"/>
      <c r="AS1340" s="25"/>
      <c r="AT1340" s="25"/>
      <c r="AU1340" s="25"/>
    </row>
    <row r="1341" spans="6:47">
      <c r="F1341" s="44"/>
      <c r="G1341" s="49"/>
      <c r="H1341" s="48"/>
      <c r="I1341" s="299"/>
      <c r="AC1341" s="26"/>
      <c r="AE1341" s="26"/>
      <c r="AF1341" s="26"/>
      <c r="AJ1341" s="25"/>
      <c r="AK1341" s="25"/>
      <c r="AL1341" s="25"/>
      <c r="AM1341" s="25"/>
      <c r="AN1341" s="25"/>
      <c r="AO1341" s="25"/>
      <c r="AP1341" s="25"/>
      <c r="AQ1341" s="25"/>
      <c r="AR1341" s="25"/>
      <c r="AS1341" s="25"/>
      <c r="AT1341" s="25"/>
      <c r="AU1341" s="25"/>
    </row>
    <row r="1342" spans="6:47">
      <c r="F1342" s="44"/>
      <c r="G1342" s="45"/>
      <c r="H1342" s="46"/>
      <c r="I1342" s="299"/>
      <c r="AC1342" s="26"/>
      <c r="AE1342" s="26"/>
      <c r="AF1342" s="26"/>
      <c r="AJ1342" s="25"/>
      <c r="AK1342" s="25"/>
      <c r="AL1342" s="25"/>
      <c r="AM1342" s="25"/>
      <c r="AN1342" s="25"/>
      <c r="AO1342" s="25"/>
      <c r="AP1342" s="25"/>
      <c r="AQ1342" s="25"/>
      <c r="AR1342" s="25"/>
      <c r="AS1342" s="25"/>
      <c r="AT1342" s="25"/>
      <c r="AU1342" s="25"/>
    </row>
    <row r="1343" spans="6:47">
      <c r="F1343" s="44"/>
      <c r="G1343" s="45"/>
      <c r="H1343" s="46"/>
      <c r="I1343" s="299"/>
      <c r="AC1343" s="26"/>
      <c r="AE1343" s="26"/>
      <c r="AF1343" s="26"/>
      <c r="AJ1343" s="25"/>
      <c r="AK1343" s="25"/>
      <c r="AL1343" s="25"/>
      <c r="AM1343" s="25"/>
      <c r="AN1343" s="25"/>
      <c r="AO1343" s="25"/>
      <c r="AP1343" s="25"/>
      <c r="AQ1343" s="25"/>
      <c r="AR1343" s="25"/>
      <c r="AS1343" s="25"/>
      <c r="AT1343" s="25"/>
      <c r="AU1343" s="25"/>
    </row>
    <row r="1344" spans="6:47">
      <c r="F1344" s="44"/>
      <c r="G1344" s="45"/>
      <c r="H1344" s="46"/>
      <c r="I1344" s="299"/>
      <c r="AC1344" s="26"/>
      <c r="AE1344" s="26"/>
      <c r="AF1344" s="26"/>
      <c r="AJ1344" s="25"/>
      <c r="AK1344" s="25"/>
      <c r="AL1344" s="25"/>
      <c r="AM1344" s="25"/>
      <c r="AN1344" s="25"/>
      <c r="AO1344" s="25"/>
      <c r="AP1344" s="25"/>
      <c r="AQ1344" s="25"/>
      <c r="AR1344" s="25"/>
      <c r="AS1344" s="25"/>
      <c r="AT1344" s="25"/>
      <c r="AU1344" s="25"/>
    </row>
    <row r="1345" spans="6:47">
      <c r="F1345" s="44"/>
      <c r="G1345" s="45"/>
      <c r="H1345" s="46"/>
      <c r="I1345" s="299"/>
      <c r="AC1345" s="26"/>
      <c r="AE1345" s="26"/>
      <c r="AF1345" s="26"/>
      <c r="AJ1345" s="25"/>
      <c r="AK1345" s="25"/>
      <c r="AL1345" s="25"/>
      <c r="AM1345" s="25"/>
      <c r="AN1345" s="25"/>
      <c r="AO1345" s="25"/>
      <c r="AP1345" s="25"/>
      <c r="AQ1345" s="25"/>
      <c r="AR1345" s="25"/>
      <c r="AS1345" s="25"/>
      <c r="AT1345" s="25"/>
      <c r="AU1345" s="25"/>
    </row>
    <row r="1346" spans="6:47">
      <c r="F1346" s="44"/>
      <c r="G1346" s="45"/>
      <c r="H1346" s="46"/>
      <c r="I1346" s="299"/>
      <c r="AC1346" s="26"/>
      <c r="AE1346" s="26"/>
      <c r="AF1346" s="26"/>
      <c r="AJ1346" s="25"/>
      <c r="AK1346" s="25"/>
      <c r="AL1346" s="25"/>
      <c r="AM1346" s="25"/>
      <c r="AN1346" s="25"/>
      <c r="AO1346" s="25"/>
      <c r="AP1346" s="25"/>
      <c r="AQ1346" s="25"/>
      <c r="AR1346" s="25"/>
      <c r="AS1346" s="25"/>
      <c r="AT1346" s="25"/>
      <c r="AU1346" s="25"/>
    </row>
    <row r="1347" spans="6:47">
      <c r="F1347" s="44"/>
      <c r="G1347" s="51"/>
      <c r="H1347" s="52"/>
      <c r="I1347" s="299"/>
      <c r="AC1347" s="26"/>
      <c r="AE1347" s="26"/>
      <c r="AF1347" s="26"/>
      <c r="AJ1347" s="25"/>
      <c r="AK1347" s="25"/>
      <c r="AL1347" s="25"/>
      <c r="AM1347" s="25"/>
      <c r="AN1347" s="25"/>
      <c r="AO1347" s="25"/>
      <c r="AP1347" s="25"/>
      <c r="AQ1347" s="25"/>
      <c r="AR1347" s="25"/>
      <c r="AS1347" s="25"/>
      <c r="AT1347" s="25"/>
      <c r="AU1347" s="25"/>
    </row>
    <row r="1348" spans="6:47">
      <c r="F1348" s="44"/>
      <c r="G1348" s="51"/>
      <c r="H1348" s="52"/>
      <c r="I1348" s="299"/>
      <c r="AC1348" s="26"/>
      <c r="AE1348" s="26"/>
      <c r="AF1348" s="26"/>
      <c r="AJ1348" s="25"/>
      <c r="AK1348" s="25"/>
      <c r="AL1348" s="25"/>
      <c r="AM1348" s="25"/>
      <c r="AN1348" s="25"/>
      <c r="AO1348" s="25"/>
      <c r="AP1348" s="25"/>
      <c r="AQ1348" s="25"/>
      <c r="AR1348" s="25"/>
      <c r="AS1348" s="25"/>
      <c r="AT1348" s="25"/>
      <c r="AU1348" s="25"/>
    </row>
    <row r="1349" spans="6:47">
      <c r="F1349" s="44"/>
      <c r="G1349" s="51"/>
      <c r="H1349" s="52"/>
      <c r="I1349" s="299"/>
      <c r="AC1349" s="26"/>
      <c r="AE1349" s="26"/>
      <c r="AF1349" s="26"/>
      <c r="AJ1349" s="25"/>
      <c r="AK1349" s="25"/>
      <c r="AL1349" s="25"/>
      <c r="AM1349" s="25"/>
      <c r="AN1349" s="25"/>
      <c r="AO1349" s="25"/>
      <c r="AP1349" s="25"/>
      <c r="AQ1349" s="25"/>
      <c r="AR1349" s="25"/>
      <c r="AS1349" s="25"/>
      <c r="AT1349" s="25"/>
      <c r="AU1349" s="25"/>
    </row>
    <row r="1350" spans="6:47">
      <c r="F1350" s="44"/>
      <c r="G1350" s="51"/>
      <c r="H1350" s="52"/>
      <c r="I1350" s="299"/>
      <c r="AC1350" s="26"/>
      <c r="AE1350" s="26"/>
      <c r="AF1350" s="26"/>
      <c r="AJ1350" s="25"/>
      <c r="AK1350" s="25"/>
      <c r="AL1350" s="25"/>
      <c r="AM1350" s="25"/>
      <c r="AN1350" s="25"/>
      <c r="AO1350" s="25"/>
      <c r="AP1350" s="25"/>
      <c r="AQ1350" s="25"/>
      <c r="AR1350" s="25"/>
      <c r="AS1350" s="25"/>
      <c r="AT1350" s="25"/>
      <c r="AU1350" s="25"/>
    </row>
    <row r="1351" spans="6:47">
      <c r="F1351" s="44"/>
      <c r="G1351" s="51"/>
      <c r="H1351" s="52"/>
      <c r="I1351" s="299"/>
      <c r="AC1351" s="26"/>
      <c r="AE1351" s="26"/>
      <c r="AF1351" s="26"/>
      <c r="AJ1351" s="25"/>
      <c r="AK1351" s="25"/>
      <c r="AL1351" s="25"/>
      <c r="AM1351" s="25"/>
      <c r="AN1351" s="25"/>
      <c r="AO1351" s="25"/>
      <c r="AP1351" s="25"/>
      <c r="AQ1351" s="25"/>
      <c r="AR1351" s="25"/>
      <c r="AS1351" s="25"/>
      <c r="AT1351" s="25"/>
      <c r="AU1351" s="25"/>
    </row>
    <row r="1352" spans="6:47">
      <c r="F1352" s="44"/>
      <c r="G1352" s="49"/>
      <c r="H1352" s="48"/>
      <c r="I1352" s="299"/>
      <c r="AC1352" s="26"/>
      <c r="AE1352" s="26"/>
      <c r="AF1352" s="26"/>
      <c r="AJ1352" s="25"/>
      <c r="AK1352" s="25"/>
      <c r="AL1352" s="25"/>
      <c r="AM1352" s="25"/>
      <c r="AN1352" s="25"/>
      <c r="AO1352" s="25"/>
      <c r="AP1352" s="25"/>
      <c r="AQ1352" s="25"/>
      <c r="AR1352" s="25"/>
      <c r="AS1352" s="25"/>
      <c r="AT1352" s="25"/>
      <c r="AU1352" s="25"/>
    </row>
    <row r="1353" spans="6:47">
      <c r="F1353" s="44"/>
      <c r="G1353" s="49"/>
      <c r="H1353" s="48"/>
      <c r="I1353" s="299"/>
      <c r="AC1353" s="26"/>
      <c r="AE1353" s="26"/>
      <c r="AF1353" s="26"/>
      <c r="AJ1353" s="25"/>
      <c r="AK1353" s="25"/>
      <c r="AL1353" s="25"/>
      <c r="AM1353" s="25"/>
      <c r="AN1353" s="25"/>
      <c r="AO1353" s="25"/>
      <c r="AP1353" s="25"/>
      <c r="AQ1353" s="25"/>
      <c r="AR1353" s="25"/>
      <c r="AS1353" s="25"/>
      <c r="AT1353" s="25"/>
      <c r="AU1353" s="25"/>
    </row>
    <row r="1354" spans="6:47">
      <c r="F1354" s="44"/>
      <c r="G1354" s="49"/>
      <c r="H1354" s="48"/>
      <c r="I1354" s="299"/>
      <c r="AC1354" s="26"/>
      <c r="AE1354" s="26"/>
      <c r="AF1354" s="26"/>
      <c r="AJ1354" s="25"/>
      <c r="AK1354" s="25"/>
      <c r="AL1354" s="25"/>
      <c r="AM1354" s="25"/>
      <c r="AN1354" s="25"/>
      <c r="AO1354" s="25"/>
      <c r="AP1354" s="25"/>
      <c r="AQ1354" s="25"/>
      <c r="AR1354" s="25"/>
      <c r="AS1354" s="25"/>
      <c r="AT1354" s="25"/>
      <c r="AU1354" s="25"/>
    </row>
    <row r="1355" spans="6:47">
      <c r="F1355" s="44"/>
      <c r="G1355" s="49"/>
      <c r="H1355" s="48"/>
      <c r="I1355" s="299"/>
      <c r="AC1355" s="26"/>
      <c r="AE1355" s="26"/>
      <c r="AF1355" s="26"/>
      <c r="AJ1355" s="25"/>
      <c r="AK1355" s="25"/>
      <c r="AL1355" s="25"/>
      <c r="AM1355" s="25"/>
      <c r="AN1355" s="25"/>
      <c r="AO1355" s="25"/>
      <c r="AP1355" s="25"/>
      <c r="AQ1355" s="25"/>
      <c r="AR1355" s="25"/>
      <c r="AS1355" s="25"/>
      <c r="AT1355" s="25"/>
      <c r="AU1355" s="25"/>
    </row>
    <row r="1356" spans="6:47">
      <c r="F1356" s="44"/>
      <c r="G1356" s="49"/>
      <c r="H1356" s="48"/>
      <c r="I1356" s="299"/>
      <c r="AC1356" s="26"/>
      <c r="AE1356" s="26"/>
      <c r="AF1356" s="26"/>
      <c r="AJ1356" s="25"/>
      <c r="AK1356" s="25"/>
      <c r="AL1356" s="25"/>
      <c r="AM1356" s="25"/>
      <c r="AN1356" s="25"/>
      <c r="AO1356" s="25"/>
      <c r="AP1356" s="25"/>
      <c r="AQ1356" s="25"/>
      <c r="AR1356" s="25"/>
      <c r="AS1356" s="25"/>
      <c r="AT1356" s="25"/>
      <c r="AU1356" s="25"/>
    </row>
    <row r="1357" spans="6:47">
      <c r="F1357" s="44"/>
      <c r="G1357" s="49"/>
      <c r="H1357" s="52"/>
      <c r="I1357" s="299"/>
      <c r="AC1357" s="26"/>
      <c r="AE1357" s="26"/>
      <c r="AF1357" s="26"/>
      <c r="AJ1357" s="25"/>
      <c r="AK1357" s="25"/>
      <c r="AL1357" s="25"/>
      <c r="AM1357" s="25"/>
      <c r="AN1357" s="25"/>
      <c r="AO1357" s="25"/>
      <c r="AP1357" s="25"/>
      <c r="AQ1357" s="25"/>
      <c r="AR1357" s="25"/>
      <c r="AS1357" s="25"/>
      <c r="AT1357" s="25"/>
      <c r="AU1357" s="25"/>
    </row>
    <row r="1358" spans="6:47">
      <c r="F1358" s="44"/>
      <c r="G1358" s="49"/>
      <c r="H1358" s="52"/>
      <c r="I1358" s="299"/>
      <c r="AC1358" s="26"/>
      <c r="AE1358" s="26"/>
      <c r="AF1358" s="26"/>
      <c r="AJ1358" s="25"/>
      <c r="AK1358" s="25"/>
      <c r="AL1358" s="25"/>
      <c r="AM1358" s="25"/>
      <c r="AN1358" s="25"/>
      <c r="AO1358" s="25"/>
      <c r="AP1358" s="25"/>
      <c r="AQ1358" s="25"/>
      <c r="AR1358" s="25"/>
      <c r="AS1358" s="25"/>
      <c r="AT1358" s="25"/>
      <c r="AU1358" s="25"/>
    </row>
    <row r="1359" spans="6:47">
      <c r="F1359" s="44"/>
      <c r="G1359" s="49"/>
      <c r="H1359" s="52"/>
      <c r="I1359" s="299"/>
      <c r="AC1359" s="26"/>
      <c r="AE1359" s="26"/>
      <c r="AF1359" s="26"/>
      <c r="AJ1359" s="25"/>
      <c r="AK1359" s="25"/>
      <c r="AL1359" s="25"/>
      <c r="AM1359" s="25"/>
      <c r="AN1359" s="25"/>
      <c r="AO1359" s="25"/>
      <c r="AP1359" s="25"/>
      <c r="AQ1359" s="25"/>
      <c r="AR1359" s="25"/>
      <c r="AS1359" s="25"/>
      <c r="AT1359" s="25"/>
      <c r="AU1359" s="25"/>
    </row>
    <row r="1360" spans="6:47">
      <c r="F1360" s="44"/>
      <c r="G1360" s="49"/>
      <c r="H1360" s="52"/>
      <c r="I1360" s="299"/>
      <c r="AC1360" s="26"/>
      <c r="AE1360" s="26"/>
      <c r="AF1360" s="26"/>
      <c r="AJ1360" s="25"/>
      <c r="AK1360" s="25"/>
      <c r="AL1360" s="25"/>
      <c r="AM1360" s="25"/>
      <c r="AN1360" s="25"/>
      <c r="AO1360" s="25"/>
      <c r="AP1360" s="25"/>
      <c r="AQ1360" s="25"/>
      <c r="AR1360" s="25"/>
      <c r="AS1360" s="25"/>
      <c r="AT1360" s="25"/>
      <c r="AU1360" s="25"/>
    </row>
    <row r="1361" spans="6:47">
      <c r="F1361" s="44"/>
      <c r="G1361" s="49"/>
      <c r="H1361" s="52"/>
      <c r="I1361" s="299"/>
      <c r="AC1361" s="26"/>
      <c r="AE1361" s="26"/>
      <c r="AF1361" s="26"/>
      <c r="AJ1361" s="25"/>
      <c r="AK1361" s="25"/>
      <c r="AL1361" s="25"/>
      <c r="AM1361" s="25"/>
      <c r="AN1361" s="25"/>
      <c r="AO1361" s="25"/>
      <c r="AP1361" s="25"/>
      <c r="AQ1361" s="25"/>
      <c r="AR1361" s="25"/>
      <c r="AS1361" s="25"/>
      <c r="AT1361" s="25"/>
      <c r="AU1361" s="25"/>
    </row>
    <row r="1362" spans="6:47">
      <c r="F1362" s="44"/>
      <c r="G1362" s="49"/>
      <c r="H1362" s="48"/>
      <c r="I1362" s="303"/>
      <c r="AC1362" s="26"/>
      <c r="AE1362" s="26"/>
      <c r="AF1362" s="26"/>
      <c r="AJ1362" s="25"/>
      <c r="AK1362" s="25"/>
      <c r="AL1362" s="25"/>
      <c r="AM1362" s="25"/>
      <c r="AN1362" s="25"/>
      <c r="AO1362" s="25"/>
      <c r="AP1362" s="25"/>
      <c r="AQ1362" s="25"/>
      <c r="AR1362" s="25"/>
      <c r="AS1362" s="25"/>
      <c r="AT1362" s="25"/>
      <c r="AU1362" s="25"/>
    </row>
    <row r="1363" spans="6:47">
      <c r="F1363" s="44"/>
      <c r="G1363" s="49"/>
      <c r="H1363" s="48"/>
      <c r="I1363" s="303"/>
      <c r="AC1363" s="26"/>
      <c r="AE1363" s="26"/>
      <c r="AF1363" s="26"/>
      <c r="AJ1363" s="25"/>
      <c r="AK1363" s="25"/>
      <c r="AL1363" s="25"/>
      <c r="AM1363" s="25"/>
      <c r="AN1363" s="25"/>
      <c r="AO1363" s="25"/>
      <c r="AP1363" s="25"/>
      <c r="AQ1363" s="25"/>
      <c r="AR1363" s="25"/>
      <c r="AS1363" s="25"/>
      <c r="AT1363" s="25"/>
      <c r="AU1363" s="25"/>
    </row>
    <row r="1364" spans="6:47">
      <c r="F1364" s="44"/>
      <c r="G1364" s="49"/>
      <c r="H1364" s="48"/>
      <c r="I1364" s="303"/>
      <c r="AC1364" s="26"/>
      <c r="AE1364" s="26"/>
      <c r="AF1364" s="26"/>
      <c r="AJ1364" s="25"/>
      <c r="AK1364" s="25"/>
      <c r="AL1364" s="25"/>
      <c r="AM1364" s="25"/>
      <c r="AN1364" s="25"/>
      <c r="AO1364" s="25"/>
      <c r="AP1364" s="25"/>
      <c r="AQ1364" s="25"/>
      <c r="AR1364" s="25"/>
      <c r="AS1364" s="25"/>
      <c r="AT1364" s="25"/>
      <c r="AU1364" s="25"/>
    </row>
    <row r="1365" spans="6:47">
      <c r="F1365" s="44"/>
      <c r="G1365" s="49"/>
      <c r="H1365" s="48"/>
      <c r="I1365" s="303"/>
      <c r="AC1365" s="26"/>
      <c r="AE1365" s="26"/>
      <c r="AF1365" s="26"/>
      <c r="AJ1365" s="25"/>
      <c r="AK1365" s="25"/>
      <c r="AL1365" s="25"/>
      <c r="AM1365" s="25"/>
      <c r="AN1365" s="25"/>
      <c r="AO1365" s="25"/>
      <c r="AP1365" s="25"/>
      <c r="AQ1365" s="25"/>
      <c r="AR1365" s="25"/>
      <c r="AS1365" s="25"/>
      <c r="AT1365" s="25"/>
      <c r="AU1365" s="25"/>
    </row>
    <row r="1366" spans="6:47">
      <c r="F1366" s="44"/>
      <c r="G1366" s="49"/>
      <c r="H1366" s="48"/>
      <c r="I1366" s="303"/>
      <c r="AC1366" s="26"/>
      <c r="AE1366" s="26"/>
      <c r="AF1366" s="26"/>
      <c r="AJ1366" s="25"/>
      <c r="AK1366" s="25"/>
      <c r="AL1366" s="25"/>
      <c r="AM1366" s="25"/>
      <c r="AN1366" s="25"/>
      <c r="AO1366" s="25"/>
      <c r="AP1366" s="25"/>
      <c r="AQ1366" s="25"/>
      <c r="AR1366" s="25"/>
      <c r="AS1366" s="25"/>
      <c r="AT1366" s="25"/>
      <c r="AU1366" s="25"/>
    </row>
    <row r="1367" spans="6:47">
      <c r="F1367" s="44"/>
      <c r="G1367" s="49"/>
      <c r="H1367" s="48"/>
      <c r="I1367" s="303"/>
      <c r="AC1367" s="26"/>
      <c r="AE1367" s="26"/>
      <c r="AF1367" s="26"/>
      <c r="AJ1367" s="25"/>
      <c r="AK1367" s="25"/>
      <c r="AL1367" s="25"/>
      <c r="AM1367" s="25"/>
      <c r="AN1367" s="25"/>
      <c r="AO1367" s="25"/>
      <c r="AP1367" s="25"/>
      <c r="AQ1367" s="25"/>
      <c r="AR1367" s="25"/>
      <c r="AS1367" s="25"/>
      <c r="AT1367" s="25"/>
      <c r="AU1367" s="25"/>
    </row>
    <row r="1368" spans="6:47">
      <c r="F1368" s="44"/>
      <c r="G1368" s="49"/>
      <c r="H1368" s="48"/>
      <c r="I1368" s="303"/>
      <c r="AC1368" s="26"/>
      <c r="AE1368" s="26"/>
      <c r="AF1368" s="26"/>
      <c r="AJ1368" s="25"/>
      <c r="AK1368" s="25"/>
      <c r="AL1368" s="25"/>
      <c r="AM1368" s="25"/>
      <c r="AN1368" s="25"/>
      <c r="AO1368" s="25"/>
      <c r="AP1368" s="25"/>
      <c r="AQ1368" s="25"/>
      <c r="AR1368" s="25"/>
      <c r="AS1368" s="25"/>
      <c r="AT1368" s="25"/>
      <c r="AU1368" s="25"/>
    </row>
    <row r="1369" spans="6:47">
      <c r="F1369" s="44"/>
      <c r="G1369" s="49"/>
      <c r="H1369" s="48"/>
      <c r="I1369" s="303"/>
      <c r="AC1369" s="26"/>
      <c r="AE1369" s="26"/>
      <c r="AF1369" s="26"/>
      <c r="AJ1369" s="25"/>
      <c r="AK1369" s="25"/>
      <c r="AL1369" s="25"/>
      <c r="AM1369" s="25"/>
      <c r="AN1369" s="25"/>
      <c r="AO1369" s="25"/>
      <c r="AP1369" s="25"/>
      <c r="AQ1369" s="25"/>
      <c r="AR1369" s="25"/>
      <c r="AS1369" s="25"/>
      <c r="AT1369" s="25"/>
      <c r="AU1369" s="25"/>
    </row>
    <row r="1370" spans="6:47">
      <c r="F1370" s="44"/>
      <c r="G1370" s="49"/>
      <c r="H1370" s="48"/>
      <c r="I1370" s="303"/>
      <c r="AC1370" s="26"/>
      <c r="AE1370" s="26"/>
      <c r="AF1370" s="26"/>
      <c r="AJ1370" s="25"/>
      <c r="AK1370" s="25"/>
      <c r="AL1370" s="25"/>
      <c r="AM1370" s="25"/>
      <c r="AN1370" s="25"/>
      <c r="AO1370" s="25"/>
      <c r="AP1370" s="25"/>
      <c r="AQ1370" s="25"/>
      <c r="AR1370" s="25"/>
      <c r="AS1370" s="25"/>
      <c r="AT1370" s="25"/>
      <c r="AU1370" s="25"/>
    </row>
    <row r="1371" spans="6:47">
      <c r="F1371" s="44"/>
      <c r="G1371" s="49"/>
      <c r="H1371" s="48"/>
      <c r="I1371" s="303"/>
      <c r="AC1371" s="26"/>
      <c r="AE1371" s="26"/>
      <c r="AF1371" s="26"/>
      <c r="AJ1371" s="25"/>
      <c r="AK1371" s="25"/>
      <c r="AL1371" s="25"/>
      <c r="AM1371" s="25"/>
      <c r="AN1371" s="25"/>
      <c r="AO1371" s="25"/>
      <c r="AP1371" s="25"/>
      <c r="AQ1371" s="25"/>
      <c r="AR1371" s="25"/>
      <c r="AS1371" s="25"/>
      <c r="AT1371" s="25"/>
      <c r="AU1371" s="25"/>
    </row>
    <row r="1372" spans="6:47">
      <c r="F1372" s="44"/>
      <c r="G1372" s="45"/>
      <c r="H1372" s="46"/>
      <c r="I1372" s="303"/>
      <c r="AC1372" s="26"/>
      <c r="AE1372" s="26"/>
      <c r="AF1372" s="26"/>
      <c r="AJ1372" s="25"/>
      <c r="AK1372" s="25"/>
      <c r="AL1372" s="25"/>
      <c r="AM1372" s="25"/>
      <c r="AN1372" s="25"/>
      <c r="AO1372" s="25"/>
      <c r="AP1372" s="25"/>
      <c r="AQ1372" s="25"/>
      <c r="AR1372" s="25"/>
      <c r="AS1372" s="25"/>
      <c r="AT1372" s="25"/>
      <c r="AU1372" s="25"/>
    </row>
    <row r="1373" spans="6:47">
      <c r="F1373" s="44"/>
      <c r="G1373" s="45"/>
      <c r="H1373" s="46"/>
      <c r="I1373" s="303"/>
      <c r="AC1373" s="26"/>
      <c r="AE1373" s="26"/>
      <c r="AF1373" s="26"/>
      <c r="AJ1373" s="25"/>
      <c r="AK1373" s="25"/>
      <c r="AL1373" s="25"/>
      <c r="AM1373" s="25"/>
      <c r="AN1373" s="25"/>
      <c r="AO1373" s="25"/>
      <c r="AP1373" s="25"/>
      <c r="AQ1373" s="25"/>
      <c r="AR1373" s="25"/>
      <c r="AS1373" s="25"/>
      <c r="AT1373" s="25"/>
      <c r="AU1373" s="25"/>
    </row>
    <row r="1374" spans="6:47">
      <c r="F1374" s="44"/>
      <c r="G1374" s="45"/>
      <c r="H1374" s="46"/>
      <c r="I1374" s="303"/>
      <c r="AC1374" s="26"/>
      <c r="AE1374" s="26"/>
      <c r="AF1374" s="26"/>
      <c r="AJ1374" s="25"/>
      <c r="AK1374" s="25"/>
      <c r="AL1374" s="25"/>
      <c r="AM1374" s="25"/>
      <c r="AN1374" s="25"/>
      <c r="AO1374" s="25"/>
      <c r="AP1374" s="25"/>
      <c r="AQ1374" s="25"/>
      <c r="AR1374" s="25"/>
      <c r="AS1374" s="25"/>
      <c r="AT1374" s="25"/>
      <c r="AU1374" s="25"/>
    </row>
    <row r="1375" spans="6:47">
      <c r="F1375" s="44"/>
      <c r="G1375" s="45"/>
      <c r="H1375" s="46"/>
      <c r="I1375" s="303"/>
      <c r="AC1375" s="26"/>
      <c r="AE1375" s="26"/>
      <c r="AF1375" s="26"/>
      <c r="AJ1375" s="25"/>
      <c r="AK1375" s="25"/>
      <c r="AL1375" s="25"/>
      <c r="AM1375" s="25"/>
      <c r="AN1375" s="25"/>
      <c r="AO1375" s="25"/>
      <c r="AP1375" s="25"/>
      <c r="AQ1375" s="25"/>
      <c r="AR1375" s="25"/>
      <c r="AS1375" s="25"/>
      <c r="AT1375" s="25"/>
      <c r="AU1375" s="25"/>
    </row>
    <row r="1376" spans="6:47">
      <c r="F1376" s="44"/>
      <c r="G1376" s="47"/>
      <c r="H1376" s="52"/>
      <c r="I1376" s="303"/>
      <c r="AC1376" s="26"/>
      <c r="AE1376" s="26"/>
      <c r="AF1376" s="26"/>
      <c r="AJ1376" s="25"/>
      <c r="AK1376" s="25"/>
      <c r="AL1376" s="25"/>
      <c r="AM1376" s="25"/>
      <c r="AN1376" s="25"/>
      <c r="AO1376" s="25"/>
      <c r="AP1376" s="25"/>
      <c r="AQ1376" s="25"/>
      <c r="AR1376" s="25"/>
      <c r="AS1376" s="25"/>
      <c r="AT1376" s="25"/>
      <c r="AU1376" s="25"/>
    </row>
    <row r="1377" spans="6:47">
      <c r="F1377" s="44"/>
      <c r="G1377" s="47"/>
      <c r="H1377" s="52"/>
      <c r="I1377" s="303"/>
      <c r="AC1377" s="26"/>
      <c r="AE1377" s="26"/>
      <c r="AF1377" s="26"/>
      <c r="AJ1377" s="25"/>
      <c r="AK1377" s="25"/>
      <c r="AL1377" s="25"/>
      <c r="AM1377" s="25"/>
      <c r="AN1377" s="25"/>
      <c r="AO1377" s="25"/>
      <c r="AP1377" s="25"/>
      <c r="AQ1377" s="25"/>
      <c r="AR1377" s="25"/>
      <c r="AS1377" s="25"/>
      <c r="AT1377" s="25"/>
      <c r="AU1377" s="25"/>
    </row>
    <row r="1378" spans="6:47">
      <c r="F1378" s="44"/>
      <c r="G1378" s="47"/>
      <c r="H1378" s="52"/>
      <c r="I1378" s="303"/>
      <c r="AC1378" s="26"/>
      <c r="AE1378" s="26"/>
      <c r="AF1378" s="26"/>
      <c r="AJ1378" s="25"/>
      <c r="AK1378" s="25"/>
      <c r="AL1378" s="25"/>
      <c r="AM1378" s="25"/>
      <c r="AN1378" s="25"/>
      <c r="AO1378" s="25"/>
      <c r="AP1378" s="25"/>
      <c r="AQ1378" s="25"/>
      <c r="AR1378" s="25"/>
      <c r="AS1378" s="25"/>
      <c r="AT1378" s="25"/>
      <c r="AU1378" s="25"/>
    </row>
    <row r="1379" spans="6:47">
      <c r="F1379" s="44"/>
      <c r="G1379" s="47"/>
      <c r="H1379" s="52"/>
      <c r="I1379" s="303"/>
      <c r="AC1379" s="26"/>
      <c r="AE1379" s="26"/>
      <c r="AF1379" s="26"/>
      <c r="AJ1379" s="25"/>
      <c r="AK1379" s="25"/>
      <c r="AL1379" s="25"/>
      <c r="AM1379" s="25"/>
      <c r="AN1379" s="25"/>
      <c r="AO1379" s="25"/>
      <c r="AP1379" s="25"/>
      <c r="AQ1379" s="25"/>
      <c r="AR1379" s="25"/>
      <c r="AS1379" s="25"/>
      <c r="AT1379" s="25"/>
      <c r="AU1379" s="25"/>
    </row>
    <row r="1380" spans="6:47">
      <c r="F1380" s="44"/>
      <c r="G1380" s="47"/>
      <c r="H1380" s="52"/>
      <c r="I1380" s="303"/>
      <c r="AC1380" s="26"/>
      <c r="AE1380" s="26"/>
      <c r="AF1380" s="26"/>
      <c r="AJ1380" s="25"/>
      <c r="AK1380" s="25"/>
      <c r="AL1380" s="25"/>
      <c r="AM1380" s="25"/>
      <c r="AN1380" s="25"/>
      <c r="AO1380" s="25"/>
      <c r="AP1380" s="25"/>
      <c r="AQ1380" s="25"/>
      <c r="AR1380" s="25"/>
      <c r="AS1380" s="25"/>
      <c r="AT1380" s="25"/>
      <c r="AU1380" s="25"/>
    </row>
    <row r="1381" spans="6:47">
      <c r="F1381" s="44"/>
      <c r="G1381" s="47"/>
      <c r="H1381" s="52"/>
      <c r="I1381" s="303"/>
      <c r="AC1381" s="26"/>
      <c r="AE1381" s="26"/>
      <c r="AF1381" s="26"/>
      <c r="AJ1381" s="25"/>
      <c r="AK1381" s="25"/>
      <c r="AL1381" s="25"/>
      <c r="AM1381" s="25"/>
      <c r="AN1381" s="25"/>
      <c r="AO1381" s="25"/>
      <c r="AP1381" s="25"/>
      <c r="AQ1381" s="25"/>
      <c r="AR1381" s="25"/>
      <c r="AS1381" s="25"/>
      <c r="AT1381" s="25"/>
      <c r="AU1381" s="25"/>
    </row>
    <row r="1382" spans="6:47">
      <c r="F1382" s="44"/>
      <c r="G1382" s="45"/>
      <c r="H1382" s="46"/>
      <c r="I1382" s="303"/>
      <c r="AC1382" s="26"/>
      <c r="AE1382" s="26"/>
      <c r="AF1382" s="26"/>
      <c r="AJ1382" s="25"/>
      <c r="AK1382" s="25"/>
      <c r="AL1382" s="25"/>
      <c r="AM1382" s="25"/>
      <c r="AN1382" s="25"/>
      <c r="AO1382" s="25"/>
      <c r="AP1382" s="25"/>
      <c r="AQ1382" s="25"/>
      <c r="AR1382" s="25"/>
      <c r="AS1382" s="25"/>
      <c r="AT1382" s="25"/>
      <c r="AU1382" s="25"/>
    </row>
    <row r="1383" spans="6:47">
      <c r="F1383" s="44"/>
      <c r="G1383" s="45"/>
      <c r="H1383" s="46"/>
      <c r="I1383" s="303"/>
      <c r="AC1383" s="26"/>
      <c r="AE1383" s="26"/>
      <c r="AF1383" s="26"/>
      <c r="AJ1383" s="25"/>
      <c r="AK1383" s="25"/>
      <c r="AL1383" s="25"/>
      <c r="AM1383" s="25"/>
      <c r="AN1383" s="25"/>
      <c r="AO1383" s="25"/>
      <c r="AP1383" s="25"/>
      <c r="AQ1383" s="25"/>
      <c r="AR1383" s="25"/>
      <c r="AS1383" s="25"/>
      <c r="AT1383" s="25"/>
      <c r="AU1383" s="25"/>
    </row>
    <row r="1384" spans="6:47">
      <c r="F1384" s="44"/>
      <c r="G1384" s="45"/>
      <c r="H1384" s="46"/>
      <c r="I1384" s="303"/>
      <c r="AC1384" s="26"/>
      <c r="AE1384" s="26"/>
      <c r="AF1384" s="26"/>
      <c r="AJ1384" s="25"/>
      <c r="AK1384" s="25"/>
      <c r="AL1384" s="25"/>
      <c r="AM1384" s="25"/>
      <c r="AN1384" s="25"/>
      <c r="AO1384" s="25"/>
      <c r="AP1384" s="25"/>
      <c r="AQ1384" s="25"/>
      <c r="AR1384" s="25"/>
      <c r="AS1384" s="25"/>
      <c r="AT1384" s="25"/>
      <c r="AU1384" s="25"/>
    </row>
    <row r="1385" spans="6:47">
      <c r="F1385" s="44"/>
      <c r="G1385" s="45"/>
      <c r="H1385" s="46"/>
      <c r="I1385" s="303"/>
      <c r="AC1385" s="26"/>
      <c r="AE1385" s="26"/>
      <c r="AF1385" s="26"/>
      <c r="AJ1385" s="25"/>
      <c r="AK1385" s="25"/>
      <c r="AL1385" s="25"/>
      <c r="AM1385" s="25"/>
      <c r="AN1385" s="25"/>
      <c r="AO1385" s="25"/>
      <c r="AP1385" s="25"/>
      <c r="AQ1385" s="25"/>
      <c r="AR1385" s="25"/>
      <c r="AS1385" s="25"/>
      <c r="AT1385" s="25"/>
      <c r="AU1385" s="25"/>
    </row>
    <row r="1386" spans="6:47">
      <c r="F1386" s="44"/>
      <c r="G1386" s="47"/>
      <c r="H1386" s="52"/>
      <c r="I1386" s="303"/>
      <c r="AC1386" s="26"/>
      <c r="AE1386" s="26"/>
      <c r="AF1386" s="26"/>
      <c r="AJ1386" s="25"/>
      <c r="AK1386" s="25"/>
      <c r="AL1386" s="25"/>
      <c r="AM1386" s="25"/>
      <c r="AN1386" s="25"/>
      <c r="AO1386" s="25"/>
      <c r="AP1386" s="25"/>
      <c r="AQ1386" s="25"/>
      <c r="AR1386" s="25"/>
      <c r="AS1386" s="25"/>
      <c r="AT1386" s="25"/>
      <c r="AU1386" s="25"/>
    </row>
    <row r="1387" spans="6:47">
      <c r="F1387" s="44"/>
      <c r="G1387" s="47"/>
      <c r="H1387" s="52"/>
      <c r="I1387" s="303"/>
      <c r="AC1387" s="26"/>
      <c r="AE1387" s="26"/>
      <c r="AF1387" s="26"/>
      <c r="AJ1387" s="25"/>
      <c r="AK1387" s="25"/>
      <c r="AL1387" s="25"/>
      <c r="AM1387" s="25"/>
      <c r="AN1387" s="25"/>
      <c r="AO1387" s="25"/>
      <c r="AP1387" s="25"/>
      <c r="AQ1387" s="25"/>
      <c r="AR1387" s="25"/>
      <c r="AS1387" s="25"/>
      <c r="AT1387" s="25"/>
      <c r="AU1387" s="25"/>
    </row>
    <row r="1388" spans="6:47">
      <c r="F1388" s="44"/>
      <c r="G1388" s="47"/>
      <c r="H1388" s="52"/>
      <c r="I1388" s="303"/>
      <c r="AC1388" s="26"/>
      <c r="AE1388" s="26"/>
      <c r="AF1388" s="26"/>
      <c r="AJ1388" s="25"/>
      <c r="AK1388" s="25"/>
      <c r="AL1388" s="25"/>
      <c r="AM1388" s="25"/>
      <c r="AN1388" s="25"/>
      <c r="AO1388" s="25"/>
      <c r="AP1388" s="25"/>
      <c r="AQ1388" s="25"/>
      <c r="AR1388" s="25"/>
      <c r="AS1388" s="25"/>
      <c r="AT1388" s="25"/>
      <c r="AU1388" s="25"/>
    </row>
    <row r="1389" spans="6:47">
      <c r="F1389" s="44"/>
      <c r="G1389" s="47"/>
      <c r="H1389" s="52"/>
      <c r="I1389" s="303"/>
      <c r="AC1389" s="26"/>
      <c r="AE1389" s="26"/>
      <c r="AF1389" s="26"/>
      <c r="AJ1389" s="25"/>
      <c r="AK1389" s="25"/>
      <c r="AL1389" s="25"/>
      <c r="AM1389" s="25"/>
      <c r="AN1389" s="25"/>
      <c r="AO1389" s="25"/>
      <c r="AP1389" s="25"/>
      <c r="AQ1389" s="25"/>
      <c r="AR1389" s="25"/>
      <c r="AS1389" s="25"/>
      <c r="AT1389" s="25"/>
      <c r="AU1389" s="25"/>
    </row>
    <row r="1390" spans="6:47">
      <c r="F1390" s="44"/>
      <c r="G1390" s="47"/>
      <c r="H1390" s="52"/>
      <c r="I1390" s="303"/>
      <c r="AC1390" s="26"/>
      <c r="AE1390" s="26"/>
      <c r="AF1390" s="26"/>
      <c r="AJ1390" s="25"/>
      <c r="AK1390" s="25"/>
      <c r="AL1390" s="25"/>
      <c r="AM1390" s="25"/>
      <c r="AN1390" s="25"/>
      <c r="AO1390" s="25"/>
      <c r="AP1390" s="25"/>
      <c r="AQ1390" s="25"/>
      <c r="AR1390" s="25"/>
      <c r="AS1390" s="25"/>
      <c r="AT1390" s="25"/>
      <c r="AU1390" s="25"/>
    </row>
    <row r="1391" spans="6:47">
      <c r="F1391" s="44"/>
      <c r="G1391" s="47"/>
      <c r="H1391" s="52"/>
      <c r="I1391" s="303"/>
      <c r="AC1391" s="26"/>
      <c r="AE1391" s="26"/>
      <c r="AF1391" s="26"/>
      <c r="AJ1391" s="25"/>
      <c r="AK1391" s="25"/>
      <c r="AL1391" s="25"/>
      <c r="AM1391" s="25"/>
      <c r="AN1391" s="25"/>
      <c r="AO1391" s="25"/>
      <c r="AP1391" s="25"/>
      <c r="AQ1391" s="25"/>
      <c r="AR1391" s="25"/>
      <c r="AS1391" s="25"/>
      <c r="AT1391" s="25"/>
      <c r="AU1391" s="25"/>
    </row>
    <row r="1392" spans="6:47">
      <c r="F1392" s="44"/>
      <c r="G1392" s="49"/>
      <c r="H1392" s="48"/>
      <c r="I1392" s="303"/>
      <c r="AC1392" s="26"/>
      <c r="AE1392" s="26"/>
      <c r="AF1392" s="26"/>
      <c r="AJ1392" s="25"/>
      <c r="AK1392" s="25"/>
      <c r="AL1392" s="25"/>
      <c r="AM1392" s="25"/>
      <c r="AN1392" s="25"/>
      <c r="AO1392" s="25"/>
      <c r="AP1392" s="25"/>
      <c r="AQ1392" s="25"/>
      <c r="AR1392" s="25"/>
      <c r="AS1392" s="25"/>
      <c r="AT1392" s="25"/>
      <c r="AU1392" s="25"/>
    </row>
    <row r="1393" spans="6:47">
      <c r="F1393" s="44"/>
      <c r="G1393" s="49"/>
      <c r="H1393" s="48"/>
      <c r="I1393" s="303"/>
      <c r="AC1393" s="26"/>
      <c r="AE1393" s="26"/>
      <c r="AF1393" s="26"/>
      <c r="AJ1393" s="25"/>
      <c r="AK1393" s="25"/>
      <c r="AL1393" s="25"/>
      <c r="AM1393" s="25"/>
      <c r="AN1393" s="25"/>
      <c r="AO1393" s="25"/>
      <c r="AP1393" s="25"/>
      <c r="AQ1393" s="25"/>
      <c r="AR1393" s="25"/>
      <c r="AS1393" s="25"/>
      <c r="AT1393" s="25"/>
      <c r="AU1393" s="25"/>
    </row>
    <row r="1394" spans="6:47">
      <c r="F1394" s="44"/>
      <c r="G1394" s="49"/>
      <c r="H1394" s="48"/>
      <c r="I1394" s="303"/>
      <c r="AC1394" s="26"/>
      <c r="AE1394" s="26"/>
      <c r="AF1394" s="26"/>
      <c r="AJ1394" s="25"/>
      <c r="AK1394" s="25"/>
      <c r="AL1394" s="25"/>
      <c r="AM1394" s="25"/>
      <c r="AN1394" s="25"/>
      <c r="AO1394" s="25"/>
      <c r="AP1394" s="25"/>
      <c r="AQ1394" s="25"/>
      <c r="AR1394" s="25"/>
      <c r="AS1394" s="25"/>
      <c r="AT1394" s="25"/>
      <c r="AU1394" s="25"/>
    </row>
    <row r="1395" spans="6:47">
      <c r="F1395" s="44"/>
      <c r="G1395" s="49"/>
      <c r="H1395" s="48"/>
      <c r="I1395" s="303"/>
      <c r="AC1395" s="26"/>
      <c r="AE1395" s="26"/>
      <c r="AF1395" s="26"/>
      <c r="AJ1395" s="25"/>
      <c r="AK1395" s="25"/>
      <c r="AL1395" s="25"/>
      <c r="AM1395" s="25"/>
      <c r="AN1395" s="25"/>
      <c r="AO1395" s="25"/>
      <c r="AP1395" s="25"/>
      <c r="AQ1395" s="25"/>
      <c r="AR1395" s="25"/>
      <c r="AS1395" s="25"/>
      <c r="AT1395" s="25"/>
      <c r="AU1395" s="25"/>
    </row>
    <row r="1396" spans="6:47">
      <c r="F1396" s="44"/>
      <c r="G1396" s="49"/>
      <c r="H1396" s="48"/>
      <c r="I1396" s="303"/>
      <c r="AC1396" s="26"/>
      <c r="AE1396" s="26"/>
      <c r="AF1396" s="26"/>
      <c r="AJ1396" s="25"/>
      <c r="AK1396" s="25"/>
      <c r="AL1396" s="25"/>
      <c r="AM1396" s="25"/>
      <c r="AN1396" s="25"/>
      <c r="AO1396" s="25"/>
      <c r="AP1396" s="25"/>
      <c r="AQ1396" s="25"/>
      <c r="AR1396" s="25"/>
      <c r="AS1396" s="25"/>
      <c r="AT1396" s="25"/>
      <c r="AU1396" s="25"/>
    </row>
    <row r="1397" spans="6:47">
      <c r="F1397" s="44"/>
      <c r="G1397" s="47"/>
      <c r="H1397" s="48"/>
      <c r="I1397" s="303"/>
      <c r="AC1397" s="26"/>
      <c r="AE1397" s="26"/>
      <c r="AF1397" s="26"/>
      <c r="AJ1397" s="25"/>
      <c r="AK1397" s="25"/>
      <c r="AL1397" s="25"/>
      <c r="AM1397" s="25"/>
      <c r="AN1397" s="25"/>
      <c r="AO1397" s="25"/>
      <c r="AP1397" s="25"/>
      <c r="AQ1397" s="25"/>
      <c r="AR1397" s="25"/>
      <c r="AS1397" s="25"/>
      <c r="AT1397" s="25"/>
      <c r="AU1397" s="25"/>
    </row>
    <row r="1398" spans="6:47">
      <c r="F1398" s="44"/>
      <c r="G1398" s="47"/>
      <c r="H1398" s="48"/>
      <c r="I1398" s="303"/>
      <c r="AC1398" s="26"/>
      <c r="AE1398" s="26"/>
      <c r="AF1398" s="26"/>
      <c r="AJ1398" s="25"/>
      <c r="AK1398" s="25"/>
      <c r="AL1398" s="25"/>
      <c r="AM1398" s="25"/>
      <c r="AN1398" s="25"/>
      <c r="AO1398" s="25"/>
      <c r="AP1398" s="25"/>
      <c r="AQ1398" s="25"/>
      <c r="AR1398" s="25"/>
      <c r="AS1398" s="25"/>
      <c r="AT1398" s="25"/>
      <c r="AU1398" s="25"/>
    </row>
    <row r="1399" spans="6:47">
      <c r="F1399" s="44"/>
      <c r="G1399" s="47"/>
      <c r="H1399" s="48"/>
      <c r="I1399" s="303"/>
      <c r="AC1399" s="26"/>
      <c r="AE1399" s="26"/>
      <c r="AF1399" s="26"/>
      <c r="AJ1399" s="25"/>
      <c r="AK1399" s="25"/>
      <c r="AL1399" s="25"/>
      <c r="AM1399" s="25"/>
      <c r="AN1399" s="25"/>
      <c r="AO1399" s="25"/>
      <c r="AP1399" s="25"/>
      <c r="AQ1399" s="25"/>
      <c r="AR1399" s="25"/>
      <c r="AS1399" s="25"/>
      <c r="AT1399" s="25"/>
      <c r="AU1399" s="25"/>
    </row>
    <row r="1400" spans="6:47">
      <c r="F1400" s="44"/>
      <c r="G1400" s="47"/>
      <c r="H1400" s="48"/>
      <c r="I1400" s="303"/>
      <c r="AC1400" s="26"/>
      <c r="AE1400" s="26"/>
      <c r="AF1400" s="26"/>
      <c r="AJ1400" s="25"/>
      <c r="AK1400" s="25"/>
      <c r="AL1400" s="25"/>
      <c r="AM1400" s="25"/>
      <c r="AN1400" s="25"/>
      <c r="AO1400" s="25"/>
      <c r="AP1400" s="25"/>
      <c r="AQ1400" s="25"/>
      <c r="AR1400" s="25"/>
      <c r="AS1400" s="25"/>
      <c r="AT1400" s="25"/>
      <c r="AU1400" s="25"/>
    </row>
    <row r="1401" spans="6:47">
      <c r="F1401" s="44"/>
      <c r="G1401" s="47"/>
      <c r="H1401" s="48"/>
      <c r="I1401" s="303"/>
      <c r="AC1401" s="26"/>
      <c r="AE1401" s="26"/>
      <c r="AF1401" s="26"/>
      <c r="AJ1401" s="25"/>
      <c r="AK1401" s="25"/>
      <c r="AL1401" s="25"/>
      <c r="AM1401" s="25"/>
      <c r="AN1401" s="25"/>
      <c r="AO1401" s="25"/>
      <c r="AP1401" s="25"/>
      <c r="AQ1401" s="25"/>
      <c r="AR1401" s="25"/>
      <c r="AS1401" s="25"/>
      <c r="AT1401" s="25"/>
      <c r="AU1401" s="25"/>
    </row>
    <row r="1402" spans="6:47">
      <c r="F1402" s="44"/>
      <c r="G1402" s="45"/>
      <c r="H1402" s="46"/>
      <c r="I1402" s="303"/>
      <c r="AC1402" s="26"/>
      <c r="AE1402" s="26"/>
      <c r="AF1402" s="26"/>
      <c r="AJ1402" s="25"/>
      <c r="AK1402" s="25"/>
      <c r="AL1402" s="25"/>
      <c r="AM1402" s="25"/>
      <c r="AN1402" s="25"/>
      <c r="AO1402" s="25"/>
      <c r="AP1402" s="25"/>
      <c r="AQ1402" s="25"/>
      <c r="AR1402" s="25"/>
      <c r="AS1402" s="25"/>
      <c r="AT1402" s="25"/>
      <c r="AU1402" s="25"/>
    </row>
    <row r="1403" spans="6:47">
      <c r="F1403" s="44"/>
      <c r="G1403" s="45"/>
      <c r="H1403" s="46"/>
      <c r="I1403" s="303"/>
      <c r="AC1403" s="26"/>
      <c r="AE1403" s="26"/>
      <c r="AF1403" s="26"/>
      <c r="AJ1403" s="25"/>
      <c r="AK1403" s="25"/>
      <c r="AL1403" s="25"/>
      <c r="AM1403" s="25"/>
      <c r="AN1403" s="25"/>
      <c r="AO1403" s="25"/>
      <c r="AP1403" s="25"/>
      <c r="AQ1403" s="25"/>
      <c r="AR1403" s="25"/>
      <c r="AS1403" s="25"/>
      <c r="AT1403" s="25"/>
      <c r="AU1403" s="25"/>
    </row>
    <row r="1404" spans="6:47">
      <c r="F1404" s="44"/>
      <c r="G1404" s="45"/>
      <c r="H1404" s="46"/>
      <c r="I1404" s="303"/>
      <c r="AC1404" s="26"/>
      <c r="AE1404" s="26"/>
      <c r="AF1404" s="26"/>
      <c r="AJ1404" s="25"/>
      <c r="AK1404" s="25"/>
      <c r="AL1404" s="25"/>
      <c r="AM1404" s="25"/>
      <c r="AN1404" s="25"/>
      <c r="AO1404" s="25"/>
      <c r="AP1404" s="25"/>
      <c r="AQ1404" s="25"/>
      <c r="AR1404" s="25"/>
      <c r="AS1404" s="25"/>
      <c r="AT1404" s="25"/>
      <c r="AU1404" s="25"/>
    </row>
    <row r="1405" spans="6:47">
      <c r="F1405" s="44"/>
      <c r="G1405" s="47"/>
      <c r="H1405" s="48"/>
      <c r="I1405" s="303"/>
      <c r="AC1405" s="26"/>
      <c r="AE1405" s="26"/>
      <c r="AF1405" s="26"/>
      <c r="AJ1405" s="25"/>
      <c r="AK1405" s="25"/>
      <c r="AL1405" s="25"/>
      <c r="AM1405" s="25"/>
      <c r="AN1405" s="25"/>
      <c r="AO1405" s="25"/>
      <c r="AP1405" s="25"/>
      <c r="AQ1405" s="25"/>
      <c r="AR1405" s="25"/>
      <c r="AS1405" s="25"/>
      <c r="AT1405" s="25"/>
      <c r="AU1405" s="25"/>
    </row>
    <row r="1406" spans="6:47">
      <c r="F1406" s="44"/>
      <c r="G1406" s="47"/>
      <c r="H1406" s="48"/>
      <c r="I1406" s="303"/>
      <c r="AC1406" s="26"/>
      <c r="AE1406" s="26"/>
      <c r="AF1406" s="26"/>
      <c r="AJ1406" s="25"/>
      <c r="AK1406" s="25"/>
      <c r="AL1406" s="25"/>
      <c r="AM1406" s="25"/>
      <c r="AN1406" s="25"/>
      <c r="AO1406" s="25"/>
      <c r="AP1406" s="25"/>
      <c r="AQ1406" s="25"/>
      <c r="AR1406" s="25"/>
      <c r="AS1406" s="25"/>
      <c r="AT1406" s="25"/>
      <c r="AU1406" s="25"/>
    </row>
    <row r="1407" spans="6:47">
      <c r="F1407" s="44"/>
      <c r="G1407" s="47"/>
      <c r="H1407" s="48"/>
      <c r="I1407" s="303"/>
      <c r="AC1407" s="26"/>
      <c r="AE1407" s="26"/>
      <c r="AF1407" s="26"/>
      <c r="AJ1407" s="25"/>
      <c r="AK1407" s="25"/>
      <c r="AL1407" s="25"/>
      <c r="AM1407" s="25"/>
      <c r="AN1407" s="25"/>
      <c r="AO1407" s="25"/>
      <c r="AP1407" s="25"/>
      <c r="AQ1407" s="25"/>
      <c r="AR1407" s="25"/>
      <c r="AS1407" s="25"/>
      <c r="AT1407" s="25"/>
      <c r="AU1407" s="25"/>
    </row>
    <row r="1408" spans="6:47">
      <c r="F1408" s="44"/>
      <c r="G1408" s="47"/>
      <c r="H1408" s="48"/>
      <c r="I1408" s="303"/>
      <c r="AC1408" s="26"/>
      <c r="AE1408" s="26"/>
      <c r="AF1408" s="26"/>
      <c r="AJ1408" s="25"/>
      <c r="AK1408" s="25"/>
      <c r="AL1408" s="25"/>
      <c r="AM1408" s="25"/>
      <c r="AN1408" s="25"/>
      <c r="AO1408" s="25"/>
      <c r="AP1408" s="25"/>
      <c r="AQ1408" s="25"/>
      <c r="AR1408" s="25"/>
      <c r="AS1408" s="25"/>
      <c r="AT1408" s="25"/>
      <c r="AU1408" s="25"/>
    </row>
    <row r="1409" spans="6:47">
      <c r="F1409" s="44"/>
      <c r="G1409" s="47"/>
      <c r="H1409" s="48"/>
      <c r="I1409" s="303"/>
      <c r="AC1409" s="26"/>
      <c r="AE1409" s="26"/>
      <c r="AF1409" s="26"/>
      <c r="AJ1409" s="25"/>
      <c r="AK1409" s="25"/>
      <c r="AL1409" s="25"/>
      <c r="AM1409" s="25"/>
      <c r="AN1409" s="25"/>
      <c r="AO1409" s="25"/>
      <c r="AP1409" s="25"/>
      <c r="AQ1409" s="25"/>
      <c r="AR1409" s="25"/>
      <c r="AS1409" s="25"/>
      <c r="AT1409" s="25"/>
      <c r="AU1409" s="25"/>
    </row>
    <row r="1410" spans="6:47">
      <c r="F1410" s="44"/>
      <c r="G1410" s="47"/>
      <c r="H1410" s="48"/>
      <c r="I1410" s="303"/>
      <c r="AC1410" s="26"/>
      <c r="AE1410" s="26"/>
      <c r="AF1410" s="26"/>
      <c r="AJ1410" s="25"/>
      <c r="AK1410" s="25"/>
      <c r="AL1410" s="25"/>
      <c r="AM1410" s="25"/>
      <c r="AN1410" s="25"/>
      <c r="AO1410" s="25"/>
      <c r="AP1410" s="25"/>
      <c r="AQ1410" s="25"/>
      <c r="AR1410" s="25"/>
      <c r="AS1410" s="25"/>
      <c r="AT1410" s="25"/>
      <c r="AU1410" s="25"/>
    </row>
    <row r="1411" spans="6:47">
      <c r="F1411" s="44"/>
      <c r="G1411" s="47"/>
      <c r="H1411" s="48"/>
      <c r="I1411" s="303"/>
      <c r="AC1411" s="26"/>
      <c r="AE1411" s="26"/>
      <c r="AF1411" s="26"/>
      <c r="AJ1411" s="25"/>
      <c r="AK1411" s="25"/>
      <c r="AL1411" s="25"/>
      <c r="AM1411" s="25"/>
      <c r="AN1411" s="25"/>
      <c r="AO1411" s="25"/>
      <c r="AP1411" s="25"/>
      <c r="AQ1411" s="25"/>
      <c r="AR1411" s="25"/>
      <c r="AS1411" s="25"/>
      <c r="AT1411" s="25"/>
      <c r="AU1411" s="25"/>
    </row>
    <row r="1412" spans="6:47">
      <c r="F1412" s="44"/>
      <c r="G1412" s="45"/>
      <c r="H1412" s="46"/>
      <c r="I1412" s="303"/>
      <c r="AC1412" s="26"/>
      <c r="AE1412" s="26"/>
      <c r="AF1412" s="26"/>
      <c r="AJ1412" s="25"/>
      <c r="AK1412" s="25"/>
      <c r="AL1412" s="25"/>
      <c r="AM1412" s="25"/>
      <c r="AN1412" s="25"/>
      <c r="AO1412" s="25"/>
      <c r="AP1412" s="25"/>
      <c r="AQ1412" s="25"/>
      <c r="AR1412" s="25"/>
      <c r="AS1412" s="25"/>
      <c r="AT1412" s="25"/>
      <c r="AU1412" s="25"/>
    </row>
    <row r="1413" spans="6:47">
      <c r="F1413" s="44"/>
      <c r="G1413" s="45"/>
      <c r="H1413" s="46"/>
      <c r="I1413" s="303"/>
      <c r="AC1413" s="26"/>
      <c r="AE1413" s="26"/>
      <c r="AF1413" s="26"/>
      <c r="AJ1413" s="25"/>
      <c r="AK1413" s="25"/>
      <c r="AL1413" s="25"/>
      <c r="AM1413" s="25"/>
      <c r="AN1413" s="25"/>
      <c r="AO1413" s="25"/>
      <c r="AP1413" s="25"/>
      <c r="AQ1413" s="25"/>
      <c r="AR1413" s="25"/>
      <c r="AS1413" s="25"/>
      <c r="AT1413" s="25"/>
      <c r="AU1413" s="25"/>
    </row>
    <row r="1414" spans="6:47">
      <c r="F1414" s="44"/>
      <c r="G1414" s="45"/>
      <c r="H1414" s="46"/>
      <c r="I1414" s="303"/>
      <c r="AC1414" s="26"/>
      <c r="AE1414" s="26"/>
      <c r="AF1414" s="26"/>
      <c r="AJ1414" s="25"/>
      <c r="AK1414" s="25"/>
      <c r="AL1414" s="25"/>
      <c r="AM1414" s="25"/>
      <c r="AN1414" s="25"/>
      <c r="AO1414" s="25"/>
      <c r="AP1414" s="25"/>
      <c r="AQ1414" s="25"/>
      <c r="AR1414" s="25"/>
      <c r="AS1414" s="25"/>
      <c r="AT1414" s="25"/>
      <c r="AU1414" s="25"/>
    </row>
    <row r="1415" spans="6:47">
      <c r="F1415" s="44"/>
      <c r="G1415" s="47"/>
      <c r="H1415" s="48"/>
      <c r="I1415" s="303"/>
      <c r="AC1415" s="26"/>
      <c r="AE1415" s="26"/>
      <c r="AF1415" s="26"/>
      <c r="AJ1415" s="25"/>
      <c r="AK1415" s="25"/>
      <c r="AL1415" s="25"/>
      <c r="AM1415" s="25"/>
      <c r="AN1415" s="25"/>
      <c r="AO1415" s="25"/>
      <c r="AP1415" s="25"/>
      <c r="AQ1415" s="25"/>
      <c r="AR1415" s="25"/>
      <c r="AS1415" s="25"/>
      <c r="AT1415" s="25"/>
      <c r="AU1415" s="25"/>
    </row>
    <row r="1416" spans="6:47">
      <c r="F1416" s="44"/>
      <c r="G1416" s="47"/>
      <c r="H1416" s="48"/>
      <c r="I1416" s="303"/>
      <c r="AC1416" s="26"/>
      <c r="AE1416" s="26"/>
      <c r="AF1416" s="26"/>
      <c r="AJ1416" s="25"/>
      <c r="AK1416" s="25"/>
      <c r="AL1416" s="25"/>
      <c r="AM1416" s="25"/>
      <c r="AN1416" s="25"/>
      <c r="AO1416" s="25"/>
      <c r="AP1416" s="25"/>
      <c r="AQ1416" s="25"/>
      <c r="AR1416" s="25"/>
      <c r="AS1416" s="25"/>
      <c r="AT1416" s="25"/>
      <c r="AU1416" s="25"/>
    </row>
    <row r="1417" spans="6:47">
      <c r="F1417" s="44"/>
      <c r="G1417" s="47"/>
      <c r="H1417" s="48"/>
      <c r="I1417" s="303"/>
      <c r="AC1417" s="26"/>
      <c r="AE1417" s="26"/>
      <c r="AF1417" s="26"/>
      <c r="AJ1417" s="25"/>
      <c r="AK1417" s="25"/>
      <c r="AL1417" s="25"/>
      <c r="AM1417" s="25"/>
      <c r="AN1417" s="25"/>
      <c r="AO1417" s="25"/>
      <c r="AP1417" s="25"/>
      <c r="AQ1417" s="25"/>
      <c r="AR1417" s="25"/>
      <c r="AS1417" s="25"/>
      <c r="AT1417" s="25"/>
      <c r="AU1417" s="25"/>
    </row>
    <row r="1418" spans="6:47">
      <c r="F1418" s="44"/>
      <c r="G1418" s="47"/>
      <c r="H1418" s="48"/>
      <c r="I1418" s="303"/>
      <c r="AC1418" s="26"/>
      <c r="AE1418" s="26"/>
      <c r="AF1418" s="26"/>
      <c r="AJ1418" s="25"/>
      <c r="AK1418" s="25"/>
      <c r="AL1418" s="25"/>
      <c r="AM1418" s="25"/>
      <c r="AN1418" s="25"/>
      <c r="AO1418" s="25"/>
      <c r="AP1418" s="25"/>
      <c r="AQ1418" s="25"/>
      <c r="AR1418" s="25"/>
      <c r="AS1418" s="25"/>
      <c r="AT1418" s="25"/>
      <c r="AU1418" s="25"/>
    </row>
    <row r="1419" spans="6:47">
      <c r="F1419" s="44"/>
      <c r="G1419" s="47"/>
      <c r="H1419" s="48"/>
      <c r="I1419" s="303"/>
      <c r="AC1419" s="26"/>
      <c r="AE1419" s="26"/>
      <c r="AF1419" s="26"/>
      <c r="AJ1419" s="25"/>
      <c r="AK1419" s="25"/>
      <c r="AL1419" s="25"/>
      <c r="AM1419" s="25"/>
      <c r="AN1419" s="25"/>
      <c r="AO1419" s="25"/>
      <c r="AP1419" s="25"/>
      <c r="AQ1419" s="25"/>
      <c r="AR1419" s="25"/>
      <c r="AS1419" s="25"/>
      <c r="AT1419" s="25"/>
      <c r="AU1419" s="25"/>
    </row>
    <row r="1420" spans="6:47">
      <c r="F1420" s="44"/>
      <c r="G1420" s="47"/>
      <c r="H1420" s="48"/>
      <c r="I1420" s="303"/>
      <c r="AC1420" s="26"/>
      <c r="AE1420" s="26"/>
      <c r="AF1420" s="26"/>
      <c r="AJ1420" s="25"/>
      <c r="AK1420" s="25"/>
      <c r="AL1420" s="25"/>
      <c r="AM1420" s="25"/>
      <c r="AN1420" s="25"/>
      <c r="AO1420" s="25"/>
      <c r="AP1420" s="25"/>
      <c r="AQ1420" s="25"/>
      <c r="AR1420" s="25"/>
      <c r="AS1420" s="25"/>
      <c r="AT1420" s="25"/>
      <c r="AU1420" s="25"/>
    </row>
    <row r="1421" spans="6:47">
      <c r="F1421" s="44"/>
      <c r="G1421" s="47"/>
      <c r="H1421" s="48"/>
      <c r="I1421" s="303"/>
      <c r="AC1421" s="26"/>
      <c r="AE1421" s="26"/>
      <c r="AF1421" s="26"/>
      <c r="AJ1421" s="25"/>
      <c r="AK1421" s="25"/>
      <c r="AL1421" s="25"/>
      <c r="AM1421" s="25"/>
      <c r="AN1421" s="25"/>
      <c r="AO1421" s="25"/>
      <c r="AP1421" s="25"/>
      <c r="AQ1421" s="25"/>
      <c r="AR1421" s="25"/>
      <c r="AS1421" s="25"/>
      <c r="AT1421" s="25"/>
      <c r="AU1421" s="25"/>
    </row>
    <row r="1422" spans="6:47">
      <c r="F1422" s="44"/>
      <c r="G1422" s="49"/>
      <c r="H1422" s="48"/>
      <c r="I1422" s="303"/>
      <c r="AC1422" s="26"/>
      <c r="AE1422" s="26"/>
      <c r="AF1422" s="26"/>
      <c r="AJ1422" s="25"/>
      <c r="AK1422" s="25"/>
      <c r="AL1422" s="25"/>
      <c r="AM1422" s="25"/>
      <c r="AN1422" s="25"/>
      <c r="AO1422" s="25"/>
      <c r="AP1422" s="25"/>
      <c r="AQ1422" s="25"/>
      <c r="AR1422" s="25"/>
      <c r="AS1422" s="25"/>
      <c r="AT1422" s="25"/>
      <c r="AU1422" s="25"/>
    </row>
    <row r="1423" spans="6:47">
      <c r="F1423" s="44"/>
      <c r="G1423" s="49"/>
      <c r="H1423" s="48"/>
      <c r="I1423" s="303"/>
      <c r="AC1423" s="26"/>
      <c r="AE1423" s="26"/>
      <c r="AF1423" s="26"/>
      <c r="AJ1423" s="25"/>
      <c r="AK1423" s="25"/>
      <c r="AL1423" s="25"/>
      <c r="AM1423" s="25"/>
      <c r="AN1423" s="25"/>
      <c r="AO1423" s="25"/>
      <c r="AP1423" s="25"/>
      <c r="AQ1423" s="25"/>
      <c r="AR1423" s="25"/>
      <c r="AS1423" s="25"/>
      <c r="AT1423" s="25"/>
      <c r="AU1423" s="25"/>
    </row>
    <row r="1424" spans="6:47">
      <c r="F1424" s="44"/>
      <c r="G1424" s="49"/>
      <c r="H1424" s="48"/>
      <c r="I1424" s="303"/>
      <c r="AC1424" s="26"/>
      <c r="AE1424" s="26"/>
      <c r="AF1424" s="26"/>
      <c r="AJ1424" s="25"/>
      <c r="AK1424" s="25"/>
      <c r="AL1424" s="25"/>
      <c r="AM1424" s="25"/>
      <c r="AN1424" s="25"/>
      <c r="AO1424" s="25"/>
      <c r="AP1424" s="25"/>
      <c r="AQ1424" s="25"/>
      <c r="AR1424" s="25"/>
      <c r="AS1424" s="25"/>
      <c r="AT1424" s="25"/>
      <c r="AU1424" s="25"/>
    </row>
    <row r="1425" spans="6:47">
      <c r="F1425" s="44"/>
      <c r="G1425" s="49"/>
      <c r="H1425" s="48"/>
      <c r="I1425" s="303"/>
      <c r="AC1425" s="26"/>
      <c r="AE1425" s="26"/>
      <c r="AF1425" s="26"/>
      <c r="AJ1425" s="25"/>
      <c r="AK1425" s="25"/>
      <c r="AL1425" s="25"/>
      <c r="AM1425" s="25"/>
      <c r="AN1425" s="25"/>
      <c r="AO1425" s="25"/>
      <c r="AP1425" s="25"/>
      <c r="AQ1425" s="25"/>
      <c r="AR1425" s="25"/>
      <c r="AS1425" s="25"/>
      <c r="AT1425" s="25"/>
      <c r="AU1425" s="25"/>
    </row>
    <row r="1426" spans="6:47">
      <c r="F1426" s="44"/>
      <c r="G1426" s="49"/>
      <c r="H1426" s="48"/>
      <c r="I1426" s="303"/>
      <c r="AC1426" s="26"/>
      <c r="AE1426" s="26"/>
      <c r="AF1426" s="26"/>
      <c r="AJ1426" s="25"/>
      <c r="AK1426" s="25"/>
      <c r="AL1426" s="25"/>
      <c r="AM1426" s="25"/>
      <c r="AN1426" s="25"/>
      <c r="AO1426" s="25"/>
      <c r="AP1426" s="25"/>
      <c r="AQ1426" s="25"/>
      <c r="AR1426" s="25"/>
      <c r="AS1426" s="25"/>
      <c r="AT1426" s="25"/>
      <c r="AU1426" s="25"/>
    </row>
    <row r="1427" spans="6:47">
      <c r="F1427" s="44"/>
      <c r="G1427" s="47"/>
      <c r="H1427" s="48"/>
      <c r="I1427" s="303"/>
      <c r="AC1427" s="26"/>
      <c r="AE1427" s="26"/>
      <c r="AF1427" s="26"/>
      <c r="AJ1427" s="25"/>
      <c r="AK1427" s="25"/>
      <c r="AL1427" s="25"/>
      <c r="AM1427" s="25"/>
      <c r="AN1427" s="25"/>
      <c r="AO1427" s="25"/>
      <c r="AP1427" s="25"/>
      <c r="AQ1427" s="25"/>
      <c r="AR1427" s="25"/>
      <c r="AS1427" s="25"/>
      <c r="AT1427" s="25"/>
      <c r="AU1427" s="25"/>
    </row>
    <row r="1428" spans="6:47">
      <c r="F1428" s="44"/>
      <c r="G1428" s="47"/>
      <c r="H1428" s="48"/>
      <c r="I1428" s="303"/>
      <c r="AC1428" s="26"/>
      <c r="AE1428" s="26"/>
      <c r="AF1428" s="26"/>
      <c r="AJ1428" s="25"/>
      <c r="AK1428" s="25"/>
      <c r="AL1428" s="25"/>
      <c r="AM1428" s="25"/>
      <c r="AN1428" s="25"/>
      <c r="AO1428" s="25"/>
      <c r="AP1428" s="25"/>
      <c r="AQ1428" s="25"/>
      <c r="AR1428" s="25"/>
      <c r="AS1428" s="25"/>
      <c r="AT1428" s="25"/>
      <c r="AU1428" s="25"/>
    </row>
    <row r="1429" spans="6:47">
      <c r="F1429" s="44"/>
      <c r="G1429" s="47"/>
      <c r="H1429" s="48"/>
      <c r="I1429" s="303"/>
      <c r="AC1429" s="26"/>
      <c r="AE1429" s="26"/>
      <c r="AF1429" s="26"/>
      <c r="AJ1429" s="25"/>
      <c r="AK1429" s="25"/>
      <c r="AL1429" s="25"/>
      <c r="AM1429" s="25"/>
      <c r="AN1429" s="25"/>
      <c r="AO1429" s="25"/>
      <c r="AP1429" s="25"/>
      <c r="AQ1429" s="25"/>
      <c r="AR1429" s="25"/>
      <c r="AS1429" s="25"/>
      <c r="AT1429" s="25"/>
      <c r="AU1429" s="25"/>
    </row>
    <row r="1430" spans="6:47">
      <c r="F1430" s="44"/>
      <c r="G1430" s="47"/>
      <c r="H1430" s="48"/>
      <c r="I1430" s="303"/>
      <c r="AC1430" s="26"/>
      <c r="AE1430" s="26"/>
      <c r="AF1430" s="26"/>
      <c r="AJ1430" s="25"/>
      <c r="AK1430" s="25"/>
      <c r="AL1430" s="25"/>
      <c r="AM1430" s="25"/>
      <c r="AN1430" s="25"/>
      <c r="AO1430" s="25"/>
      <c r="AP1430" s="25"/>
      <c r="AQ1430" s="25"/>
      <c r="AR1430" s="25"/>
      <c r="AS1430" s="25"/>
      <c r="AT1430" s="25"/>
      <c r="AU1430" s="25"/>
    </row>
    <row r="1431" spans="6:47">
      <c r="F1431" s="44"/>
      <c r="G1431" s="47"/>
      <c r="H1431" s="48"/>
      <c r="I1431" s="303"/>
      <c r="AC1431" s="26"/>
      <c r="AE1431" s="26"/>
      <c r="AF1431" s="26"/>
      <c r="AJ1431" s="25"/>
      <c r="AK1431" s="25"/>
      <c r="AL1431" s="25"/>
      <c r="AM1431" s="25"/>
      <c r="AN1431" s="25"/>
      <c r="AO1431" s="25"/>
      <c r="AP1431" s="25"/>
      <c r="AQ1431" s="25"/>
      <c r="AR1431" s="25"/>
      <c r="AS1431" s="25"/>
      <c r="AT1431" s="25"/>
      <c r="AU1431" s="25"/>
    </row>
    <row r="1432" spans="6:47">
      <c r="F1432" s="44"/>
      <c r="G1432" s="49"/>
      <c r="H1432" s="48"/>
      <c r="I1432" s="299"/>
      <c r="AC1432" s="26"/>
      <c r="AE1432" s="26"/>
      <c r="AF1432" s="26"/>
      <c r="AJ1432" s="25"/>
      <c r="AK1432" s="25"/>
      <c r="AL1432" s="25"/>
      <c r="AM1432" s="25"/>
      <c r="AN1432" s="25"/>
      <c r="AO1432" s="25"/>
      <c r="AP1432" s="25"/>
      <c r="AQ1432" s="25"/>
      <c r="AR1432" s="25"/>
      <c r="AS1432" s="25"/>
      <c r="AT1432" s="25"/>
      <c r="AU1432" s="25"/>
    </row>
    <row r="1433" spans="6:47">
      <c r="F1433" s="44"/>
      <c r="G1433" s="49"/>
      <c r="H1433" s="48"/>
      <c r="I1433" s="299"/>
      <c r="AC1433" s="26"/>
      <c r="AE1433" s="26"/>
      <c r="AF1433" s="26"/>
      <c r="AJ1433" s="25"/>
      <c r="AK1433" s="25"/>
      <c r="AL1433" s="25"/>
      <c r="AM1433" s="25"/>
      <c r="AN1433" s="25"/>
      <c r="AO1433" s="25"/>
      <c r="AP1433" s="25"/>
      <c r="AQ1433" s="25"/>
      <c r="AR1433" s="25"/>
      <c r="AS1433" s="25"/>
      <c r="AT1433" s="25"/>
      <c r="AU1433" s="25"/>
    </row>
    <row r="1434" spans="6:47">
      <c r="F1434" s="44"/>
      <c r="G1434" s="49"/>
      <c r="H1434" s="48"/>
      <c r="I1434" s="299"/>
      <c r="AC1434" s="26"/>
      <c r="AE1434" s="26"/>
      <c r="AF1434" s="26"/>
      <c r="AJ1434" s="25"/>
      <c r="AK1434" s="25"/>
      <c r="AL1434" s="25"/>
      <c r="AM1434" s="25"/>
      <c r="AN1434" s="25"/>
      <c r="AO1434" s="25"/>
      <c r="AP1434" s="25"/>
      <c r="AQ1434" s="25"/>
      <c r="AR1434" s="25"/>
      <c r="AS1434" s="25"/>
      <c r="AT1434" s="25"/>
      <c r="AU1434" s="25"/>
    </row>
    <row r="1435" spans="6:47">
      <c r="F1435" s="44"/>
      <c r="G1435" s="49"/>
      <c r="H1435" s="48"/>
      <c r="I1435" s="299"/>
      <c r="AC1435" s="26"/>
      <c r="AE1435" s="26"/>
      <c r="AF1435" s="26"/>
      <c r="AJ1435" s="25"/>
      <c r="AK1435" s="25"/>
      <c r="AL1435" s="25"/>
      <c r="AM1435" s="25"/>
      <c r="AN1435" s="25"/>
      <c r="AO1435" s="25"/>
      <c r="AP1435" s="25"/>
      <c r="AQ1435" s="25"/>
      <c r="AR1435" s="25"/>
      <c r="AS1435" s="25"/>
      <c r="AT1435" s="25"/>
      <c r="AU1435" s="25"/>
    </row>
    <row r="1436" spans="6:47">
      <c r="F1436" s="44"/>
      <c r="G1436" s="49"/>
      <c r="H1436" s="48"/>
      <c r="I1436" s="299"/>
      <c r="AC1436" s="26"/>
      <c r="AE1436" s="26"/>
      <c r="AF1436" s="26"/>
      <c r="AJ1436" s="25"/>
      <c r="AK1436" s="25"/>
      <c r="AL1436" s="25"/>
      <c r="AM1436" s="25"/>
      <c r="AN1436" s="25"/>
      <c r="AO1436" s="25"/>
      <c r="AP1436" s="25"/>
      <c r="AQ1436" s="25"/>
      <c r="AR1436" s="25"/>
      <c r="AS1436" s="25"/>
      <c r="AT1436" s="25"/>
      <c r="AU1436" s="25"/>
    </row>
    <row r="1437" spans="6:47">
      <c r="F1437" s="44"/>
      <c r="G1437" s="47"/>
      <c r="H1437" s="48"/>
      <c r="I1437" s="299"/>
      <c r="AC1437" s="26"/>
      <c r="AE1437" s="26"/>
      <c r="AF1437" s="26"/>
      <c r="AJ1437" s="25"/>
      <c r="AK1437" s="25"/>
      <c r="AL1437" s="25"/>
      <c r="AM1437" s="25"/>
      <c r="AN1437" s="25"/>
      <c r="AO1437" s="25"/>
      <c r="AP1437" s="25"/>
      <c r="AQ1437" s="25"/>
      <c r="AR1437" s="25"/>
      <c r="AS1437" s="25"/>
      <c r="AT1437" s="25"/>
      <c r="AU1437" s="25"/>
    </row>
    <row r="1438" spans="6:47">
      <c r="F1438" s="44"/>
      <c r="G1438" s="47"/>
      <c r="H1438" s="48"/>
      <c r="I1438" s="299"/>
      <c r="AC1438" s="26"/>
      <c r="AE1438" s="26"/>
      <c r="AF1438" s="26"/>
      <c r="AJ1438" s="25"/>
      <c r="AK1438" s="25"/>
      <c r="AL1438" s="25"/>
      <c r="AM1438" s="25"/>
      <c r="AN1438" s="25"/>
      <c r="AO1438" s="25"/>
      <c r="AP1438" s="25"/>
      <c r="AQ1438" s="25"/>
      <c r="AR1438" s="25"/>
      <c r="AS1438" s="25"/>
      <c r="AT1438" s="25"/>
      <c r="AU1438" s="25"/>
    </row>
    <row r="1439" spans="6:47">
      <c r="F1439" s="44"/>
      <c r="G1439" s="47"/>
      <c r="H1439" s="48"/>
      <c r="I1439" s="299"/>
      <c r="AC1439" s="26"/>
      <c r="AE1439" s="26"/>
      <c r="AF1439" s="26"/>
      <c r="AJ1439" s="25"/>
      <c r="AK1439" s="25"/>
      <c r="AL1439" s="25"/>
      <c r="AM1439" s="25"/>
      <c r="AN1439" s="25"/>
      <c r="AO1439" s="25"/>
      <c r="AP1439" s="25"/>
      <c r="AQ1439" s="25"/>
      <c r="AR1439" s="25"/>
      <c r="AS1439" s="25"/>
      <c r="AT1439" s="25"/>
      <c r="AU1439" s="25"/>
    </row>
    <row r="1440" spans="6:47">
      <c r="F1440" s="44"/>
      <c r="G1440" s="47"/>
      <c r="H1440" s="48"/>
      <c r="I1440" s="299"/>
      <c r="AC1440" s="26"/>
      <c r="AE1440" s="26"/>
      <c r="AF1440" s="26"/>
      <c r="AJ1440" s="25"/>
      <c r="AK1440" s="25"/>
      <c r="AL1440" s="25"/>
      <c r="AM1440" s="25"/>
      <c r="AN1440" s="25"/>
      <c r="AO1440" s="25"/>
      <c r="AP1440" s="25"/>
      <c r="AQ1440" s="25"/>
      <c r="AR1440" s="25"/>
      <c r="AS1440" s="25"/>
      <c r="AT1440" s="25"/>
      <c r="AU1440" s="25"/>
    </row>
    <row r="1441" spans="6:47">
      <c r="F1441" s="44"/>
      <c r="G1441" s="47"/>
      <c r="H1441" s="48"/>
      <c r="I1441" s="299"/>
      <c r="AC1441" s="26"/>
      <c r="AE1441" s="26"/>
      <c r="AF1441" s="26"/>
      <c r="AJ1441" s="25"/>
      <c r="AK1441" s="25"/>
      <c r="AL1441" s="25"/>
      <c r="AM1441" s="25"/>
      <c r="AN1441" s="25"/>
      <c r="AO1441" s="25"/>
      <c r="AP1441" s="25"/>
      <c r="AQ1441" s="25"/>
      <c r="AR1441" s="25"/>
      <c r="AS1441" s="25"/>
      <c r="AT1441" s="25"/>
      <c r="AU1441" s="25"/>
    </row>
    <row r="1442" spans="6:47">
      <c r="AC1442" s="26"/>
      <c r="AE1442" s="26"/>
      <c r="AF1442" s="26"/>
      <c r="AJ1442" s="25"/>
      <c r="AK1442" s="25"/>
      <c r="AL1442" s="25"/>
      <c r="AM1442" s="25"/>
      <c r="AN1442" s="25"/>
      <c r="AO1442" s="25"/>
      <c r="AP1442" s="25"/>
      <c r="AQ1442" s="25"/>
      <c r="AR1442" s="25"/>
      <c r="AS1442" s="25"/>
      <c r="AT1442" s="25"/>
      <c r="AU1442" s="25"/>
    </row>
    <row r="1443" spans="6:47">
      <c r="AC1443" s="26"/>
      <c r="AE1443" s="26"/>
      <c r="AF1443" s="26"/>
      <c r="AJ1443" s="25"/>
      <c r="AK1443" s="25"/>
      <c r="AL1443" s="25"/>
      <c r="AM1443" s="25"/>
      <c r="AN1443" s="25"/>
      <c r="AO1443" s="25"/>
      <c r="AP1443" s="25"/>
      <c r="AQ1443" s="25"/>
      <c r="AR1443" s="25"/>
      <c r="AS1443" s="25"/>
      <c r="AT1443" s="25"/>
      <c r="AU1443" s="25"/>
    </row>
    <row r="1444" spans="6:47">
      <c r="AC1444" s="26"/>
      <c r="AE1444" s="26"/>
      <c r="AF1444" s="26"/>
      <c r="AJ1444" s="25"/>
      <c r="AK1444" s="25"/>
      <c r="AL1444" s="25"/>
      <c r="AM1444" s="25"/>
      <c r="AN1444" s="25"/>
      <c r="AO1444" s="25"/>
      <c r="AP1444" s="25"/>
      <c r="AQ1444" s="25"/>
      <c r="AR1444" s="25"/>
      <c r="AS1444" s="25"/>
      <c r="AT1444" s="25"/>
      <c r="AU1444" s="25"/>
    </row>
    <row r="1445" spans="6:47">
      <c r="AC1445" s="26"/>
      <c r="AE1445" s="26"/>
      <c r="AF1445" s="26"/>
      <c r="AJ1445" s="25"/>
      <c r="AK1445" s="25"/>
      <c r="AL1445" s="25"/>
      <c r="AM1445" s="25"/>
      <c r="AN1445" s="25"/>
      <c r="AO1445" s="25"/>
      <c r="AP1445" s="25"/>
      <c r="AQ1445" s="25"/>
      <c r="AR1445" s="25"/>
      <c r="AS1445" s="25"/>
      <c r="AT1445" s="25"/>
      <c r="AU1445" s="25"/>
    </row>
    <row r="1446" spans="6:47">
      <c r="AC1446" s="26"/>
      <c r="AE1446" s="26"/>
      <c r="AF1446" s="26"/>
      <c r="AJ1446" s="25"/>
      <c r="AK1446" s="25"/>
      <c r="AL1446" s="25"/>
      <c r="AM1446" s="25"/>
      <c r="AN1446" s="25"/>
      <c r="AO1446" s="25"/>
      <c r="AP1446" s="25"/>
      <c r="AQ1446" s="25"/>
      <c r="AR1446" s="25"/>
      <c r="AS1446" s="25"/>
      <c r="AT1446" s="25"/>
      <c r="AU1446" s="25"/>
    </row>
    <row r="1447" spans="6:47">
      <c r="AC1447" s="26"/>
      <c r="AE1447" s="26"/>
      <c r="AF1447" s="26"/>
      <c r="AJ1447" s="25"/>
      <c r="AK1447" s="25"/>
      <c r="AL1447" s="25"/>
      <c r="AM1447" s="25"/>
      <c r="AN1447" s="25"/>
      <c r="AO1447" s="25"/>
      <c r="AP1447" s="25"/>
      <c r="AQ1447" s="25"/>
      <c r="AR1447" s="25"/>
      <c r="AS1447" s="25"/>
      <c r="AT1447" s="25"/>
      <c r="AU1447" s="25"/>
    </row>
    <row r="1448" spans="6:47">
      <c r="AC1448" s="26"/>
      <c r="AE1448" s="26"/>
      <c r="AF1448" s="26"/>
      <c r="AJ1448" s="25"/>
      <c r="AK1448" s="25"/>
      <c r="AL1448" s="25"/>
      <c r="AM1448" s="25"/>
      <c r="AN1448" s="25"/>
      <c r="AO1448" s="25"/>
      <c r="AP1448" s="25"/>
      <c r="AQ1448" s="25"/>
      <c r="AR1448" s="25"/>
      <c r="AS1448" s="25"/>
      <c r="AT1448" s="25"/>
      <c r="AU1448" s="25"/>
    </row>
    <row r="1449" spans="6:47">
      <c r="AC1449" s="26"/>
      <c r="AE1449" s="26"/>
      <c r="AF1449" s="26"/>
      <c r="AJ1449" s="25"/>
      <c r="AK1449" s="25"/>
      <c r="AL1449" s="25"/>
      <c r="AM1449" s="25"/>
      <c r="AN1449" s="25"/>
      <c r="AO1449" s="25"/>
      <c r="AP1449" s="25"/>
      <c r="AQ1449" s="25"/>
      <c r="AR1449" s="25"/>
      <c r="AS1449" s="25"/>
      <c r="AT1449" s="25"/>
      <c r="AU1449" s="25"/>
    </row>
    <row r="1450" spans="6:47">
      <c r="AC1450" s="26"/>
      <c r="AE1450" s="26"/>
      <c r="AF1450" s="26"/>
      <c r="AJ1450" s="25"/>
      <c r="AK1450" s="25"/>
      <c r="AL1450" s="25"/>
      <c r="AM1450" s="25"/>
      <c r="AN1450" s="25"/>
      <c r="AO1450" s="25"/>
      <c r="AP1450" s="25"/>
      <c r="AQ1450" s="25"/>
      <c r="AR1450" s="25"/>
      <c r="AS1450" s="25"/>
      <c r="AT1450" s="25"/>
      <c r="AU1450" s="25"/>
    </row>
    <row r="1451" spans="6:47">
      <c r="AC1451" s="26"/>
      <c r="AE1451" s="26"/>
      <c r="AF1451" s="26"/>
      <c r="AJ1451" s="25"/>
      <c r="AK1451" s="25"/>
      <c r="AL1451" s="25"/>
      <c r="AM1451" s="25"/>
      <c r="AN1451" s="25"/>
      <c r="AO1451" s="25"/>
      <c r="AP1451" s="25"/>
      <c r="AQ1451" s="25"/>
      <c r="AR1451" s="25"/>
      <c r="AS1451" s="25"/>
      <c r="AT1451" s="25"/>
      <c r="AU1451" s="25"/>
    </row>
    <row r="1452" spans="6:47">
      <c r="AC1452" s="26"/>
      <c r="AE1452" s="26"/>
      <c r="AF1452" s="26"/>
      <c r="AJ1452" s="25"/>
      <c r="AK1452" s="25"/>
      <c r="AL1452" s="25"/>
      <c r="AM1452" s="25"/>
      <c r="AN1452" s="25"/>
      <c r="AO1452" s="25"/>
      <c r="AP1452" s="25"/>
      <c r="AQ1452" s="25"/>
      <c r="AR1452" s="25"/>
      <c r="AS1452" s="25"/>
      <c r="AT1452" s="25"/>
      <c r="AU1452" s="25"/>
    </row>
    <row r="1453" spans="6:47">
      <c r="AC1453" s="26"/>
      <c r="AE1453" s="26"/>
      <c r="AF1453" s="26"/>
      <c r="AJ1453" s="25"/>
      <c r="AK1453" s="25"/>
      <c r="AL1453" s="25"/>
      <c r="AM1453" s="25"/>
      <c r="AN1453" s="25"/>
      <c r="AO1453" s="25"/>
      <c r="AP1453" s="25"/>
      <c r="AQ1453" s="25"/>
      <c r="AR1453" s="25"/>
      <c r="AS1453" s="25"/>
      <c r="AT1453" s="25"/>
      <c r="AU1453" s="25"/>
    </row>
    <row r="1454" spans="6:47">
      <c r="AC1454" s="26"/>
      <c r="AE1454" s="26"/>
      <c r="AF1454" s="26"/>
      <c r="AJ1454" s="25"/>
      <c r="AK1454" s="25"/>
      <c r="AL1454" s="25"/>
      <c r="AM1454" s="25"/>
      <c r="AN1454" s="25"/>
      <c r="AO1454" s="25"/>
      <c r="AP1454" s="25"/>
      <c r="AQ1454" s="25"/>
      <c r="AR1454" s="25"/>
      <c r="AS1454" s="25"/>
      <c r="AT1454" s="25"/>
      <c r="AU1454" s="25"/>
    </row>
    <row r="1455" spans="6:47">
      <c r="AC1455" s="26"/>
      <c r="AE1455" s="26"/>
      <c r="AF1455" s="26"/>
      <c r="AJ1455" s="25"/>
      <c r="AK1455" s="25"/>
      <c r="AL1455" s="25"/>
      <c r="AM1455" s="25"/>
      <c r="AN1455" s="25"/>
      <c r="AO1455" s="25"/>
      <c r="AP1455" s="25"/>
      <c r="AQ1455" s="25"/>
      <c r="AR1455" s="25"/>
      <c r="AS1455" s="25"/>
      <c r="AT1455" s="25"/>
      <c r="AU1455" s="25"/>
    </row>
    <row r="1456" spans="6:47">
      <c r="AC1456" s="26"/>
      <c r="AE1456" s="26"/>
      <c r="AF1456" s="26"/>
      <c r="AJ1456" s="25"/>
      <c r="AK1456" s="25"/>
      <c r="AL1456" s="25"/>
      <c r="AM1456" s="25"/>
      <c r="AN1456" s="25"/>
      <c r="AO1456" s="25"/>
      <c r="AP1456" s="25"/>
      <c r="AQ1456" s="25"/>
      <c r="AR1456" s="25"/>
      <c r="AS1456" s="25"/>
      <c r="AT1456" s="25"/>
      <c r="AU1456" s="25"/>
    </row>
    <row r="1457" spans="29:47">
      <c r="AC1457" s="26"/>
      <c r="AE1457" s="26"/>
      <c r="AF1457" s="26"/>
      <c r="AJ1457" s="25"/>
      <c r="AK1457" s="25"/>
      <c r="AL1457" s="25"/>
      <c r="AM1457" s="25"/>
      <c r="AN1457" s="25"/>
      <c r="AO1457" s="25"/>
      <c r="AP1457" s="25"/>
      <c r="AQ1457" s="25"/>
      <c r="AR1457" s="25"/>
      <c r="AS1457" s="25"/>
      <c r="AT1457" s="25"/>
      <c r="AU1457" s="25"/>
    </row>
    <row r="1458" spans="29:47">
      <c r="AC1458" s="26"/>
      <c r="AE1458" s="26"/>
      <c r="AF1458" s="26"/>
      <c r="AJ1458" s="25"/>
      <c r="AK1458" s="25"/>
      <c r="AL1458" s="25"/>
      <c r="AM1458" s="25"/>
      <c r="AN1458" s="25"/>
      <c r="AO1458" s="25"/>
      <c r="AP1458" s="25"/>
      <c r="AQ1458" s="25"/>
      <c r="AR1458" s="25"/>
      <c r="AS1458" s="25"/>
      <c r="AT1458" s="25"/>
      <c r="AU1458" s="25"/>
    </row>
    <row r="1459" spans="29:47">
      <c r="AC1459" s="26"/>
      <c r="AE1459" s="26"/>
      <c r="AF1459" s="26"/>
      <c r="AJ1459" s="25"/>
      <c r="AK1459" s="25"/>
      <c r="AL1459" s="25"/>
      <c r="AM1459" s="25"/>
      <c r="AN1459" s="25"/>
      <c r="AO1459" s="25"/>
      <c r="AP1459" s="25"/>
      <c r="AQ1459" s="25"/>
      <c r="AR1459" s="25"/>
      <c r="AS1459" s="25"/>
      <c r="AT1459" s="25"/>
      <c r="AU1459" s="25"/>
    </row>
    <row r="1460" spans="29:47">
      <c r="AC1460" s="26"/>
      <c r="AE1460" s="26"/>
      <c r="AF1460" s="26"/>
      <c r="AJ1460" s="25"/>
      <c r="AK1460" s="25"/>
      <c r="AL1460" s="25"/>
      <c r="AM1460" s="25"/>
      <c r="AN1460" s="25"/>
      <c r="AO1460" s="25"/>
      <c r="AP1460" s="25"/>
      <c r="AQ1460" s="25"/>
      <c r="AR1460" s="25"/>
      <c r="AS1460" s="25"/>
      <c r="AT1460" s="25"/>
      <c r="AU1460" s="25"/>
    </row>
    <row r="1461" spans="29:47">
      <c r="AC1461" s="26"/>
      <c r="AE1461" s="26"/>
      <c r="AF1461" s="26"/>
      <c r="AJ1461" s="25"/>
      <c r="AK1461" s="25"/>
      <c r="AL1461" s="25"/>
      <c r="AM1461" s="25"/>
      <c r="AN1461" s="25"/>
      <c r="AO1461" s="25"/>
      <c r="AP1461" s="25"/>
      <c r="AQ1461" s="25"/>
      <c r="AR1461" s="25"/>
      <c r="AS1461" s="25"/>
      <c r="AT1461" s="25"/>
      <c r="AU1461" s="25"/>
    </row>
    <row r="1462" spans="29:47">
      <c r="AC1462" s="26"/>
      <c r="AE1462" s="26"/>
      <c r="AF1462" s="26"/>
      <c r="AJ1462" s="25"/>
      <c r="AK1462" s="25"/>
      <c r="AL1462" s="25"/>
      <c r="AM1462" s="25"/>
      <c r="AN1462" s="25"/>
      <c r="AO1462" s="25"/>
      <c r="AP1462" s="25"/>
      <c r="AQ1462" s="25"/>
      <c r="AR1462" s="25"/>
      <c r="AS1462" s="25"/>
      <c r="AT1462" s="25"/>
      <c r="AU1462" s="25"/>
    </row>
    <row r="1463" spans="29:47">
      <c r="AC1463" s="26"/>
      <c r="AE1463" s="26"/>
      <c r="AF1463" s="26"/>
      <c r="AJ1463" s="25"/>
      <c r="AK1463" s="25"/>
      <c r="AL1463" s="25"/>
      <c r="AM1463" s="25"/>
      <c r="AN1463" s="25"/>
      <c r="AO1463" s="25"/>
      <c r="AP1463" s="25"/>
      <c r="AQ1463" s="25"/>
      <c r="AR1463" s="25"/>
      <c r="AS1463" s="25"/>
      <c r="AT1463" s="25"/>
      <c r="AU1463" s="25"/>
    </row>
    <row r="1464" spans="29:47">
      <c r="AC1464" s="26"/>
      <c r="AE1464" s="26"/>
      <c r="AF1464" s="26"/>
      <c r="AJ1464" s="25"/>
      <c r="AK1464" s="25"/>
      <c r="AL1464" s="25"/>
      <c r="AM1464" s="25"/>
      <c r="AN1464" s="25"/>
      <c r="AO1464" s="25"/>
      <c r="AP1464" s="25"/>
      <c r="AQ1464" s="25"/>
      <c r="AR1464" s="25"/>
      <c r="AS1464" s="25"/>
      <c r="AT1464" s="25"/>
      <c r="AU1464" s="25"/>
    </row>
    <row r="1465" spans="29:47">
      <c r="AC1465" s="26"/>
      <c r="AE1465" s="26"/>
      <c r="AF1465" s="26"/>
      <c r="AJ1465" s="25"/>
      <c r="AK1465" s="25"/>
      <c r="AL1465" s="25"/>
      <c r="AM1465" s="25"/>
      <c r="AN1465" s="25"/>
      <c r="AO1465" s="25"/>
      <c r="AP1465" s="25"/>
      <c r="AQ1465" s="25"/>
      <c r="AR1465" s="25"/>
      <c r="AS1465" s="25"/>
      <c r="AT1465" s="25"/>
      <c r="AU1465" s="25"/>
    </row>
    <row r="1466" spans="29:47">
      <c r="AC1466" s="26"/>
      <c r="AE1466" s="26"/>
      <c r="AF1466" s="26"/>
      <c r="AJ1466" s="25"/>
      <c r="AK1466" s="25"/>
      <c r="AL1466" s="25"/>
      <c r="AM1466" s="25"/>
      <c r="AN1466" s="25"/>
      <c r="AO1466" s="25"/>
      <c r="AP1466" s="25"/>
      <c r="AQ1466" s="25"/>
      <c r="AR1466" s="25"/>
      <c r="AS1466" s="25"/>
      <c r="AT1466" s="25"/>
      <c r="AU1466" s="25"/>
    </row>
    <row r="1467" spans="29:47">
      <c r="AC1467" s="26"/>
      <c r="AE1467" s="26"/>
      <c r="AF1467" s="26"/>
      <c r="AJ1467" s="25"/>
      <c r="AK1467" s="25"/>
      <c r="AL1467" s="25"/>
      <c r="AM1467" s="25"/>
      <c r="AN1467" s="25"/>
      <c r="AO1467" s="25"/>
      <c r="AP1467" s="25"/>
      <c r="AQ1467" s="25"/>
      <c r="AR1467" s="25"/>
      <c r="AS1467" s="25"/>
      <c r="AT1467" s="25"/>
      <c r="AU1467" s="25"/>
    </row>
    <row r="1468" spans="29:47">
      <c r="AC1468" s="26"/>
      <c r="AE1468" s="26"/>
      <c r="AF1468" s="26"/>
      <c r="AJ1468" s="25"/>
      <c r="AK1468" s="25"/>
      <c r="AL1468" s="25"/>
      <c r="AM1468" s="25"/>
      <c r="AN1468" s="25"/>
      <c r="AO1468" s="25"/>
      <c r="AP1468" s="25"/>
      <c r="AQ1468" s="25"/>
      <c r="AR1468" s="25"/>
      <c r="AS1468" s="25"/>
      <c r="AT1468" s="25"/>
      <c r="AU1468" s="25"/>
    </row>
    <row r="1469" spans="29:47">
      <c r="AC1469" s="26"/>
      <c r="AE1469" s="26"/>
      <c r="AF1469" s="26"/>
      <c r="AJ1469" s="25"/>
      <c r="AK1469" s="25"/>
      <c r="AL1469" s="25"/>
      <c r="AM1469" s="25"/>
      <c r="AN1469" s="25"/>
      <c r="AO1469" s="25"/>
      <c r="AP1469" s="25"/>
      <c r="AQ1469" s="25"/>
      <c r="AR1469" s="25"/>
      <c r="AS1469" s="25"/>
      <c r="AT1469" s="25"/>
      <c r="AU1469" s="25"/>
    </row>
    <row r="1470" spans="29:47">
      <c r="AC1470" s="26"/>
      <c r="AE1470" s="26"/>
      <c r="AF1470" s="26"/>
      <c r="AJ1470" s="25"/>
      <c r="AK1470" s="25"/>
      <c r="AL1470" s="25"/>
      <c r="AM1470" s="25"/>
      <c r="AN1470" s="25"/>
      <c r="AO1470" s="25"/>
      <c r="AP1470" s="25"/>
      <c r="AQ1470" s="25"/>
      <c r="AR1470" s="25"/>
      <c r="AS1470" s="25"/>
      <c r="AT1470" s="25"/>
      <c r="AU1470" s="25"/>
    </row>
    <row r="1471" spans="29:47">
      <c r="AC1471" s="26"/>
      <c r="AE1471" s="26"/>
      <c r="AF1471" s="26"/>
      <c r="AJ1471" s="25"/>
      <c r="AK1471" s="25"/>
      <c r="AL1471" s="25"/>
      <c r="AM1471" s="25"/>
      <c r="AN1471" s="25"/>
      <c r="AO1471" s="25"/>
      <c r="AP1471" s="25"/>
      <c r="AQ1471" s="25"/>
      <c r="AR1471" s="25"/>
      <c r="AS1471" s="25"/>
      <c r="AT1471" s="25"/>
      <c r="AU1471" s="25"/>
    </row>
    <row r="1472" spans="29:47">
      <c r="AC1472" s="26"/>
      <c r="AE1472" s="26"/>
      <c r="AF1472" s="26"/>
      <c r="AJ1472" s="25"/>
      <c r="AK1472" s="25"/>
      <c r="AL1472" s="25"/>
      <c r="AM1472" s="25"/>
      <c r="AN1472" s="25"/>
      <c r="AO1472" s="25"/>
      <c r="AP1472" s="25"/>
      <c r="AQ1472" s="25"/>
      <c r="AR1472" s="25"/>
      <c r="AS1472" s="25"/>
      <c r="AT1472" s="25"/>
      <c r="AU1472" s="25"/>
    </row>
    <row r="1473" spans="29:47">
      <c r="AC1473" s="26"/>
      <c r="AE1473" s="26"/>
      <c r="AF1473" s="26"/>
      <c r="AJ1473" s="25"/>
      <c r="AK1473" s="25"/>
      <c r="AL1473" s="25"/>
      <c r="AM1473" s="25"/>
      <c r="AN1473" s="25"/>
      <c r="AO1473" s="25"/>
      <c r="AP1473" s="25"/>
      <c r="AQ1473" s="25"/>
      <c r="AR1473" s="25"/>
      <c r="AS1473" s="25"/>
      <c r="AT1473" s="25"/>
      <c r="AU1473" s="25"/>
    </row>
    <row r="1474" spans="29:47">
      <c r="AC1474" s="26"/>
      <c r="AE1474" s="26"/>
      <c r="AF1474" s="26"/>
      <c r="AJ1474" s="25"/>
      <c r="AK1474" s="25"/>
      <c r="AL1474" s="25"/>
      <c r="AM1474" s="25"/>
      <c r="AN1474" s="25"/>
      <c r="AO1474" s="25"/>
      <c r="AP1474" s="25"/>
      <c r="AQ1474" s="25"/>
      <c r="AR1474" s="25"/>
      <c r="AS1474" s="25"/>
      <c r="AT1474" s="25"/>
      <c r="AU1474" s="25"/>
    </row>
    <row r="1475" spans="29:47">
      <c r="AC1475" s="26"/>
      <c r="AE1475" s="26"/>
      <c r="AF1475" s="26"/>
      <c r="AJ1475" s="25"/>
      <c r="AK1475" s="25"/>
      <c r="AL1475" s="25"/>
      <c r="AM1475" s="25"/>
      <c r="AN1475" s="25"/>
      <c r="AO1475" s="25"/>
      <c r="AP1475" s="25"/>
      <c r="AQ1475" s="25"/>
      <c r="AR1475" s="25"/>
      <c r="AS1475" s="25"/>
      <c r="AT1475" s="25"/>
      <c r="AU1475" s="25"/>
    </row>
    <row r="1476" spans="29:47">
      <c r="AC1476" s="26"/>
      <c r="AE1476" s="26"/>
      <c r="AF1476" s="26"/>
      <c r="AJ1476" s="25"/>
      <c r="AK1476" s="25"/>
      <c r="AL1476" s="25"/>
      <c r="AM1476" s="25"/>
      <c r="AN1476" s="25"/>
      <c r="AO1476" s="25"/>
      <c r="AP1476" s="25"/>
      <c r="AQ1476" s="25"/>
      <c r="AR1476" s="25"/>
      <c r="AS1476" s="25"/>
      <c r="AT1476" s="25"/>
      <c r="AU1476" s="25"/>
    </row>
    <row r="1477" spans="29:47">
      <c r="AC1477" s="26"/>
      <c r="AE1477" s="26"/>
      <c r="AF1477" s="26"/>
      <c r="AJ1477" s="25"/>
      <c r="AK1477" s="25"/>
      <c r="AL1477" s="25"/>
      <c r="AM1477" s="25"/>
      <c r="AN1477" s="25"/>
      <c r="AO1477" s="25"/>
      <c r="AP1477" s="25"/>
      <c r="AQ1477" s="25"/>
      <c r="AR1477" s="25"/>
      <c r="AS1477" s="25"/>
      <c r="AT1477" s="25"/>
      <c r="AU1477" s="25"/>
    </row>
    <row r="1478" spans="29:47">
      <c r="AC1478" s="26"/>
      <c r="AE1478" s="26"/>
      <c r="AF1478" s="26"/>
      <c r="AJ1478" s="25"/>
      <c r="AK1478" s="25"/>
      <c r="AL1478" s="25"/>
      <c r="AM1478" s="25"/>
      <c r="AN1478" s="25"/>
      <c r="AO1478" s="25"/>
      <c r="AP1478" s="25"/>
      <c r="AQ1478" s="25"/>
      <c r="AR1478" s="25"/>
      <c r="AS1478" s="25"/>
      <c r="AT1478" s="25"/>
      <c r="AU1478" s="25"/>
    </row>
    <row r="1479" spans="29:47">
      <c r="AC1479" s="26"/>
      <c r="AE1479" s="26"/>
      <c r="AF1479" s="26"/>
      <c r="AJ1479" s="25"/>
      <c r="AK1479" s="25"/>
      <c r="AL1479" s="25"/>
      <c r="AM1479" s="25"/>
      <c r="AN1479" s="25"/>
      <c r="AO1479" s="25"/>
      <c r="AP1479" s="25"/>
      <c r="AQ1479" s="25"/>
      <c r="AR1479" s="25"/>
      <c r="AS1479" s="25"/>
      <c r="AT1479" s="25"/>
      <c r="AU1479" s="25"/>
    </row>
    <row r="1480" spans="29:47">
      <c r="AC1480" s="26"/>
      <c r="AE1480" s="26"/>
      <c r="AF1480" s="26"/>
      <c r="AJ1480" s="25"/>
      <c r="AK1480" s="25"/>
      <c r="AL1480" s="25"/>
      <c r="AM1480" s="25"/>
      <c r="AN1480" s="25"/>
      <c r="AO1480" s="25"/>
      <c r="AP1480" s="25"/>
      <c r="AQ1480" s="25"/>
      <c r="AR1480" s="25"/>
      <c r="AS1480" s="25"/>
      <c r="AT1480" s="25"/>
      <c r="AU1480" s="25"/>
    </row>
    <row r="1481" spans="29:47">
      <c r="AC1481" s="26"/>
      <c r="AE1481" s="26"/>
      <c r="AF1481" s="26"/>
      <c r="AJ1481" s="25"/>
      <c r="AK1481" s="25"/>
      <c r="AL1481" s="25"/>
      <c r="AM1481" s="25"/>
      <c r="AN1481" s="25"/>
      <c r="AO1481" s="25"/>
      <c r="AP1481" s="25"/>
      <c r="AQ1481" s="25"/>
      <c r="AR1481" s="25"/>
      <c r="AS1481" s="25"/>
      <c r="AT1481" s="25"/>
      <c r="AU1481" s="25"/>
    </row>
    <row r="1482" spans="29:47">
      <c r="AC1482" s="26"/>
      <c r="AE1482" s="26"/>
      <c r="AF1482" s="26"/>
      <c r="AJ1482" s="25"/>
      <c r="AK1482" s="25"/>
      <c r="AL1482" s="25"/>
      <c r="AM1482" s="25"/>
      <c r="AN1482" s="25"/>
      <c r="AO1482" s="25"/>
      <c r="AP1482" s="25"/>
      <c r="AQ1482" s="25"/>
      <c r="AR1482" s="25"/>
      <c r="AS1482" s="25"/>
      <c r="AT1482" s="25"/>
      <c r="AU1482" s="25"/>
    </row>
    <row r="1483" spans="29:47">
      <c r="AC1483" s="26"/>
      <c r="AE1483" s="26"/>
      <c r="AF1483" s="26"/>
      <c r="AJ1483" s="25"/>
      <c r="AK1483" s="25"/>
      <c r="AL1483" s="25"/>
      <c r="AM1483" s="25"/>
      <c r="AN1483" s="25"/>
      <c r="AO1483" s="25"/>
      <c r="AP1483" s="25"/>
      <c r="AQ1483" s="25"/>
      <c r="AR1483" s="25"/>
      <c r="AS1483" s="25"/>
      <c r="AT1483" s="25"/>
      <c r="AU1483" s="25"/>
    </row>
    <row r="1484" spans="29:47">
      <c r="AC1484" s="26"/>
      <c r="AE1484" s="26"/>
      <c r="AF1484" s="26"/>
      <c r="AJ1484" s="25"/>
      <c r="AK1484" s="25"/>
      <c r="AL1484" s="25"/>
      <c r="AM1484" s="25"/>
      <c r="AN1484" s="25"/>
      <c r="AO1484" s="25"/>
      <c r="AP1484" s="25"/>
      <c r="AQ1484" s="25"/>
      <c r="AR1484" s="25"/>
      <c r="AS1484" s="25"/>
      <c r="AT1484" s="25"/>
      <c r="AU1484" s="25"/>
    </row>
    <row r="1485" spans="29:47">
      <c r="AC1485" s="26"/>
      <c r="AE1485" s="26"/>
      <c r="AF1485" s="26"/>
      <c r="AJ1485" s="25"/>
      <c r="AK1485" s="25"/>
      <c r="AL1485" s="25"/>
      <c r="AM1485" s="25"/>
      <c r="AN1485" s="25"/>
      <c r="AO1485" s="25"/>
      <c r="AP1485" s="25"/>
      <c r="AQ1485" s="25"/>
      <c r="AR1485" s="25"/>
      <c r="AS1485" s="25"/>
      <c r="AT1485" s="25"/>
      <c r="AU1485" s="25"/>
    </row>
    <row r="1486" spans="29:47">
      <c r="AC1486" s="26"/>
      <c r="AE1486" s="26"/>
      <c r="AF1486" s="26"/>
      <c r="AJ1486" s="25"/>
      <c r="AK1486" s="25"/>
      <c r="AL1486" s="25"/>
      <c r="AM1486" s="25"/>
      <c r="AN1486" s="25"/>
      <c r="AO1486" s="25"/>
      <c r="AP1486" s="25"/>
      <c r="AQ1486" s="25"/>
      <c r="AR1486" s="25"/>
      <c r="AS1486" s="25"/>
      <c r="AT1486" s="25"/>
      <c r="AU1486" s="25"/>
    </row>
    <row r="1487" spans="29:47">
      <c r="AC1487" s="26"/>
      <c r="AE1487" s="26"/>
      <c r="AF1487" s="26"/>
      <c r="AJ1487" s="25"/>
      <c r="AK1487" s="25"/>
      <c r="AL1487" s="25"/>
      <c r="AM1487" s="25"/>
      <c r="AN1487" s="25"/>
      <c r="AO1487" s="25"/>
      <c r="AP1487" s="25"/>
      <c r="AQ1487" s="25"/>
      <c r="AR1487" s="25"/>
      <c r="AS1487" s="25"/>
      <c r="AT1487" s="25"/>
      <c r="AU1487" s="25"/>
    </row>
    <row r="1488" spans="29:47">
      <c r="AC1488" s="26"/>
      <c r="AE1488" s="26"/>
      <c r="AF1488" s="26"/>
      <c r="AJ1488" s="25"/>
      <c r="AK1488" s="25"/>
      <c r="AL1488" s="25"/>
      <c r="AM1488" s="25"/>
      <c r="AN1488" s="25"/>
      <c r="AO1488" s="25"/>
      <c r="AP1488" s="25"/>
      <c r="AQ1488" s="25"/>
      <c r="AR1488" s="25"/>
      <c r="AS1488" s="25"/>
      <c r="AT1488" s="25"/>
      <c r="AU1488" s="25"/>
    </row>
    <row r="1489" spans="29:47">
      <c r="AC1489" s="26"/>
      <c r="AE1489" s="26"/>
      <c r="AF1489" s="26"/>
      <c r="AJ1489" s="25"/>
      <c r="AK1489" s="25"/>
      <c r="AL1489" s="25"/>
      <c r="AM1489" s="25"/>
      <c r="AN1489" s="25"/>
      <c r="AO1489" s="25"/>
      <c r="AP1489" s="25"/>
      <c r="AQ1489" s="25"/>
      <c r="AR1489" s="25"/>
      <c r="AS1489" s="25"/>
      <c r="AT1489" s="25"/>
      <c r="AU1489" s="25"/>
    </row>
    <row r="1490" spans="29:47">
      <c r="AC1490" s="26"/>
      <c r="AE1490" s="26"/>
      <c r="AF1490" s="26"/>
      <c r="AJ1490" s="25"/>
      <c r="AK1490" s="25"/>
      <c r="AL1490" s="25"/>
      <c r="AM1490" s="25"/>
      <c r="AN1490" s="25"/>
      <c r="AO1490" s="25"/>
      <c r="AP1490" s="25"/>
      <c r="AQ1490" s="25"/>
      <c r="AR1490" s="25"/>
      <c r="AS1490" s="25"/>
      <c r="AT1490" s="25"/>
      <c r="AU1490" s="25"/>
    </row>
    <row r="1491" spans="29:47">
      <c r="AC1491" s="26"/>
      <c r="AE1491" s="26"/>
      <c r="AF1491" s="26"/>
      <c r="AJ1491" s="25"/>
      <c r="AK1491" s="25"/>
      <c r="AL1491" s="25"/>
      <c r="AM1491" s="25"/>
      <c r="AN1491" s="25"/>
      <c r="AO1491" s="25"/>
      <c r="AP1491" s="25"/>
      <c r="AQ1491" s="25"/>
      <c r="AR1491" s="25"/>
      <c r="AS1491" s="25"/>
      <c r="AT1491" s="25"/>
      <c r="AU1491" s="25"/>
    </row>
    <row r="1492" spans="29:47">
      <c r="AC1492" s="26"/>
      <c r="AE1492" s="26"/>
      <c r="AF1492" s="26"/>
      <c r="AJ1492" s="25"/>
      <c r="AK1492" s="25"/>
      <c r="AL1492" s="25"/>
      <c r="AM1492" s="25"/>
      <c r="AN1492" s="25"/>
      <c r="AO1492" s="25"/>
      <c r="AP1492" s="25"/>
      <c r="AQ1492" s="25"/>
      <c r="AR1492" s="25"/>
      <c r="AS1492" s="25"/>
      <c r="AT1492" s="25"/>
      <c r="AU1492" s="25"/>
    </row>
    <row r="1493" spans="29:47">
      <c r="AC1493" s="26"/>
      <c r="AE1493" s="26"/>
      <c r="AF1493" s="26"/>
      <c r="AJ1493" s="25"/>
      <c r="AK1493" s="25"/>
      <c r="AL1493" s="25"/>
      <c r="AM1493" s="25"/>
      <c r="AN1493" s="25"/>
      <c r="AO1493" s="25"/>
      <c r="AP1493" s="25"/>
      <c r="AQ1493" s="25"/>
      <c r="AR1493" s="25"/>
      <c r="AS1493" s="25"/>
      <c r="AT1493" s="25"/>
      <c r="AU1493" s="25"/>
    </row>
    <row r="1494" spans="29:47">
      <c r="AC1494" s="26"/>
      <c r="AE1494" s="26"/>
      <c r="AF1494" s="26"/>
      <c r="AJ1494" s="25"/>
      <c r="AK1494" s="25"/>
      <c r="AL1494" s="25"/>
      <c r="AM1494" s="25"/>
      <c r="AN1494" s="25"/>
      <c r="AO1494" s="25"/>
      <c r="AP1494" s="25"/>
      <c r="AQ1494" s="25"/>
      <c r="AR1494" s="25"/>
      <c r="AS1494" s="25"/>
      <c r="AT1494" s="25"/>
      <c r="AU1494" s="25"/>
    </row>
    <row r="1495" spans="29:47">
      <c r="AC1495" s="26"/>
      <c r="AE1495" s="26"/>
      <c r="AF1495" s="26"/>
      <c r="AJ1495" s="25"/>
      <c r="AK1495" s="25"/>
      <c r="AL1495" s="25"/>
      <c r="AM1495" s="25"/>
      <c r="AN1495" s="25"/>
      <c r="AO1495" s="25"/>
      <c r="AP1495" s="25"/>
      <c r="AQ1495" s="25"/>
      <c r="AR1495" s="25"/>
      <c r="AS1495" s="25"/>
      <c r="AT1495" s="25"/>
      <c r="AU1495" s="25"/>
    </row>
    <row r="1496" spans="29:47">
      <c r="AC1496" s="26"/>
      <c r="AE1496" s="26"/>
      <c r="AF1496" s="26"/>
      <c r="AJ1496" s="25"/>
      <c r="AK1496" s="25"/>
      <c r="AL1496" s="25"/>
      <c r="AM1496" s="25"/>
      <c r="AN1496" s="25"/>
      <c r="AO1496" s="25"/>
      <c r="AP1496" s="25"/>
      <c r="AQ1496" s="25"/>
      <c r="AR1496" s="25"/>
      <c r="AS1496" s="25"/>
      <c r="AT1496" s="25"/>
      <c r="AU1496" s="25"/>
    </row>
    <row r="1497" spans="29:47">
      <c r="AC1497" s="26"/>
      <c r="AE1497" s="26"/>
      <c r="AF1497" s="26"/>
      <c r="AJ1497" s="25"/>
      <c r="AK1497" s="25"/>
      <c r="AL1497" s="25"/>
      <c r="AM1497" s="25"/>
      <c r="AN1497" s="25"/>
      <c r="AO1497" s="25"/>
      <c r="AP1497" s="25"/>
      <c r="AQ1497" s="25"/>
      <c r="AR1497" s="25"/>
      <c r="AS1497" s="25"/>
      <c r="AT1497" s="25"/>
      <c r="AU1497" s="25"/>
    </row>
    <row r="1498" spans="29:47">
      <c r="AC1498" s="26"/>
      <c r="AE1498" s="26"/>
      <c r="AF1498" s="26"/>
      <c r="AJ1498" s="25"/>
      <c r="AK1498" s="25"/>
      <c r="AL1498" s="25"/>
      <c r="AM1498" s="25"/>
      <c r="AN1498" s="25"/>
      <c r="AO1498" s="25"/>
      <c r="AP1498" s="25"/>
      <c r="AQ1498" s="25"/>
      <c r="AR1498" s="25"/>
      <c r="AS1498" s="25"/>
      <c r="AT1498" s="25"/>
      <c r="AU1498" s="25"/>
    </row>
    <row r="1499" spans="29:47">
      <c r="AC1499" s="26"/>
      <c r="AE1499" s="26"/>
      <c r="AF1499" s="26"/>
      <c r="AJ1499" s="25"/>
      <c r="AK1499" s="25"/>
      <c r="AL1499" s="25"/>
      <c r="AM1499" s="25"/>
      <c r="AN1499" s="25"/>
      <c r="AO1499" s="25"/>
      <c r="AP1499" s="25"/>
      <c r="AQ1499" s="25"/>
      <c r="AR1499" s="25"/>
      <c r="AS1499" s="25"/>
      <c r="AT1499" s="25"/>
      <c r="AU1499" s="25"/>
    </row>
    <row r="1500" spans="29:47">
      <c r="AC1500" s="26"/>
      <c r="AE1500" s="26"/>
      <c r="AF1500" s="26"/>
      <c r="AJ1500" s="25"/>
      <c r="AK1500" s="25"/>
      <c r="AL1500" s="25"/>
      <c r="AM1500" s="25"/>
      <c r="AN1500" s="25"/>
      <c r="AO1500" s="25"/>
      <c r="AP1500" s="25"/>
      <c r="AQ1500" s="25"/>
      <c r="AR1500" s="25"/>
      <c r="AS1500" s="25"/>
      <c r="AT1500" s="25"/>
      <c r="AU1500" s="25"/>
    </row>
    <row r="1501" spans="29:47">
      <c r="AC1501" s="26"/>
      <c r="AE1501" s="26"/>
      <c r="AF1501" s="26"/>
      <c r="AJ1501" s="25"/>
      <c r="AK1501" s="25"/>
      <c r="AL1501" s="25"/>
      <c r="AM1501" s="25"/>
      <c r="AN1501" s="25"/>
      <c r="AO1501" s="25"/>
      <c r="AP1501" s="25"/>
      <c r="AQ1501" s="25"/>
      <c r="AR1501" s="25"/>
      <c r="AS1501" s="25"/>
      <c r="AT1501" s="25"/>
      <c r="AU1501" s="25"/>
    </row>
    <row r="1502" spans="29:47">
      <c r="AC1502" s="26"/>
      <c r="AE1502" s="26"/>
      <c r="AF1502" s="26"/>
      <c r="AJ1502" s="25"/>
      <c r="AK1502" s="25"/>
      <c r="AL1502" s="25"/>
      <c r="AM1502" s="25"/>
      <c r="AN1502" s="25"/>
      <c r="AO1502" s="25"/>
      <c r="AP1502" s="25"/>
      <c r="AQ1502" s="25"/>
      <c r="AR1502" s="25"/>
      <c r="AS1502" s="25"/>
      <c r="AT1502" s="25"/>
      <c r="AU1502" s="25"/>
    </row>
    <row r="1503" spans="29:47">
      <c r="AC1503" s="26"/>
      <c r="AE1503" s="26"/>
      <c r="AF1503" s="26"/>
      <c r="AJ1503" s="25"/>
      <c r="AK1503" s="25"/>
      <c r="AL1503" s="25"/>
      <c r="AM1503" s="25"/>
      <c r="AN1503" s="25"/>
      <c r="AO1503" s="25"/>
      <c r="AP1503" s="25"/>
      <c r="AQ1503" s="25"/>
      <c r="AR1503" s="25"/>
      <c r="AS1503" s="25"/>
      <c r="AT1503" s="25"/>
      <c r="AU1503" s="25"/>
    </row>
    <row r="1504" spans="29:47">
      <c r="AC1504" s="26"/>
      <c r="AE1504" s="26"/>
      <c r="AF1504" s="26"/>
      <c r="AJ1504" s="25"/>
      <c r="AK1504" s="25"/>
      <c r="AL1504" s="25"/>
      <c r="AM1504" s="25"/>
      <c r="AN1504" s="25"/>
      <c r="AO1504" s="25"/>
      <c r="AP1504" s="25"/>
      <c r="AQ1504" s="25"/>
      <c r="AR1504" s="25"/>
      <c r="AS1504" s="25"/>
      <c r="AT1504" s="25"/>
      <c r="AU1504" s="25"/>
    </row>
    <row r="1505" spans="29:47">
      <c r="AC1505" s="26"/>
      <c r="AE1505" s="26"/>
      <c r="AF1505" s="26"/>
      <c r="AJ1505" s="25"/>
      <c r="AK1505" s="25"/>
      <c r="AL1505" s="25"/>
      <c r="AM1505" s="25"/>
      <c r="AN1505" s="25"/>
      <c r="AO1505" s="25"/>
      <c r="AP1505" s="25"/>
      <c r="AQ1505" s="25"/>
      <c r="AR1505" s="25"/>
      <c r="AS1505" s="25"/>
      <c r="AT1505" s="25"/>
      <c r="AU1505" s="25"/>
    </row>
    <row r="1506" spans="29:47">
      <c r="AC1506" s="26"/>
      <c r="AE1506" s="26"/>
      <c r="AF1506" s="26"/>
      <c r="AJ1506" s="25"/>
      <c r="AK1506" s="25"/>
      <c r="AL1506" s="25"/>
      <c r="AM1506" s="25"/>
      <c r="AN1506" s="25"/>
      <c r="AO1506" s="25"/>
      <c r="AP1506" s="25"/>
      <c r="AQ1506" s="25"/>
      <c r="AR1506" s="25"/>
      <c r="AS1506" s="25"/>
      <c r="AT1506" s="25"/>
      <c r="AU1506" s="25"/>
    </row>
    <row r="1507" spans="29:47">
      <c r="AC1507" s="26"/>
      <c r="AE1507" s="26"/>
      <c r="AF1507" s="26"/>
      <c r="AJ1507" s="25"/>
      <c r="AK1507" s="25"/>
      <c r="AL1507" s="25"/>
      <c r="AM1507" s="25"/>
      <c r="AN1507" s="25"/>
      <c r="AO1507" s="25"/>
      <c r="AP1507" s="25"/>
      <c r="AQ1507" s="25"/>
      <c r="AR1507" s="25"/>
      <c r="AS1507" s="25"/>
      <c r="AT1507" s="25"/>
      <c r="AU1507" s="25"/>
    </row>
    <row r="1508" spans="29:47">
      <c r="AC1508" s="26"/>
      <c r="AE1508" s="26"/>
      <c r="AF1508" s="26"/>
      <c r="AJ1508" s="25"/>
      <c r="AK1508" s="25"/>
      <c r="AL1508" s="25"/>
      <c r="AM1508" s="25"/>
      <c r="AN1508" s="25"/>
      <c r="AO1508" s="25"/>
      <c r="AP1508" s="25"/>
      <c r="AQ1508" s="25"/>
      <c r="AR1508" s="25"/>
      <c r="AS1508" s="25"/>
      <c r="AT1508" s="25"/>
      <c r="AU1508" s="25"/>
    </row>
    <row r="1509" spans="29:47">
      <c r="AC1509" s="26"/>
      <c r="AE1509" s="26"/>
      <c r="AF1509" s="26"/>
      <c r="AJ1509" s="25"/>
      <c r="AK1509" s="25"/>
      <c r="AL1509" s="25"/>
      <c r="AM1509" s="25"/>
      <c r="AN1509" s="25"/>
      <c r="AO1509" s="25"/>
      <c r="AP1509" s="25"/>
      <c r="AQ1509" s="25"/>
      <c r="AR1509" s="25"/>
      <c r="AS1509" s="25"/>
      <c r="AT1509" s="25"/>
      <c r="AU1509" s="25"/>
    </row>
    <row r="1510" spans="29:47">
      <c r="AC1510" s="26"/>
      <c r="AE1510" s="26"/>
      <c r="AF1510" s="26"/>
      <c r="AJ1510" s="25"/>
      <c r="AK1510" s="25"/>
      <c r="AL1510" s="25"/>
      <c r="AM1510" s="25"/>
      <c r="AN1510" s="25"/>
      <c r="AO1510" s="25"/>
      <c r="AP1510" s="25"/>
      <c r="AQ1510" s="25"/>
      <c r="AR1510" s="25"/>
      <c r="AS1510" s="25"/>
      <c r="AT1510" s="25"/>
      <c r="AU1510" s="25"/>
    </row>
    <row r="1511" spans="29:47">
      <c r="AC1511" s="26"/>
      <c r="AE1511" s="26"/>
      <c r="AF1511" s="26"/>
      <c r="AJ1511" s="25"/>
      <c r="AK1511" s="25"/>
      <c r="AL1511" s="25"/>
      <c r="AM1511" s="25"/>
      <c r="AN1511" s="25"/>
      <c r="AO1511" s="25"/>
      <c r="AP1511" s="25"/>
      <c r="AQ1511" s="25"/>
      <c r="AR1511" s="25"/>
      <c r="AS1511" s="25"/>
      <c r="AT1511" s="25"/>
      <c r="AU1511" s="25"/>
    </row>
    <row r="1512" spans="29:47">
      <c r="AC1512" s="26"/>
      <c r="AE1512" s="26"/>
      <c r="AF1512" s="26"/>
      <c r="AJ1512" s="25"/>
      <c r="AK1512" s="25"/>
      <c r="AL1512" s="25"/>
      <c r="AM1512" s="25"/>
      <c r="AN1512" s="25"/>
      <c r="AO1512" s="25"/>
      <c r="AP1512" s="25"/>
      <c r="AQ1512" s="25"/>
      <c r="AR1512" s="25"/>
      <c r="AS1512" s="25"/>
      <c r="AT1512" s="25"/>
      <c r="AU1512" s="25"/>
    </row>
    <row r="1513" spans="29:47">
      <c r="AC1513" s="26"/>
      <c r="AE1513" s="26"/>
      <c r="AF1513" s="26"/>
      <c r="AJ1513" s="25"/>
      <c r="AK1513" s="25"/>
      <c r="AL1513" s="25"/>
      <c r="AM1513" s="25"/>
      <c r="AN1513" s="25"/>
      <c r="AO1513" s="25"/>
      <c r="AP1513" s="25"/>
      <c r="AQ1513" s="25"/>
      <c r="AR1513" s="25"/>
      <c r="AS1513" s="25"/>
      <c r="AT1513" s="25"/>
      <c r="AU1513" s="25"/>
    </row>
    <row r="1514" spans="29:47">
      <c r="AC1514" s="26"/>
      <c r="AE1514" s="26"/>
      <c r="AF1514" s="26"/>
      <c r="AJ1514" s="25"/>
      <c r="AK1514" s="25"/>
      <c r="AL1514" s="25"/>
      <c r="AM1514" s="25"/>
      <c r="AN1514" s="25"/>
      <c r="AO1514" s="25"/>
      <c r="AP1514" s="25"/>
      <c r="AQ1514" s="25"/>
      <c r="AR1514" s="25"/>
      <c r="AS1514" s="25"/>
      <c r="AT1514" s="25"/>
      <c r="AU1514" s="25"/>
    </row>
    <row r="1515" spans="29:47">
      <c r="AC1515" s="26"/>
      <c r="AE1515" s="26"/>
      <c r="AF1515" s="26"/>
      <c r="AJ1515" s="25"/>
      <c r="AK1515" s="25"/>
      <c r="AL1515" s="25"/>
      <c r="AM1515" s="25"/>
      <c r="AN1515" s="25"/>
      <c r="AO1515" s="25"/>
      <c r="AP1515" s="25"/>
      <c r="AQ1515" s="25"/>
      <c r="AR1515" s="25"/>
      <c r="AS1515" s="25"/>
      <c r="AT1515" s="25"/>
      <c r="AU1515" s="25"/>
    </row>
    <row r="1516" spans="29:47">
      <c r="AC1516" s="26"/>
      <c r="AE1516" s="26"/>
      <c r="AF1516" s="26"/>
      <c r="AJ1516" s="25"/>
      <c r="AK1516" s="25"/>
      <c r="AL1516" s="25"/>
      <c r="AM1516" s="25"/>
      <c r="AN1516" s="25"/>
      <c r="AO1516" s="25"/>
      <c r="AP1516" s="25"/>
      <c r="AQ1516" s="25"/>
      <c r="AR1516" s="25"/>
      <c r="AS1516" s="25"/>
      <c r="AT1516" s="25"/>
      <c r="AU1516" s="25"/>
    </row>
    <row r="1517" spans="29:47">
      <c r="AC1517" s="26"/>
      <c r="AE1517" s="26"/>
      <c r="AF1517" s="26"/>
      <c r="AJ1517" s="25"/>
      <c r="AK1517" s="25"/>
      <c r="AL1517" s="25"/>
      <c r="AM1517" s="25"/>
      <c r="AN1517" s="25"/>
      <c r="AO1517" s="25"/>
      <c r="AP1517" s="25"/>
      <c r="AQ1517" s="25"/>
      <c r="AR1517" s="25"/>
      <c r="AS1517" s="25"/>
      <c r="AT1517" s="25"/>
      <c r="AU1517" s="25"/>
    </row>
    <row r="1518" spans="29:47">
      <c r="AC1518" s="26"/>
      <c r="AE1518" s="26"/>
      <c r="AF1518" s="26"/>
      <c r="AJ1518" s="25"/>
      <c r="AK1518" s="25"/>
      <c r="AL1518" s="25"/>
      <c r="AM1518" s="25"/>
      <c r="AN1518" s="25"/>
      <c r="AO1518" s="25"/>
      <c r="AP1518" s="25"/>
      <c r="AQ1518" s="25"/>
      <c r="AR1518" s="25"/>
      <c r="AS1518" s="25"/>
      <c r="AT1518" s="25"/>
      <c r="AU1518" s="25"/>
    </row>
    <row r="1519" spans="29:47">
      <c r="AC1519" s="26"/>
      <c r="AE1519" s="26"/>
      <c r="AF1519" s="26"/>
      <c r="AJ1519" s="25"/>
      <c r="AK1519" s="25"/>
      <c r="AL1519" s="25"/>
      <c r="AM1519" s="25"/>
      <c r="AN1519" s="25"/>
      <c r="AO1519" s="25"/>
      <c r="AP1519" s="25"/>
      <c r="AQ1519" s="25"/>
      <c r="AR1519" s="25"/>
      <c r="AS1519" s="25"/>
      <c r="AT1519" s="25"/>
      <c r="AU1519" s="25"/>
    </row>
    <row r="1520" spans="29:47">
      <c r="AC1520" s="26"/>
      <c r="AE1520" s="26"/>
      <c r="AF1520" s="26"/>
      <c r="AJ1520" s="25"/>
      <c r="AK1520" s="25"/>
      <c r="AL1520" s="25"/>
      <c r="AM1520" s="25"/>
      <c r="AN1520" s="25"/>
      <c r="AO1520" s="25"/>
      <c r="AP1520" s="25"/>
      <c r="AQ1520" s="25"/>
      <c r="AR1520" s="25"/>
      <c r="AS1520" s="25"/>
      <c r="AT1520" s="25"/>
      <c r="AU1520" s="25"/>
    </row>
    <row r="1521" spans="29:47">
      <c r="AC1521" s="26"/>
      <c r="AE1521" s="26"/>
      <c r="AF1521" s="26"/>
      <c r="AJ1521" s="25"/>
      <c r="AK1521" s="25"/>
      <c r="AL1521" s="25"/>
      <c r="AM1521" s="25"/>
      <c r="AN1521" s="25"/>
      <c r="AO1521" s="25"/>
      <c r="AP1521" s="25"/>
      <c r="AQ1521" s="25"/>
      <c r="AR1521" s="25"/>
      <c r="AS1521" s="25"/>
      <c r="AT1521" s="25"/>
      <c r="AU1521" s="25"/>
    </row>
    <row r="1522" spans="29:47">
      <c r="AC1522" s="26"/>
      <c r="AE1522" s="26"/>
      <c r="AF1522" s="26"/>
      <c r="AJ1522" s="25"/>
      <c r="AK1522" s="25"/>
      <c r="AL1522" s="25"/>
      <c r="AM1522" s="25"/>
      <c r="AN1522" s="25"/>
      <c r="AO1522" s="25"/>
      <c r="AP1522" s="25"/>
      <c r="AQ1522" s="25"/>
      <c r="AR1522" s="25"/>
      <c r="AS1522" s="25"/>
      <c r="AT1522" s="25"/>
      <c r="AU1522" s="25"/>
    </row>
    <row r="1523" spans="29:47">
      <c r="AC1523" s="26"/>
      <c r="AE1523" s="26"/>
      <c r="AF1523" s="26"/>
      <c r="AJ1523" s="25"/>
      <c r="AK1523" s="25"/>
      <c r="AL1523" s="25"/>
      <c r="AM1523" s="25"/>
      <c r="AN1523" s="25"/>
      <c r="AO1523" s="25"/>
      <c r="AP1523" s="25"/>
      <c r="AQ1523" s="25"/>
      <c r="AR1523" s="25"/>
      <c r="AS1523" s="25"/>
      <c r="AT1523" s="25"/>
      <c r="AU1523" s="25"/>
    </row>
    <row r="1524" spans="29:47">
      <c r="AC1524" s="26"/>
      <c r="AE1524" s="26"/>
      <c r="AF1524" s="26"/>
      <c r="AJ1524" s="25"/>
      <c r="AK1524" s="25"/>
      <c r="AL1524" s="25"/>
      <c r="AM1524" s="25"/>
      <c r="AN1524" s="25"/>
      <c r="AO1524" s="25"/>
      <c r="AP1524" s="25"/>
      <c r="AQ1524" s="25"/>
      <c r="AR1524" s="25"/>
      <c r="AS1524" s="25"/>
      <c r="AT1524" s="25"/>
      <c r="AU1524" s="25"/>
    </row>
    <row r="1525" spans="29:47">
      <c r="AC1525" s="26"/>
      <c r="AE1525" s="26"/>
      <c r="AF1525" s="26"/>
      <c r="AJ1525" s="25"/>
      <c r="AK1525" s="25"/>
      <c r="AL1525" s="25"/>
      <c r="AM1525" s="25"/>
      <c r="AN1525" s="25"/>
      <c r="AO1525" s="25"/>
      <c r="AP1525" s="25"/>
      <c r="AQ1525" s="25"/>
      <c r="AR1525" s="25"/>
      <c r="AS1525" s="25"/>
      <c r="AT1525" s="25"/>
      <c r="AU1525" s="25"/>
    </row>
    <row r="1526" spans="29:47">
      <c r="AC1526" s="26"/>
      <c r="AE1526" s="26"/>
      <c r="AF1526" s="26"/>
      <c r="AJ1526" s="25"/>
      <c r="AK1526" s="25"/>
      <c r="AL1526" s="25"/>
      <c r="AM1526" s="25"/>
      <c r="AN1526" s="25"/>
      <c r="AO1526" s="25"/>
      <c r="AP1526" s="25"/>
      <c r="AQ1526" s="25"/>
      <c r="AR1526" s="25"/>
      <c r="AS1526" s="25"/>
      <c r="AT1526" s="25"/>
      <c r="AU1526" s="25"/>
    </row>
    <row r="1527" spans="29:47">
      <c r="AC1527" s="26"/>
      <c r="AE1527" s="26"/>
      <c r="AF1527" s="26"/>
      <c r="AJ1527" s="25"/>
      <c r="AK1527" s="25"/>
      <c r="AL1527" s="25"/>
      <c r="AM1527" s="25"/>
      <c r="AN1527" s="25"/>
      <c r="AO1527" s="25"/>
      <c r="AP1527" s="25"/>
      <c r="AQ1527" s="25"/>
      <c r="AR1527" s="25"/>
      <c r="AS1527" s="25"/>
      <c r="AT1527" s="25"/>
      <c r="AU1527" s="25"/>
    </row>
    <row r="1528" spans="29:47">
      <c r="AC1528" s="26"/>
      <c r="AE1528" s="26"/>
      <c r="AF1528" s="26"/>
      <c r="AJ1528" s="25"/>
      <c r="AK1528" s="25"/>
      <c r="AL1528" s="25"/>
      <c r="AM1528" s="25"/>
      <c r="AN1528" s="25"/>
      <c r="AO1528" s="25"/>
      <c r="AP1528" s="25"/>
      <c r="AQ1528" s="25"/>
      <c r="AR1528" s="25"/>
      <c r="AS1528" s="25"/>
      <c r="AT1528" s="25"/>
      <c r="AU1528" s="25"/>
    </row>
    <row r="1529" spans="29:47">
      <c r="AC1529" s="26"/>
      <c r="AE1529" s="26"/>
      <c r="AF1529" s="26"/>
      <c r="AJ1529" s="25"/>
      <c r="AK1529" s="25"/>
      <c r="AL1529" s="25"/>
      <c r="AM1529" s="25"/>
      <c r="AN1529" s="25"/>
      <c r="AO1529" s="25"/>
      <c r="AP1529" s="25"/>
      <c r="AQ1529" s="25"/>
      <c r="AR1529" s="25"/>
      <c r="AS1529" s="25"/>
      <c r="AT1529" s="25"/>
      <c r="AU1529" s="25"/>
    </row>
    <row r="1530" spans="29:47">
      <c r="AC1530" s="26"/>
      <c r="AE1530" s="26"/>
      <c r="AF1530" s="26"/>
      <c r="AJ1530" s="25"/>
      <c r="AK1530" s="25"/>
      <c r="AL1530" s="25"/>
      <c r="AM1530" s="25"/>
      <c r="AN1530" s="25"/>
      <c r="AO1530" s="25"/>
      <c r="AP1530" s="25"/>
      <c r="AQ1530" s="25"/>
      <c r="AR1530" s="25"/>
      <c r="AS1530" s="25"/>
      <c r="AT1530" s="25"/>
      <c r="AU1530" s="25"/>
    </row>
    <row r="1531" spans="29:47">
      <c r="AC1531" s="26"/>
      <c r="AE1531" s="26"/>
      <c r="AF1531" s="26"/>
      <c r="AJ1531" s="25"/>
      <c r="AK1531" s="25"/>
      <c r="AL1531" s="25"/>
      <c r="AM1531" s="25"/>
      <c r="AN1531" s="25"/>
      <c r="AO1531" s="25"/>
      <c r="AP1531" s="25"/>
      <c r="AQ1531" s="25"/>
      <c r="AR1531" s="25"/>
      <c r="AS1531" s="25"/>
      <c r="AT1531" s="25"/>
      <c r="AU1531" s="25"/>
    </row>
    <row r="1532" spans="29:47">
      <c r="AC1532" s="26"/>
      <c r="AE1532" s="26"/>
      <c r="AF1532" s="26"/>
      <c r="AJ1532" s="25"/>
      <c r="AK1532" s="25"/>
      <c r="AL1532" s="25"/>
      <c r="AM1532" s="25"/>
      <c r="AN1532" s="25"/>
      <c r="AO1532" s="25"/>
      <c r="AP1532" s="25"/>
      <c r="AQ1532" s="25"/>
      <c r="AR1532" s="25"/>
      <c r="AS1532" s="25"/>
      <c r="AT1532" s="25"/>
      <c r="AU1532" s="25"/>
    </row>
    <row r="1533" spans="29:47">
      <c r="AC1533" s="26"/>
      <c r="AE1533" s="26"/>
      <c r="AF1533" s="26"/>
      <c r="AJ1533" s="25"/>
      <c r="AK1533" s="25"/>
      <c r="AL1533" s="25"/>
      <c r="AM1533" s="25"/>
      <c r="AN1533" s="25"/>
      <c r="AO1533" s="25"/>
      <c r="AP1533" s="25"/>
      <c r="AQ1533" s="25"/>
      <c r="AR1533" s="25"/>
      <c r="AS1533" s="25"/>
      <c r="AT1533" s="25"/>
      <c r="AU1533" s="25"/>
    </row>
    <row r="1534" spans="29:47">
      <c r="AC1534" s="26"/>
      <c r="AE1534" s="26"/>
      <c r="AF1534" s="26"/>
      <c r="AJ1534" s="25"/>
      <c r="AK1534" s="25"/>
      <c r="AL1534" s="25"/>
      <c r="AM1534" s="25"/>
      <c r="AN1534" s="25"/>
      <c r="AO1534" s="25"/>
      <c r="AP1534" s="25"/>
      <c r="AQ1534" s="25"/>
      <c r="AR1534" s="25"/>
      <c r="AS1534" s="25"/>
      <c r="AT1534" s="25"/>
      <c r="AU1534" s="25"/>
    </row>
    <row r="1535" spans="29:47">
      <c r="AC1535" s="26"/>
      <c r="AE1535" s="26"/>
      <c r="AF1535" s="26"/>
      <c r="AJ1535" s="25"/>
      <c r="AK1535" s="25"/>
      <c r="AL1535" s="25"/>
      <c r="AM1535" s="25"/>
      <c r="AN1535" s="25"/>
      <c r="AO1535" s="25"/>
      <c r="AP1535" s="25"/>
      <c r="AQ1535" s="25"/>
      <c r="AR1535" s="25"/>
      <c r="AS1535" s="25"/>
      <c r="AT1535" s="25"/>
      <c r="AU1535" s="25"/>
    </row>
    <row r="1536" spans="29:47">
      <c r="AC1536" s="26"/>
      <c r="AE1536" s="26"/>
      <c r="AF1536" s="26"/>
      <c r="AJ1536" s="25"/>
      <c r="AK1536" s="25"/>
      <c r="AL1536" s="25"/>
      <c r="AM1536" s="25"/>
      <c r="AN1536" s="25"/>
      <c r="AO1536" s="25"/>
      <c r="AP1536" s="25"/>
      <c r="AQ1536" s="25"/>
      <c r="AR1536" s="25"/>
      <c r="AS1536" s="25"/>
      <c r="AT1536" s="25"/>
      <c r="AU1536" s="25"/>
    </row>
    <row r="1537" spans="29:47">
      <c r="AC1537" s="26"/>
      <c r="AE1537" s="26"/>
      <c r="AF1537" s="26"/>
      <c r="AJ1537" s="25"/>
      <c r="AK1537" s="25"/>
      <c r="AL1537" s="25"/>
      <c r="AM1537" s="25"/>
      <c r="AN1537" s="25"/>
      <c r="AO1537" s="25"/>
      <c r="AP1537" s="25"/>
      <c r="AQ1537" s="25"/>
      <c r="AR1537" s="25"/>
      <c r="AS1537" s="25"/>
      <c r="AT1537" s="25"/>
      <c r="AU1537" s="25"/>
    </row>
    <row r="1538" spans="29:47">
      <c r="AC1538" s="26"/>
      <c r="AE1538" s="26"/>
      <c r="AF1538" s="26"/>
      <c r="AJ1538" s="25"/>
      <c r="AK1538" s="25"/>
      <c r="AL1538" s="25"/>
      <c r="AM1538" s="25"/>
      <c r="AN1538" s="25"/>
      <c r="AO1538" s="25"/>
      <c r="AP1538" s="25"/>
      <c r="AQ1538" s="25"/>
      <c r="AR1538" s="25"/>
      <c r="AS1538" s="25"/>
      <c r="AT1538" s="25"/>
      <c r="AU1538" s="25"/>
    </row>
    <row r="1539" spans="29:47">
      <c r="AC1539" s="26"/>
      <c r="AE1539" s="26"/>
      <c r="AF1539" s="26"/>
      <c r="AJ1539" s="25"/>
      <c r="AK1539" s="25"/>
      <c r="AL1539" s="25"/>
      <c r="AM1539" s="25"/>
      <c r="AN1539" s="25"/>
      <c r="AO1539" s="25"/>
      <c r="AP1539" s="25"/>
      <c r="AQ1539" s="25"/>
      <c r="AR1539" s="25"/>
      <c r="AS1539" s="25"/>
      <c r="AT1539" s="25"/>
      <c r="AU1539" s="25"/>
    </row>
    <row r="1540" spans="29:47">
      <c r="AC1540" s="26"/>
      <c r="AE1540" s="26"/>
      <c r="AF1540" s="26"/>
      <c r="AJ1540" s="25"/>
      <c r="AK1540" s="25"/>
      <c r="AL1540" s="25"/>
      <c r="AM1540" s="25"/>
      <c r="AN1540" s="25"/>
      <c r="AO1540" s="25"/>
      <c r="AP1540" s="25"/>
      <c r="AQ1540" s="25"/>
      <c r="AR1540" s="25"/>
      <c r="AS1540" s="25"/>
      <c r="AT1540" s="25"/>
      <c r="AU1540" s="25"/>
    </row>
    <row r="1541" spans="29:47">
      <c r="AC1541" s="26"/>
      <c r="AE1541" s="26"/>
      <c r="AF1541" s="26"/>
      <c r="AJ1541" s="25"/>
      <c r="AK1541" s="25"/>
      <c r="AL1541" s="25"/>
      <c r="AM1541" s="25"/>
      <c r="AN1541" s="25"/>
      <c r="AO1541" s="25"/>
      <c r="AP1541" s="25"/>
      <c r="AQ1541" s="25"/>
      <c r="AR1541" s="25"/>
      <c r="AS1541" s="25"/>
      <c r="AT1541" s="25"/>
      <c r="AU1541" s="25"/>
    </row>
    <row r="1542" spans="29:47">
      <c r="AC1542" s="26"/>
      <c r="AE1542" s="26"/>
      <c r="AF1542" s="26"/>
      <c r="AJ1542" s="25"/>
      <c r="AK1542" s="25"/>
      <c r="AL1542" s="25"/>
      <c r="AM1542" s="25"/>
      <c r="AN1542" s="25"/>
      <c r="AO1542" s="25"/>
      <c r="AP1542" s="25"/>
      <c r="AQ1542" s="25"/>
      <c r="AR1542" s="25"/>
      <c r="AS1542" s="25"/>
      <c r="AT1542" s="25"/>
      <c r="AU1542" s="25"/>
    </row>
    <row r="1543" spans="29:47">
      <c r="AC1543" s="26"/>
      <c r="AE1543" s="26"/>
      <c r="AF1543" s="26"/>
      <c r="AJ1543" s="25"/>
      <c r="AK1543" s="25"/>
      <c r="AL1543" s="25"/>
      <c r="AM1543" s="25"/>
      <c r="AN1543" s="25"/>
      <c r="AO1543" s="25"/>
      <c r="AP1543" s="25"/>
      <c r="AQ1543" s="25"/>
      <c r="AR1543" s="25"/>
      <c r="AS1543" s="25"/>
      <c r="AT1543" s="25"/>
      <c r="AU1543" s="25"/>
    </row>
    <row r="1544" spans="29:47">
      <c r="AC1544" s="26"/>
      <c r="AE1544" s="26"/>
      <c r="AF1544" s="26"/>
      <c r="AJ1544" s="25"/>
      <c r="AK1544" s="25"/>
      <c r="AL1544" s="25"/>
      <c r="AM1544" s="25"/>
      <c r="AN1544" s="25"/>
      <c r="AO1544" s="25"/>
      <c r="AP1544" s="25"/>
      <c r="AQ1544" s="25"/>
      <c r="AR1544" s="25"/>
      <c r="AS1544" s="25"/>
      <c r="AT1544" s="25"/>
      <c r="AU1544" s="25"/>
    </row>
    <row r="1545" spans="29:47">
      <c r="AC1545" s="26"/>
      <c r="AE1545" s="26"/>
      <c r="AF1545" s="26"/>
      <c r="AJ1545" s="25"/>
      <c r="AK1545" s="25"/>
      <c r="AL1545" s="25"/>
      <c r="AM1545" s="25"/>
      <c r="AN1545" s="25"/>
      <c r="AO1545" s="25"/>
      <c r="AP1545" s="25"/>
      <c r="AQ1545" s="25"/>
      <c r="AR1545" s="25"/>
      <c r="AS1545" s="25"/>
      <c r="AT1545" s="25"/>
      <c r="AU1545" s="25"/>
    </row>
    <row r="1546" spans="29:47">
      <c r="AC1546" s="26"/>
      <c r="AE1546" s="26"/>
      <c r="AF1546" s="26"/>
      <c r="AJ1546" s="25"/>
      <c r="AK1546" s="25"/>
      <c r="AL1546" s="25"/>
      <c r="AM1546" s="25"/>
      <c r="AN1546" s="25"/>
      <c r="AO1546" s="25"/>
      <c r="AP1546" s="25"/>
      <c r="AQ1546" s="25"/>
      <c r="AR1546" s="25"/>
      <c r="AS1546" s="25"/>
      <c r="AT1546" s="25"/>
      <c r="AU1546" s="25"/>
    </row>
    <row r="1547" spans="29:47">
      <c r="AC1547" s="26"/>
      <c r="AE1547" s="26"/>
      <c r="AF1547" s="26"/>
      <c r="AJ1547" s="25"/>
      <c r="AK1547" s="25"/>
      <c r="AL1547" s="25"/>
      <c r="AM1547" s="25"/>
      <c r="AN1547" s="25"/>
      <c r="AO1547" s="25"/>
      <c r="AP1547" s="25"/>
      <c r="AQ1547" s="25"/>
      <c r="AR1547" s="25"/>
      <c r="AS1547" s="25"/>
      <c r="AT1547" s="25"/>
      <c r="AU1547" s="25"/>
    </row>
    <row r="1548" spans="29:47">
      <c r="AC1548" s="26"/>
      <c r="AE1548" s="26"/>
      <c r="AF1548" s="26"/>
      <c r="AJ1548" s="25"/>
      <c r="AK1548" s="25"/>
      <c r="AL1548" s="25"/>
      <c r="AM1548" s="25"/>
      <c r="AN1548" s="25"/>
      <c r="AO1548" s="25"/>
      <c r="AP1548" s="25"/>
      <c r="AQ1548" s="25"/>
      <c r="AR1548" s="25"/>
      <c r="AS1548" s="25"/>
      <c r="AT1548" s="25"/>
      <c r="AU1548" s="25"/>
    </row>
    <row r="1549" spans="29:47">
      <c r="AC1549" s="26"/>
      <c r="AE1549" s="26"/>
      <c r="AF1549" s="26"/>
      <c r="AJ1549" s="25"/>
      <c r="AK1549" s="25"/>
      <c r="AL1549" s="25"/>
      <c r="AM1549" s="25"/>
      <c r="AN1549" s="25"/>
      <c r="AO1549" s="25"/>
      <c r="AP1549" s="25"/>
      <c r="AQ1549" s="25"/>
      <c r="AR1549" s="25"/>
      <c r="AS1549" s="25"/>
      <c r="AT1549" s="25"/>
      <c r="AU1549" s="25"/>
    </row>
    <row r="1550" spans="29:47">
      <c r="AC1550" s="26"/>
      <c r="AE1550" s="26"/>
      <c r="AF1550" s="26"/>
      <c r="AJ1550" s="25"/>
      <c r="AK1550" s="25"/>
      <c r="AL1550" s="25"/>
      <c r="AM1550" s="25"/>
      <c r="AN1550" s="25"/>
      <c r="AO1550" s="25"/>
      <c r="AP1550" s="25"/>
      <c r="AQ1550" s="25"/>
      <c r="AR1550" s="25"/>
      <c r="AS1550" s="25"/>
      <c r="AT1550" s="25"/>
      <c r="AU1550" s="25"/>
    </row>
    <row r="1551" spans="29:47">
      <c r="AC1551" s="26"/>
      <c r="AE1551" s="26"/>
      <c r="AF1551" s="26"/>
      <c r="AJ1551" s="25"/>
      <c r="AK1551" s="25"/>
      <c r="AL1551" s="25"/>
      <c r="AM1551" s="25"/>
      <c r="AN1551" s="25"/>
      <c r="AO1551" s="25"/>
      <c r="AP1551" s="25"/>
      <c r="AQ1551" s="25"/>
      <c r="AR1551" s="25"/>
      <c r="AS1551" s="25"/>
      <c r="AT1551" s="25"/>
      <c r="AU1551" s="25"/>
    </row>
    <row r="1552" spans="29:47">
      <c r="AC1552" s="26"/>
      <c r="AE1552" s="26"/>
      <c r="AF1552" s="26"/>
      <c r="AJ1552" s="25"/>
      <c r="AK1552" s="25"/>
      <c r="AL1552" s="25"/>
      <c r="AM1552" s="25"/>
      <c r="AN1552" s="25"/>
      <c r="AO1552" s="25"/>
      <c r="AP1552" s="25"/>
      <c r="AQ1552" s="25"/>
      <c r="AR1552" s="25"/>
      <c r="AS1552" s="25"/>
      <c r="AT1552" s="25"/>
      <c r="AU1552" s="25"/>
    </row>
    <row r="1553" spans="29:47">
      <c r="AC1553" s="26"/>
      <c r="AE1553" s="26"/>
      <c r="AF1553" s="26"/>
      <c r="AJ1553" s="25"/>
      <c r="AK1553" s="25"/>
      <c r="AL1553" s="25"/>
      <c r="AM1553" s="25"/>
      <c r="AN1553" s="25"/>
      <c r="AO1553" s="25"/>
      <c r="AP1553" s="25"/>
      <c r="AQ1553" s="25"/>
      <c r="AR1553" s="25"/>
      <c r="AS1553" s="25"/>
      <c r="AT1553" s="25"/>
      <c r="AU1553" s="25"/>
    </row>
    <row r="1554" spans="29:47">
      <c r="AC1554" s="26"/>
      <c r="AE1554" s="26"/>
      <c r="AF1554" s="26"/>
      <c r="AJ1554" s="25"/>
      <c r="AK1554" s="25"/>
      <c r="AL1554" s="25"/>
      <c r="AM1554" s="25"/>
      <c r="AN1554" s="25"/>
      <c r="AO1554" s="25"/>
      <c r="AP1554" s="25"/>
      <c r="AQ1554" s="25"/>
      <c r="AR1554" s="25"/>
      <c r="AS1554" s="25"/>
      <c r="AT1554" s="25"/>
      <c r="AU1554" s="25"/>
    </row>
    <row r="1555" spans="29:47">
      <c r="AC1555" s="26"/>
      <c r="AE1555" s="26"/>
      <c r="AF1555" s="26"/>
      <c r="AJ1555" s="25"/>
      <c r="AK1555" s="25"/>
      <c r="AL1555" s="25"/>
      <c r="AM1555" s="25"/>
      <c r="AN1555" s="25"/>
      <c r="AO1555" s="25"/>
      <c r="AP1555" s="25"/>
      <c r="AQ1555" s="25"/>
      <c r="AR1555" s="25"/>
      <c r="AS1555" s="25"/>
      <c r="AT1555" s="25"/>
      <c r="AU1555" s="25"/>
    </row>
    <row r="1556" spans="29:47">
      <c r="AC1556" s="26"/>
      <c r="AE1556" s="26"/>
      <c r="AF1556" s="26"/>
      <c r="AJ1556" s="25"/>
      <c r="AK1556" s="25"/>
      <c r="AL1556" s="25"/>
      <c r="AM1556" s="25"/>
      <c r="AN1556" s="25"/>
      <c r="AO1556" s="25"/>
      <c r="AP1556" s="25"/>
      <c r="AQ1556" s="25"/>
      <c r="AR1556" s="25"/>
      <c r="AS1556" s="25"/>
      <c r="AT1556" s="25"/>
      <c r="AU1556" s="25"/>
    </row>
    <row r="1557" spans="29:47">
      <c r="AC1557" s="26"/>
      <c r="AE1557" s="26"/>
      <c r="AF1557" s="26"/>
      <c r="AJ1557" s="25"/>
      <c r="AK1557" s="25"/>
      <c r="AL1557" s="25"/>
      <c r="AM1557" s="25"/>
      <c r="AN1557" s="25"/>
      <c r="AO1557" s="25"/>
      <c r="AP1557" s="25"/>
      <c r="AQ1557" s="25"/>
      <c r="AR1557" s="25"/>
      <c r="AS1557" s="25"/>
      <c r="AT1557" s="25"/>
      <c r="AU1557" s="25"/>
    </row>
    <row r="1558" spans="29:47">
      <c r="AC1558" s="26"/>
      <c r="AE1558" s="26"/>
      <c r="AF1558" s="26"/>
      <c r="AJ1558" s="25"/>
      <c r="AK1558" s="25"/>
      <c r="AL1558" s="25"/>
      <c r="AM1558" s="25"/>
      <c r="AN1558" s="25"/>
      <c r="AO1558" s="25"/>
      <c r="AP1558" s="25"/>
      <c r="AQ1558" s="25"/>
      <c r="AR1558" s="25"/>
      <c r="AS1558" s="25"/>
      <c r="AT1558" s="25"/>
      <c r="AU1558" s="25"/>
    </row>
    <row r="1559" spans="29:47">
      <c r="AC1559" s="26"/>
      <c r="AE1559" s="26"/>
      <c r="AF1559" s="26"/>
      <c r="AJ1559" s="25"/>
      <c r="AK1559" s="25"/>
      <c r="AL1559" s="25"/>
      <c r="AM1559" s="25"/>
      <c r="AN1559" s="25"/>
      <c r="AO1559" s="25"/>
      <c r="AP1559" s="25"/>
      <c r="AQ1559" s="25"/>
      <c r="AR1559" s="25"/>
      <c r="AS1559" s="25"/>
      <c r="AT1559" s="25"/>
      <c r="AU1559" s="25"/>
    </row>
    <row r="1560" spans="29:47">
      <c r="AC1560" s="26"/>
      <c r="AE1560" s="26"/>
      <c r="AF1560" s="26"/>
      <c r="AJ1560" s="25"/>
      <c r="AK1560" s="25"/>
      <c r="AL1560" s="25"/>
      <c r="AM1560" s="25"/>
      <c r="AN1560" s="25"/>
      <c r="AO1560" s="25"/>
      <c r="AP1560" s="25"/>
      <c r="AQ1560" s="25"/>
      <c r="AR1560" s="25"/>
      <c r="AS1560" s="25"/>
      <c r="AT1560" s="25"/>
      <c r="AU1560" s="25"/>
    </row>
    <row r="1561" spans="29:47">
      <c r="AC1561" s="26"/>
      <c r="AE1561" s="26"/>
      <c r="AF1561" s="26"/>
      <c r="AJ1561" s="25"/>
      <c r="AK1561" s="25"/>
      <c r="AL1561" s="25"/>
      <c r="AM1561" s="25"/>
      <c r="AN1561" s="25"/>
      <c r="AO1561" s="25"/>
      <c r="AP1561" s="25"/>
      <c r="AQ1561" s="25"/>
      <c r="AR1561" s="25"/>
      <c r="AS1561" s="25"/>
      <c r="AT1561" s="25"/>
      <c r="AU1561" s="25"/>
    </row>
    <row r="1562" spans="29:47">
      <c r="AC1562" s="26"/>
      <c r="AE1562" s="26"/>
      <c r="AF1562" s="26"/>
      <c r="AJ1562" s="25"/>
      <c r="AK1562" s="25"/>
      <c r="AL1562" s="25"/>
      <c r="AM1562" s="25"/>
      <c r="AN1562" s="25"/>
      <c r="AO1562" s="25"/>
      <c r="AP1562" s="25"/>
      <c r="AQ1562" s="25"/>
      <c r="AR1562" s="25"/>
      <c r="AS1562" s="25"/>
      <c r="AT1562" s="25"/>
      <c r="AU1562" s="25"/>
    </row>
    <row r="1563" spans="29:47">
      <c r="AC1563" s="26"/>
      <c r="AE1563" s="26"/>
      <c r="AF1563" s="26"/>
      <c r="AJ1563" s="25"/>
      <c r="AK1563" s="25"/>
      <c r="AL1563" s="25"/>
      <c r="AM1563" s="25"/>
      <c r="AN1563" s="25"/>
      <c r="AO1563" s="25"/>
      <c r="AP1563" s="25"/>
      <c r="AQ1563" s="25"/>
      <c r="AR1563" s="25"/>
      <c r="AS1563" s="25"/>
      <c r="AT1563" s="25"/>
      <c r="AU1563" s="25"/>
    </row>
    <row r="1564" spans="29:47">
      <c r="AC1564" s="26"/>
      <c r="AE1564" s="26"/>
      <c r="AF1564" s="26"/>
      <c r="AJ1564" s="25"/>
      <c r="AK1564" s="25"/>
      <c r="AL1564" s="25"/>
      <c r="AM1564" s="25"/>
      <c r="AN1564" s="25"/>
      <c r="AO1564" s="25"/>
      <c r="AP1564" s="25"/>
      <c r="AQ1564" s="25"/>
      <c r="AR1564" s="25"/>
      <c r="AS1564" s="25"/>
      <c r="AT1564" s="25"/>
      <c r="AU1564" s="25"/>
    </row>
    <row r="1565" spans="29:47">
      <c r="AC1565" s="26"/>
      <c r="AE1565" s="26"/>
      <c r="AF1565" s="26"/>
      <c r="AJ1565" s="25"/>
      <c r="AK1565" s="25"/>
      <c r="AL1565" s="25"/>
      <c r="AM1565" s="25"/>
      <c r="AN1565" s="25"/>
      <c r="AO1565" s="25"/>
      <c r="AP1565" s="25"/>
      <c r="AQ1565" s="25"/>
      <c r="AR1565" s="25"/>
      <c r="AS1565" s="25"/>
      <c r="AT1565" s="25"/>
      <c r="AU1565" s="25"/>
    </row>
    <row r="1566" spans="29:47">
      <c r="AC1566" s="26"/>
      <c r="AE1566" s="26"/>
      <c r="AF1566" s="26"/>
      <c r="AJ1566" s="25"/>
      <c r="AK1566" s="25"/>
      <c r="AL1566" s="25"/>
      <c r="AM1566" s="25"/>
      <c r="AN1566" s="25"/>
      <c r="AO1566" s="25"/>
      <c r="AP1566" s="25"/>
      <c r="AQ1566" s="25"/>
      <c r="AR1566" s="25"/>
      <c r="AS1566" s="25"/>
      <c r="AT1566" s="25"/>
      <c r="AU1566" s="25"/>
    </row>
    <row r="1567" spans="29:47">
      <c r="AC1567" s="26"/>
      <c r="AE1567" s="26"/>
      <c r="AF1567" s="26"/>
      <c r="AJ1567" s="25"/>
      <c r="AK1567" s="25"/>
      <c r="AL1567" s="25"/>
      <c r="AM1567" s="25"/>
      <c r="AN1567" s="25"/>
      <c r="AO1567" s="25"/>
      <c r="AP1567" s="25"/>
      <c r="AQ1567" s="25"/>
      <c r="AR1567" s="25"/>
      <c r="AS1567" s="25"/>
      <c r="AT1567" s="25"/>
      <c r="AU1567" s="25"/>
    </row>
    <row r="1568" spans="29:47">
      <c r="AC1568" s="26"/>
      <c r="AE1568" s="26"/>
      <c r="AF1568" s="26"/>
      <c r="AJ1568" s="25"/>
      <c r="AK1568" s="25"/>
      <c r="AL1568" s="25"/>
      <c r="AM1568" s="25"/>
      <c r="AN1568" s="25"/>
      <c r="AO1568" s="25"/>
      <c r="AP1568" s="25"/>
      <c r="AQ1568" s="25"/>
      <c r="AR1568" s="25"/>
      <c r="AS1568" s="25"/>
      <c r="AT1568" s="25"/>
      <c r="AU1568" s="25"/>
    </row>
    <row r="1569" spans="29:47">
      <c r="AC1569" s="26"/>
      <c r="AE1569" s="26"/>
      <c r="AF1569" s="26"/>
      <c r="AJ1569" s="25"/>
      <c r="AK1569" s="25"/>
      <c r="AL1569" s="25"/>
      <c r="AM1569" s="25"/>
      <c r="AN1569" s="25"/>
      <c r="AO1569" s="25"/>
      <c r="AP1569" s="25"/>
      <c r="AQ1569" s="25"/>
      <c r="AR1569" s="25"/>
      <c r="AS1569" s="25"/>
      <c r="AT1569" s="25"/>
      <c r="AU1569" s="25"/>
    </row>
    <row r="1570" spans="29:47">
      <c r="AC1570" s="26"/>
      <c r="AE1570" s="26"/>
      <c r="AF1570" s="26"/>
      <c r="AJ1570" s="25"/>
      <c r="AK1570" s="25"/>
      <c r="AL1570" s="25"/>
      <c r="AM1570" s="25"/>
      <c r="AN1570" s="25"/>
      <c r="AO1570" s="25"/>
      <c r="AP1570" s="25"/>
      <c r="AQ1570" s="25"/>
      <c r="AR1570" s="25"/>
      <c r="AS1570" s="25"/>
      <c r="AT1570" s="25"/>
      <c r="AU1570" s="25"/>
    </row>
    <row r="1571" spans="29:47">
      <c r="AC1571" s="26"/>
      <c r="AE1571" s="26"/>
      <c r="AF1571" s="26"/>
      <c r="AJ1571" s="25"/>
      <c r="AK1571" s="25"/>
      <c r="AL1571" s="25"/>
      <c r="AM1571" s="25"/>
      <c r="AN1571" s="25"/>
      <c r="AO1571" s="25"/>
      <c r="AP1571" s="25"/>
      <c r="AQ1571" s="25"/>
      <c r="AR1571" s="25"/>
      <c r="AS1571" s="25"/>
      <c r="AT1571" s="25"/>
      <c r="AU1571" s="25"/>
    </row>
    <row r="1572" spans="29:47">
      <c r="AC1572" s="26"/>
      <c r="AE1572" s="26"/>
      <c r="AF1572" s="26"/>
      <c r="AJ1572" s="25"/>
      <c r="AK1572" s="25"/>
      <c r="AL1572" s="25"/>
      <c r="AM1572" s="25"/>
      <c r="AN1572" s="25"/>
      <c r="AO1572" s="25"/>
      <c r="AP1572" s="25"/>
      <c r="AQ1572" s="25"/>
      <c r="AR1572" s="25"/>
      <c r="AS1572" s="25"/>
      <c r="AT1572" s="25"/>
      <c r="AU1572" s="25"/>
    </row>
    <row r="1573" spans="29:47">
      <c r="AC1573" s="26"/>
      <c r="AE1573" s="26"/>
      <c r="AF1573" s="26"/>
      <c r="AJ1573" s="25"/>
      <c r="AK1573" s="25"/>
      <c r="AL1573" s="25"/>
      <c r="AM1573" s="25"/>
      <c r="AN1573" s="25"/>
      <c r="AO1573" s="25"/>
      <c r="AP1573" s="25"/>
      <c r="AQ1573" s="25"/>
      <c r="AR1573" s="25"/>
      <c r="AS1573" s="25"/>
      <c r="AT1573" s="25"/>
      <c r="AU1573" s="25"/>
    </row>
    <row r="1574" spans="29:47">
      <c r="AC1574" s="26"/>
      <c r="AE1574" s="26"/>
      <c r="AF1574" s="26"/>
      <c r="AJ1574" s="25"/>
      <c r="AK1574" s="25"/>
      <c r="AL1574" s="25"/>
      <c r="AM1574" s="25"/>
      <c r="AN1574" s="25"/>
      <c r="AO1574" s="25"/>
      <c r="AP1574" s="25"/>
      <c r="AQ1574" s="25"/>
      <c r="AR1574" s="25"/>
      <c r="AS1574" s="25"/>
      <c r="AT1574" s="25"/>
      <c r="AU1574" s="25"/>
    </row>
    <row r="1575" spans="29:47">
      <c r="AC1575" s="26"/>
      <c r="AE1575" s="26"/>
      <c r="AF1575" s="26"/>
      <c r="AJ1575" s="25"/>
      <c r="AK1575" s="25"/>
      <c r="AL1575" s="25"/>
      <c r="AM1575" s="25"/>
      <c r="AN1575" s="25"/>
      <c r="AO1575" s="25"/>
      <c r="AP1575" s="25"/>
      <c r="AQ1575" s="25"/>
      <c r="AR1575" s="25"/>
      <c r="AS1575" s="25"/>
      <c r="AT1575" s="25"/>
      <c r="AU1575" s="25"/>
    </row>
    <row r="1576" spans="29:47">
      <c r="AC1576" s="26"/>
      <c r="AE1576" s="26"/>
      <c r="AF1576" s="26"/>
      <c r="AJ1576" s="25"/>
      <c r="AK1576" s="25"/>
      <c r="AL1576" s="25"/>
      <c r="AM1576" s="25"/>
      <c r="AN1576" s="25"/>
      <c r="AO1576" s="25"/>
      <c r="AP1576" s="25"/>
      <c r="AQ1576" s="25"/>
      <c r="AR1576" s="25"/>
      <c r="AS1576" s="25"/>
      <c r="AT1576" s="25"/>
      <c r="AU1576" s="25"/>
    </row>
    <row r="1577" spans="29:47">
      <c r="AC1577" s="26"/>
      <c r="AE1577" s="26"/>
      <c r="AF1577" s="26"/>
      <c r="AJ1577" s="25"/>
      <c r="AK1577" s="25"/>
      <c r="AL1577" s="25"/>
      <c r="AM1577" s="25"/>
      <c r="AN1577" s="25"/>
      <c r="AO1577" s="25"/>
      <c r="AP1577" s="25"/>
      <c r="AQ1577" s="25"/>
      <c r="AR1577" s="25"/>
      <c r="AS1577" s="25"/>
      <c r="AT1577" s="25"/>
      <c r="AU1577" s="25"/>
    </row>
    <row r="1578" spans="29:47">
      <c r="AC1578" s="26"/>
      <c r="AE1578" s="26"/>
      <c r="AF1578" s="26"/>
      <c r="AJ1578" s="25"/>
      <c r="AK1578" s="25"/>
      <c r="AL1578" s="25"/>
      <c r="AM1578" s="25"/>
      <c r="AN1578" s="25"/>
      <c r="AO1578" s="25"/>
      <c r="AP1578" s="25"/>
      <c r="AQ1578" s="25"/>
      <c r="AR1578" s="25"/>
      <c r="AS1578" s="25"/>
      <c r="AT1578" s="25"/>
      <c r="AU1578" s="25"/>
    </row>
    <row r="1579" spans="29:47">
      <c r="AC1579" s="26"/>
      <c r="AE1579" s="26"/>
      <c r="AF1579" s="26"/>
      <c r="AJ1579" s="25"/>
      <c r="AK1579" s="25"/>
      <c r="AL1579" s="25"/>
      <c r="AM1579" s="25"/>
      <c r="AN1579" s="25"/>
      <c r="AO1579" s="25"/>
      <c r="AP1579" s="25"/>
      <c r="AQ1579" s="25"/>
      <c r="AR1579" s="25"/>
      <c r="AS1579" s="25"/>
      <c r="AT1579" s="25"/>
      <c r="AU1579" s="25"/>
    </row>
    <row r="1580" spans="29:47">
      <c r="AC1580" s="26"/>
      <c r="AE1580" s="26"/>
      <c r="AF1580" s="26"/>
      <c r="AJ1580" s="25"/>
      <c r="AK1580" s="25"/>
      <c r="AL1580" s="25"/>
      <c r="AM1580" s="25"/>
      <c r="AN1580" s="25"/>
      <c r="AO1580" s="25"/>
      <c r="AP1580" s="25"/>
      <c r="AQ1580" s="25"/>
      <c r="AR1580" s="25"/>
      <c r="AS1580" s="25"/>
      <c r="AT1580" s="25"/>
      <c r="AU1580" s="25"/>
    </row>
    <row r="1581" spans="29:47">
      <c r="AC1581" s="26"/>
      <c r="AE1581" s="26"/>
      <c r="AF1581" s="26"/>
      <c r="AJ1581" s="25"/>
      <c r="AK1581" s="25"/>
      <c r="AL1581" s="25"/>
      <c r="AM1581" s="25"/>
      <c r="AN1581" s="25"/>
      <c r="AO1581" s="25"/>
      <c r="AP1581" s="25"/>
      <c r="AQ1581" s="25"/>
      <c r="AR1581" s="25"/>
      <c r="AS1581" s="25"/>
      <c r="AT1581" s="25"/>
      <c r="AU1581" s="25"/>
    </row>
    <row r="1582" spans="29:47">
      <c r="AC1582" s="26"/>
      <c r="AE1582" s="26"/>
      <c r="AF1582" s="26"/>
      <c r="AJ1582" s="25"/>
      <c r="AK1582" s="25"/>
      <c r="AL1582" s="25"/>
      <c r="AM1582" s="25"/>
      <c r="AN1582" s="25"/>
      <c r="AO1582" s="25"/>
      <c r="AP1582" s="25"/>
      <c r="AQ1582" s="25"/>
      <c r="AR1582" s="25"/>
      <c r="AS1582" s="25"/>
      <c r="AT1582" s="25"/>
      <c r="AU1582" s="25"/>
    </row>
    <row r="1583" spans="29:47">
      <c r="AC1583" s="26"/>
      <c r="AE1583" s="26"/>
      <c r="AF1583" s="26"/>
      <c r="AJ1583" s="25"/>
      <c r="AK1583" s="25"/>
      <c r="AL1583" s="25"/>
      <c r="AM1583" s="25"/>
      <c r="AN1583" s="25"/>
      <c r="AO1583" s="25"/>
      <c r="AP1583" s="25"/>
      <c r="AQ1583" s="25"/>
      <c r="AR1583" s="25"/>
      <c r="AS1583" s="25"/>
      <c r="AT1583" s="25"/>
      <c r="AU1583" s="25"/>
    </row>
    <row r="1584" spans="29:47">
      <c r="AC1584" s="26"/>
      <c r="AE1584" s="26"/>
      <c r="AF1584" s="26"/>
      <c r="AJ1584" s="25"/>
      <c r="AK1584" s="25"/>
      <c r="AL1584" s="25"/>
      <c r="AM1584" s="25"/>
      <c r="AN1584" s="25"/>
      <c r="AO1584" s="25"/>
      <c r="AP1584" s="25"/>
      <c r="AQ1584" s="25"/>
      <c r="AR1584" s="25"/>
      <c r="AS1584" s="25"/>
      <c r="AT1584" s="25"/>
      <c r="AU1584" s="25"/>
    </row>
    <row r="1585" spans="29:47">
      <c r="AC1585" s="26"/>
      <c r="AE1585" s="26"/>
      <c r="AF1585" s="26"/>
      <c r="AJ1585" s="25"/>
      <c r="AK1585" s="25"/>
      <c r="AL1585" s="25"/>
      <c r="AM1585" s="25"/>
      <c r="AN1585" s="25"/>
      <c r="AO1585" s="25"/>
      <c r="AP1585" s="25"/>
      <c r="AQ1585" s="25"/>
      <c r="AR1585" s="25"/>
      <c r="AS1585" s="25"/>
      <c r="AT1585" s="25"/>
      <c r="AU1585" s="25"/>
    </row>
    <row r="1586" spans="29:47">
      <c r="AC1586" s="26"/>
      <c r="AE1586" s="26"/>
      <c r="AF1586" s="26"/>
      <c r="AJ1586" s="25"/>
      <c r="AK1586" s="25"/>
      <c r="AL1586" s="25"/>
      <c r="AM1586" s="25"/>
      <c r="AN1586" s="25"/>
      <c r="AO1586" s="25"/>
      <c r="AP1586" s="25"/>
      <c r="AQ1586" s="25"/>
      <c r="AR1586" s="25"/>
      <c r="AS1586" s="25"/>
      <c r="AT1586" s="25"/>
      <c r="AU1586" s="25"/>
    </row>
    <row r="1587" spans="29:47">
      <c r="AC1587" s="26"/>
      <c r="AE1587" s="26"/>
      <c r="AF1587" s="26"/>
      <c r="AJ1587" s="25"/>
      <c r="AK1587" s="25"/>
      <c r="AL1587" s="25"/>
      <c r="AM1587" s="25"/>
      <c r="AN1587" s="25"/>
      <c r="AO1587" s="25"/>
      <c r="AP1587" s="25"/>
      <c r="AQ1587" s="25"/>
      <c r="AR1587" s="25"/>
      <c r="AS1587" s="25"/>
      <c r="AT1587" s="25"/>
      <c r="AU1587" s="25"/>
    </row>
    <row r="1588" spans="29:47">
      <c r="AC1588" s="26"/>
      <c r="AE1588" s="26"/>
      <c r="AF1588" s="26"/>
      <c r="AJ1588" s="25"/>
      <c r="AK1588" s="25"/>
      <c r="AL1588" s="25"/>
      <c r="AM1588" s="25"/>
      <c r="AN1588" s="25"/>
      <c r="AO1588" s="25"/>
      <c r="AP1588" s="25"/>
      <c r="AQ1588" s="25"/>
      <c r="AR1588" s="25"/>
      <c r="AS1588" s="25"/>
      <c r="AT1588" s="25"/>
      <c r="AU1588" s="25"/>
    </row>
    <row r="1589" spans="29:47">
      <c r="AC1589" s="26"/>
      <c r="AE1589" s="26"/>
      <c r="AF1589" s="26"/>
      <c r="AJ1589" s="25"/>
      <c r="AK1589" s="25"/>
      <c r="AL1589" s="25"/>
      <c r="AM1589" s="25"/>
      <c r="AN1589" s="25"/>
      <c r="AO1589" s="25"/>
      <c r="AP1589" s="25"/>
      <c r="AQ1589" s="25"/>
      <c r="AR1589" s="25"/>
      <c r="AS1589" s="25"/>
      <c r="AT1589" s="25"/>
      <c r="AU1589" s="25"/>
    </row>
    <row r="1590" spans="29:47">
      <c r="AC1590" s="26"/>
      <c r="AE1590" s="26"/>
      <c r="AF1590" s="26"/>
      <c r="AJ1590" s="25"/>
      <c r="AK1590" s="25"/>
      <c r="AL1590" s="25"/>
      <c r="AM1590" s="25"/>
      <c r="AN1590" s="25"/>
      <c r="AO1590" s="25"/>
      <c r="AP1590" s="25"/>
      <c r="AQ1590" s="25"/>
      <c r="AR1590" s="25"/>
      <c r="AS1590" s="25"/>
      <c r="AT1590" s="25"/>
      <c r="AU1590" s="25"/>
    </row>
    <row r="1591" spans="29:47">
      <c r="AC1591" s="26"/>
      <c r="AE1591" s="26"/>
      <c r="AF1591" s="26"/>
      <c r="AJ1591" s="25"/>
      <c r="AK1591" s="25"/>
      <c r="AL1591" s="25"/>
      <c r="AM1591" s="25"/>
      <c r="AN1591" s="25"/>
      <c r="AO1591" s="25"/>
      <c r="AP1591" s="25"/>
      <c r="AQ1591" s="25"/>
      <c r="AR1591" s="25"/>
      <c r="AS1591" s="25"/>
      <c r="AT1591" s="25"/>
      <c r="AU1591" s="25"/>
    </row>
    <row r="1592" spans="29:47">
      <c r="AC1592" s="26"/>
      <c r="AE1592" s="26"/>
      <c r="AF1592" s="26"/>
      <c r="AJ1592" s="25"/>
      <c r="AK1592" s="25"/>
      <c r="AL1592" s="25"/>
      <c r="AM1592" s="25"/>
      <c r="AN1592" s="25"/>
      <c r="AO1592" s="25"/>
      <c r="AP1592" s="25"/>
      <c r="AQ1592" s="25"/>
      <c r="AR1592" s="25"/>
      <c r="AS1592" s="25"/>
      <c r="AT1592" s="25"/>
      <c r="AU1592" s="25"/>
    </row>
    <row r="1593" spans="29:47">
      <c r="AC1593" s="26"/>
      <c r="AE1593" s="26"/>
      <c r="AF1593" s="26"/>
      <c r="AJ1593" s="25"/>
      <c r="AK1593" s="25"/>
      <c r="AL1593" s="25"/>
      <c r="AM1593" s="25"/>
      <c r="AN1593" s="25"/>
      <c r="AO1593" s="25"/>
      <c r="AP1593" s="25"/>
      <c r="AQ1593" s="25"/>
      <c r="AR1593" s="25"/>
      <c r="AS1593" s="25"/>
      <c r="AT1593" s="25"/>
      <c r="AU1593" s="25"/>
    </row>
    <row r="1594" spans="29:47">
      <c r="AC1594" s="26"/>
      <c r="AE1594" s="26"/>
      <c r="AF1594" s="26"/>
      <c r="AJ1594" s="25"/>
      <c r="AK1594" s="25"/>
      <c r="AL1594" s="25"/>
      <c r="AM1594" s="25"/>
      <c r="AN1594" s="25"/>
      <c r="AO1594" s="25"/>
      <c r="AP1594" s="25"/>
      <c r="AQ1594" s="25"/>
      <c r="AR1594" s="25"/>
      <c r="AS1594" s="25"/>
      <c r="AT1594" s="25"/>
      <c r="AU1594" s="25"/>
    </row>
    <row r="1595" spans="29:47">
      <c r="AC1595" s="26"/>
      <c r="AE1595" s="26"/>
      <c r="AF1595" s="26"/>
      <c r="AJ1595" s="25"/>
      <c r="AK1595" s="25"/>
      <c r="AL1595" s="25"/>
      <c r="AM1595" s="25"/>
      <c r="AN1595" s="25"/>
      <c r="AO1595" s="25"/>
      <c r="AP1595" s="25"/>
      <c r="AQ1595" s="25"/>
      <c r="AR1595" s="25"/>
      <c r="AS1595" s="25"/>
      <c r="AT1595" s="25"/>
      <c r="AU1595" s="25"/>
    </row>
    <row r="1596" spans="29:47">
      <c r="AC1596" s="26"/>
      <c r="AE1596" s="26"/>
      <c r="AF1596" s="26"/>
      <c r="AJ1596" s="25"/>
      <c r="AK1596" s="25"/>
      <c r="AL1596" s="25"/>
      <c r="AM1596" s="25"/>
      <c r="AN1596" s="25"/>
      <c r="AO1596" s="25"/>
      <c r="AP1596" s="25"/>
      <c r="AQ1596" s="25"/>
      <c r="AR1596" s="25"/>
      <c r="AS1596" s="25"/>
      <c r="AT1596" s="25"/>
      <c r="AU1596" s="25"/>
    </row>
    <row r="1597" spans="29:47">
      <c r="AC1597" s="26"/>
      <c r="AE1597" s="26"/>
      <c r="AF1597" s="26"/>
      <c r="AJ1597" s="25"/>
      <c r="AK1597" s="25"/>
      <c r="AL1597" s="25"/>
      <c r="AM1597" s="25"/>
      <c r="AN1597" s="25"/>
      <c r="AO1597" s="25"/>
      <c r="AP1597" s="25"/>
      <c r="AQ1597" s="25"/>
      <c r="AR1597" s="25"/>
      <c r="AS1597" s="25"/>
      <c r="AT1597" s="25"/>
      <c r="AU1597" s="25"/>
    </row>
    <row r="1598" spans="29:47">
      <c r="AC1598" s="26"/>
      <c r="AE1598" s="26"/>
      <c r="AF1598" s="26"/>
      <c r="AJ1598" s="25"/>
      <c r="AK1598" s="25"/>
      <c r="AL1598" s="25"/>
      <c r="AM1598" s="25"/>
      <c r="AN1598" s="25"/>
      <c r="AO1598" s="25"/>
      <c r="AP1598" s="25"/>
      <c r="AQ1598" s="25"/>
      <c r="AR1598" s="25"/>
      <c r="AS1598" s="25"/>
      <c r="AT1598" s="25"/>
      <c r="AU1598" s="25"/>
    </row>
    <row r="1599" spans="29:47">
      <c r="AC1599" s="26"/>
      <c r="AE1599" s="26"/>
      <c r="AF1599" s="26"/>
      <c r="AJ1599" s="25"/>
      <c r="AK1599" s="25"/>
      <c r="AL1599" s="25"/>
      <c r="AM1599" s="25"/>
      <c r="AN1599" s="25"/>
      <c r="AO1599" s="25"/>
      <c r="AP1599" s="25"/>
      <c r="AQ1599" s="25"/>
      <c r="AR1599" s="25"/>
      <c r="AS1599" s="25"/>
      <c r="AT1599" s="25"/>
      <c r="AU1599" s="25"/>
    </row>
    <row r="1600" spans="29:47">
      <c r="AC1600" s="26"/>
      <c r="AE1600" s="26"/>
      <c r="AF1600" s="26"/>
      <c r="AJ1600" s="25"/>
      <c r="AK1600" s="25"/>
      <c r="AL1600" s="25"/>
      <c r="AM1600" s="25"/>
      <c r="AN1600" s="25"/>
      <c r="AO1600" s="25"/>
      <c r="AP1600" s="25"/>
      <c r="AQ1600" s="25"/>
      <c r="AR1600" s="25"/>
      <c r="AS1600" s="25"/>
      <c r="AT1600" s="25"/>
      <c r="AU1600" s="25"/>
    </row>
    <row r="1601" spans="29:47">
      <c r="AC1601" s="26"/>
      <c r="AE1601" s="26"/>
      <c r="AF1601" s="26"/>
      <c r="AJ1601" s="25"/>
      <c r="AK1601" s="25"/>
      <c r="AL1601" s="25"/>
      <c r="AM1601" s="25"/>
      <c r="AN1601" s="25"/>
      <c r="AO1601" s="25"/>
      <c r="AP1601" s="25"/>
      <c r="AQ1601" s="25"/>
      <c r="AR1601" s="25"/>
      <c r="AS1601" s="25"/>
      <c r="AT1601" s="25"/>
      <c r="AU1601" s="25"/>
    </row>
    <row r="1602" spans="29:47">
      <c r="AC1602" s="26"/>
      <c r="AE1602" s="26"/>
      <c r="AF1602" s="26"/>
      <c r="AJ1602" s="25"/>
      <c r="AK1602" s="25"/>
      <c r="AL1602" s="25"/>
      <c r="AM1602" s="25"/>
      <c r="AN1602" s="25"/>
      <c r="AO1602" s="25"/>
      <c r="AP1602" s="25"/>
      <c r="AQ1602" s="25"/>
      <c r="AR1602" s="25"/>
      <c r="AS1602" s="25"/>
      <c r="AT1602" s="25"/>
      <c r="AU1602" s="25"/>
    </row>
    <row r="1603" spans="29:47">
      <c r="AC1603" s="26"/>
      <c r="AE1603" s="26"/>
      <c r="AF1603" s="26"/>
      <c r="AJ1603" s="25"/>
      <c r="AK1603" s="25"/>
      <c r="AL1603" s="25"/>
      <c r="AM1603" s="25"/>
      <c r="AN1603" s="25"/>
      <c r="AO1603" s="25"/>
      <c r="AP1603" s="25"/>
      <c r="AQ1603" s="25"/>
      <c r="AR1603" s="25"/>
      <c r="AS1603" s="25"/>
      <c r="AT1603" s="25"/>
      <c r="AU1603" s="25"/>
    </row>
    <row r="1604" spans="29:47">
      <c r="AC1604" s="26"/>
      <c r="AE1604" s="26"/>
      <c r="AF1604" s="26"/>
      <c r="AJ1604" s="25"/>
      <c r="AK1604" s="25"/>
      <c r="AL1604" s="25"/>
      <c r="AM1604" s="25"/>
      <c r="AN1604" s="25"/>
      <c r="AO1604" s="25"/>
      <c r="AP1604" s="25"/>
      <c r="AQ1604" s="25"/>
      <c r="AR1604" s="25"/>
      <c r="AS1604" s="25"/>
      <c r="AT1604" s="25"/>
      <c r="AU1604" s="25"/>
    </row>
    <row r="1605" spans="29:47">
      <c r="AC1605" s="26"/>
      <c r="AE1605" s="26"/>
      <c r="AF1605" s="26"/>
      <c r="AJ1605" s="25"/>
      <c r="AK1605" s="25"/>
      <c r="AL1605" s="25"/>
      <c r="AM1605" s="25"/>
      <c r="AN1605" s="25"/>
      <c r="AO1605" s="25"/>
      <c r="AP1605" s="25"/>
      <c r="AQ1605" s="25"/>
      <c r="AR1605" s="25"/>
      <c r="AS1605" s="25"/>
      <c r="AT1605" s="25"/>
      <c r="AU1605" s="25"/>
    </row>
    <row r="1606" spans="29:47">
      <c r="AC1606" s="26"/>
      <c r="AE1606" s="26"/>
      <c r="AF1606" s="26"/>
      <c r="AJ1606" s="25"/>
      <c r="AK1606" s="25"/>
      <c r="AL1606" s="25"/>
      <c r="AM1606" s="25"/>
      <c r="AN1606" s="25"/>
      <c r="AO1606" s="25"/>
      <c r="AP1606" s="25"/>
      <c r="AQ1606" s="25"/>
      <c r="AR1606" s="25"/>
      <c r="AS1606" s="25"/>
      <c r="AT1606" s="25"/>
      <c r="AU1606" s="25"/>
    </row>
    <row r="1607" spans="29:47">
      <c r="AC1607" s="26"/>
      <c r="AE1607" s="26"/>
      <c r="AF1607" s="26"/>
      <c r="AJ1607" s="25"/>
      <c r="AK1607" s="25"/>
      <c r="AL1607" s="25"/>
      <c r="AM1607" s="25"/>
      <c r="AN1607" s="25"/>
      <c r="AO1607" s="25"/>
      <c r="AP1607" s="25"/>
      <c r="AQ1607" s="25"/>
      <c r="AR1607" s="25"/>
      <c r="AS1607" s="25"/>
      <c r="AT1607" s="25"/>
      <c r="AU1607" s="25"/>
    </row>
    <row r="1608" spans="29:47">
      <c r="AC1608" s="26"/>
      <c r="AE1608" s="26"/>
      <c r="AF1608" s="26"/>
      <c r="AJ1608" s="25"/>
      <c r="AK1608" s="25"/>
      <c r="AL1608" s="25"/>
      <c r="AM1608" s="25"/>
      <c r="AN1608" s="25"/>
      <c r="AO1608" s="25"/>
      <c r="AP1608" s="25"/>
      <c r="AQ1608" s="25"/>
      <c r="AR1608" s="25"/>
      <c r="AS1608" s="25"/>
      <c r="AT1608" s="25"/>
      <c r="AU1608" s="25"/>
    </row>
    <row r="1609" spans="29:47">
      <c r="AC1609" s="26"/>
      <c r="AE1609" s="26"/>
      <c r="AF1609" s="26"/>
      <c r="AJ1609" s="25"/>
      <c r="AK1609" s="25"/>
      <c r="AL1609" s="25"/>
      <c r="AM1609" s="25"/>
      <c r="AN1609" s="25"/>
      <c r="AO1609" s="25"/>
      <c r="AP1609" s="25"/>
      <c r="AQ1609" s="25"/>
      <c r="AR1609" s="25"/>
      <c r="AS1609" s="25"/>
      <c r="AT1609" s="25"/>
      <c r="AU1609" s="25"/>
    </row>
    <row r="1610" spans="29:47">
      <c r="AC1610" s="26"/>
      <c r="AE1610" s="26"/>
      <c r="AF1610" s="26"/>
      <c r="AJ1610" s="25"/>
      <c r="AK1610" s="25"/>
      <c r="AL1610" s="25"/>
      <c r="AM1610" s="25"/>
      <c r="AN1610" s="25"/>
      <c r="AO1610" s="25"/>
      <c r="AP1610" s="25"/>
      <c r="AQ1610" s="25"/>
      <c r="AR1610" s="25"/>
      <c r="AS1610" s="25"/>
      <c r="AT1610" s="25"/>
      <c r="AU1610" s="25"/>
    </row>
    <row r="1611" spans="29:47">
      <c r="AC1611" s="26"/>
      <c r="AE1611" s="26"/>
      <c r="AF1611" s="26"/>
      <c r="AJ1611" s="25"/>
      <c r="AK1611" s="25"/>
      <c r="AL1611" s="25"/>
      <c r="AM1611" s="25"/>
      <c r="AN1611" s="25"/>
      <c r="AO1611" s="25"/>
      <c r="AP1611" s="25"/>
      <c r="AQ1611" s="25"/>
      <c r="AR1611" s="25"/>
      <c r="AS1611" s="25"/>
      <c r="AT1611" s="25"/>
      <c r="AU1611" s="25"/>
    </row>
    <row r="1612" spans="29:47">
      <c r="AC1612" s="26"/>
      <c r="AE1612" s="26"/>
      <c r="AF1612" s="26"/>
      <c r="AJ1612" s="25"/>
      <c r="AK1612" s="25"/>
      <c r="AL1612" s="25"/>
      <c r="AM1612" s="25"/>
      <c r="AN1612" s="25"/>
      <c r="AO1612" s="25"/>
      <c r="AP1612" s="25"/>
      <c r="AQ1612" s="25"/>
      <c r="AR1612" s="25"/>
      <c r="AS1612" s="25"/>
      <c r="AT1612" s="25"/>
      <c r="AU1612" s="25"/>
    </row>
    <row r="1613" spans="29:47">
      <c r="AC1613" s="26"/>
      <c r="AE1613" s="26"/>
      <c r="AF1613" s="26"/>
      <c r="AJ1613" s="25"/>
      <c r="AK1613" s="25"/>
      <c r="AL1613" s="25"/>
      <c r="AM1613" s="25"/>
      <c r="AN1613" s="25"/>
      <c r="AO1613" s="25"/>
      <c r="AP1613" s="25"/>
      <c r="AQ1613" s="25"/>
      <c r="AR1613" s="25"/>
      <c r="AS1613" s="25"/>
      <c r="AT1613" s="25"/>
      <c r="AU1613" s="25"/>
    </row>
    <row r="1614" spans="29:47">
      <c r="AC1614" s="26"/>
      <c r="AE1614" s="26"/>
      <c r="AF1614" s="26"/>
      <c r="AJ1614" s="25"/>
      <c r="AK1614" s="25"/>
      <c r="AL1614" s="25"/>
      <c r="AM1614" s="25"/>
      <c r="AN1614" s="25"/>
      <c r="AO1614" s="25"/>
      <c r="AP1614" s="25"/>
      <c r="AQ1614" s="25"/>
      <c r="AR1614" s="25"/>
      <c r="AS1614" s="25"/>
      <c r="AT1614" s="25"/>
      <c r="AU1614" s="25"/>
    </row>
    <row r="1615" spans="29:47">
      <c r="AC1615" s="26"/>
      <c r="AE1615" s="26"/>
      <c r="AF1615" s="26"/>
      <c r="AJ1615" s="25"/>
      <c r="AK1615" s="25"/>
      <c r="AL1615" s="25"/>
      <c r="AM1615" s="25"/>
      <c r="AN1615" s="25"/>
      <c r="AO1615" s="25"/>
      <c r="AP1615" s="25"/>
      <c r="AQ1615" s="25"/>
      <c r="AR1615" s="25"/>
      <c r="AS1615" s="25"/>
      <c r="AT1615" s="25"/>
      <c r="AU1615" s="25"/>
    </row>
    <row r="1616" spans="29:47">
      <c r="AC1616" s="26"/>
      <c r="AE1616" s="26"/>
      <c r="AF1616" s="26"/>
      <c r="AJ1616" s="25"/>
      <c r="AK1616" s="25"/>
      <c r="AL1616" s="25"/>
      <c r="AM1616" s="25"/>
      <c r="AN1616" s="25"/>
      <c r="AO1616" s="25"/>
      <c r="AP1616" s="25"/>
      <c r="AQ1616" s="25"/>
      <c r="AR1616" s="25"/>
      <c r="AS1616" s="25"/>
      <c r="AT1616" s="25"/>
      <c r="AU1616" s="25"/>
    </row>
    <row r="1617" spans="29:47">
      <c r="AC1617" s="26"/>
      <c r="AE1617" s="26"/>
      <c r="AF1617" s="26"/>
      <c r="AJ1617" s="25"/>
      <c r="AK1617" s="25"/>
      <c r="AL1617" s="25"/>
      <c r="AM1617" s="25"/>
      <c r="AN1617" s="25"/>
      <c r="AO1617" s="25"/>
      <c r="AP1617" s="25"/>
      <c r="AQ1617" s="25"/>
      <c r="AR1617" s="25"/>
      <c r="AS1617" s="25"/>
      <c r="AT1617" s="25"/>
      <c r="AU1617" s="25"/>
    </row>
    <row r="1618" spans="29:47">
      <c r="AC1618" s="26"/>
      <c r="AE1618" s="26"/>
      <c r="AF1618" s="26"/>
      <c r="AJ1618" s="25"/>
      <c r="AK1618" s="25"/>
      <c r="AL1618" s="25"/>
      <c r="AM1618" s="25"/>
      <c r="AN1618" s="25"/>
      <c r="AO1618" s="25"/>
      <c r="AP1618" s="25"/>
      <c r="AQ1618" s="25"/>
      <c r="AR1618" s="25"/>
      <c r="AS1618" s="25"/>
      <c r="AT1618" s="25"/>
      <c r="AU1618" s="25"/>
    </row>
    <row r="1619" spans="29:47">
      <c r="AC1619" s="26"/>
      <c r="AE1619" s="26"/>
      <c r="AF1619" s="26"/>
      <c r="AJ1619" s="25"/>
      <c r="AK1619" s="25"/>
      <c r="AL1619" s="25"/>
      <c r="AM1619" s="25"/>
      <c r="AN1619" s="25"/>
      <c r="AO1619" s="25"/>
      <c r="AP1619" s="25"/>
      <c r="AQ1619" s="25"/>
      <c r="AR1619" s="25"/>
      <c r="AS1619" s="25"/>
      <c r="AT1619" s="25"/>
      <c r="AU1619" s="25"/>
    </row>
    <row r="1620" spans="29:47">
      <c r="AC1620" s="26"/>
      <c r="AE1620" s="26"/>
      <c r="AF1620" s="26"/>
      <c r="AJ1620" s="25"/>
      <c r="AK1620" s="25"/>
      <c r="AL1620" s="25"/>
      <c r="AM1620" s="25"/>
      <c r="AN1620" s="25"/>
      <c r="AO1620" s="25"/>
      <c r="AP1620" s="25"/>
      <c r="AQ1620" s="25"/>
      <c r="AR1620" s="25"/>
      <c r="AS1620" s="25"/>
      <c r="AT1620" s="25"/>
      <c r="AU1620" s="25"/>
    </row>
    <row r="1621" spans="29:47">
      <c r="AC1621" s="26"/>
      <c r="AE1621" s="26"/>
      <c r="AF1621" s="26"/>
      <c r="AJ1621" s="25"/>
      <c r="AK1621" s="25"/>
      <c r="AL1621" s="25"/>
      <c r="AM1621" s="25"/>
      <c r="AN1621" s="25"/>
      <c r="AO1621" s="25"/>
      <c r="AP1621" s="25"/>
      <c r="AQ1621" s="25"/>
      <c r="AR1621" s="25"/>
      <c r="AS1621" s="25"/>
      <c r="AT1621" s="25"/>
      <c r="AU1621" s="25"/>
    </row>
    <row r="1622" spans="29:47">
      <c r="AC1622" s="26"/>
      <c r="AE1622" s="26"/>
      <c r="AF1622" s="26"/>
      <c r="AJ1622" s="25"/>
      <c r="AK1622" s="25"/>
      <c r="AL1622" s="25"/>
      <c r="AM1622" s="25"/>
      <c r="AN1622" s="25"/>
      <c r="AO1622" s="25"/>
      <c r="AP1622" s="25"/>
      <c r="AQ1622" s="25"/>
      <c r="AR1622" s="25"/>
      <c r="AS1622" s="25"/>
      <c r="AT1622" s="25"/>
      <c r="AU1622" s="25"/>
    </row>
    <row r="1623" spans="29:47">
      <c r="AC1623" s="26"/>
      <c r="AE1623" s="26"/>
      <c r="AF1623" s="26"/>
      <c r="AJ1623" s="25"/>
      <c r="AK1623" s="25"/>
      <c r="AL1623" s="25"/>
      <c r="AM1623" s="25"/>
      <c r="AN1623" s="25"/>
      <c r="AO1623" s="25"/>
      <c r="AP1623" s="25"/>
      <c r="AQ1623" s="25"/>
      <c r="AR1623" s="25"/>
      <c r="AS1623" s="25"/>
      <c r="AT1623" s="25"/>
      <c r="AU1623" s="25"/>
    </row>
    <row r="1624" spans="29:47">
      <c r="AC1624" s="26"/>
      <c r="AE1624" s="26"/>
      <c r="AF1624" s="26"/>
      <c r="AJ1624" s="25"/>
      <c r="AK1624" s="25"/>
      <c r="AL1624" s="25"/>
      <c r="AM1624" s="25"/>
      <c r="AN1624" s="25"/>
      <c r="AO1624" s="25"/>
      <c r="AP1624" s="25"/>
      <c r="AQ1624" s="25"/>
      <c r="AR1624" s="25"/>
      <c r="AS1624" s="25"/>
      <c r="AT1624" s="25"/>
      <c r="AU1624" s="25"/>
    </row>
    <row r="1625" spans="29:47">
      <c r="AC1625" s="26"/>
      <c r="AE1625" s="26"/>
      <c r="AF1625" s="26"/>
      <c r="AJ1625" s="25"/>
      <c r="AK1625" s="25"/>
      <c r="AL1625" s="25"/>
      <c r="AM1625" s="25"/>
      <c r="AN1625" s="25"/>
      <c r="AO1625" s="25"/>
      <c r="AP1625" s="25"/>
      <c r="AQ1625" s="25"/>
      <c r="AR1625" s="25"/>
      <c r="AS1625" s="25"/>
      <c r="AT1625" s="25"/>
      <c r="AU1625" s="25"/>
    </row>
    <row r="1626" spans="29:47">
      <c r="AC1626" s="26"/>
      <c r="AE1626" s="26"/>
      <c r="AF1626" s="26"/>
      <c r="AJ1626" s="25"/>
      <c r="AK1626" s="25"/>
      <c r="AL1626" s="25"/>
      <c r="AM1626" s="25"/>
      <c r="AN1626" s="25"/>
      <c r="AO1626" s="25"/>
      <c r="AP1626" s="25"/>
      <c r="AQ1626" s="25"/>
      <c r="AR1626" s="25"/>
      <c r="AS1626" s="25"/>
      <c r="AT1626" s="25"/>
      <c r="AU1626" s="25"/>
    </row>
    <row r="1627" spans="29:47">
      <c r="AC1627" s="26"/>
      <c r="AE1627" s="26"/>
      <c r="AF1627" s="26"/>
      <c r="AJ1627" s="25"/>
      <c r="AK1627" s="25"/>
      <c r="AL1627" s="25"/>
      <c r="AM1627" s="25"/>
      <c r="AN1627" s="25"/>
      <c r="AO1627" s="25"/>
      <c r="AP1627" s="25"/>
      <c r="AQ1627" s="25"/>
      <c r="AR1627" s="25"/>
      <c r="AS1627" s="25"/>
      <c r="AT1627" s="25"/>
      <c r="AU1627" s="25"/>
    </row>
    <row r="1628" spans="29:47">
      <c r="AC1628" s="26"/>
      <c r="AE1628" s="26"/>
      <c r="AF1628" s="26"/>
      <c r="AJ1628" s="25"/>
      <c r="AK1628" s="25"/>
      <c r="AL1628" s="25"/>
      <c r="AM1628" s="25"/>
      <c r="AN1628" s="25"/>
      <c r="AO1628" s="25"/>
      <c r="AP1628" s="25"/>
      <c r="AQ1628" s="25"/>
      <c r="AR1628" s="25"/>
      <c r="AS1628" s="25"/>
      <c r="AT1628" s="25"/>
      <c r="AU1628" s="25"/>
    </row>
    <row r="1629" spans="29:47">
      <c r="AC1629" s="26"/>
      <c r="AE1629" s="26"/>
      <c r="AF1629" s="26"/>
      <c r="AJ1629" s="25"/>
      <c r="AK1629" s="25"/>
      <c r="AL1629" s="25"/>
      <c r="AM1629" s="25"/>
      <c r="AN1629" s="25"/>
      <c r="AO1629" s="25"/>
      <c r="AP1629" s="25"/>
      <c r="AQ1629" s="25"/>
      <c r="AR1629" s="25"/>
      <c r="AS1629" s="25"/>
      <c r="AT1629" s="25"/>
      <c r="AU1629" s="25"/>
    </row>
    <row r="1630" spans="29:47">
      <c r="AC1630" s="26"/>
      <c r="AE1630" s="26"/>
      <c r="AF1630" s="26"/>
      <c r="AJ1630" s="25"/>
      <c r="AK1630" s="25"/>
      <c r="AL1630" s="25"/>
      <c r="AM1630" s="25"/>
      <c r="AN1630" s="25"/>
      <c r="AO1630" s="25"/>
      <c r="AP1630" s="25"/>
      <c r="AQ1630" s="25"/>
      <c r="AR1630" s="25"/>
      <c r="AS1630" s="25"/>
      <c r="AT1630" s="25"/>
      <c r="AU1630" s="25"/>
    </row>
    <row r="1631" spans="29:47">
      <c r="AC1631" s="26"/>
      <c r="AE1631" s="26"/>
      <c r="AF1631" s="26"/>
      <c r="AJ1631" s="25"/>
      <c r="AK1631" s="25"/>
      <c r="AL1631" s="25"/>
      <c r="AM1631" s="25"/>
      <c r="AN1631" s="25"/>
      <c r="AO1631" s="25"/>
      <c r="AP1631" s="25"/>
      <c r="AQ1631" s="25"/>
      <c r="AR1631" s="25"/>
      <c r="AS1631" s="25"/>
      <c r="AT1631" s="25"/>
      <c r="AU1631" s="25"/>
    </row>
    <row r="1632" spans="29:47">
      <c r="AC1632" s="26"/>
      <c r="AE1632" s="26"/>
      <c r="AF1632" s="26"/>
      <c r="AJ1632" s="25"/>
      <c r="AK1632" s="25"/>
      <c r="AL1632" s="25"/>
      <c r="AM1632" s="25"/>
      <c r="AN1632" s="25"/>
      <c r="AO1632" s="25"/>
      <c r="AP1632" s="25"/>
      <c r="AQ1632" s="25"/>
      <c r="AR1632" s="25"/>
      <c r="AS1632" s="25"/>
      <c r="AT1632" s="25"/>
      <c r="AU1632" s="25"/>
    </row>
    <row r="1633" spans="29:47">
      <c r="AC1633" s="26"/>
      <c r="AE1633" s="26"/>
      <c r="AF1633" s="26"/>
      <c r="AJ1633" s="25"/>
      <c r="AK1633" s="25"/>
      <c r="AL1633" s="25"/>
      <c r="AM1633" s="25"/>
      <c r="AN1633" s="25"/>
      <c r="AO1633" s="25"/>
      <c r="AP1633" s="25"/>
      <c r="AQ1633" s="25"/>
      <c r="AR1633" s="25"/>
      <c r="AS1633" s="25"/>
      <c r="AT1633" s="25"/>
      <c r="AU1633" s="25"/>
    </row>
    <row r="1634" spans="29:47">
      <c r="AC1634" s="26"/>
      <c r="AE1634" s="26"/>
      <c r="AF1634" s="26"/>
      <c r="AJ1634" s="25"/>
      <c r="AK1634" s="25"/>
      <c r="AL1634" s="25"/>
      <c r="AM1634" s="25"/>
      <c r="AN1634" s="25"/>
      <c r="AO1634" s="25"/>
      <c r="AP1634" s="25"/>
      <c r="AQ1634" s="25"/>
      <c r="AR1634" s="25"/>
      <c r="AS1634" s="25"/>
      <c r="AT1634" s="25"/>
      <c r="AU1634" s="25"/>
    </row>
    <row r="1635" spans="29:47">
      <c r="AC1635" s="26"/>
      <c r="AE1635" s="26"/>
      <c r="AF1635" s="26"/>
      <c r="AJ1635" s="25"/>
      <c r="AK1635" s="25"/>
      <c r="AL1635" s="25"/>
      <c r="AM1635" s="25"/>
      <c r="AN1635" s="25"/>
      <c r="AO1635" s="25"/>
      <c r="AP1635" s="25"/>
      <c r="AQ1635" s="25"/>
      <c r="AR1635" s="25"/>
      <c r="AS1635" s="25"/>
      <c r="AT1635" s="25"/>
      <c r="AU1635" s="25"/>
    </row>
    <row r="1636" spans="29:47">
      <c r="AC1636" s="26"/>
      <c r="AE1636" s="26"/>
      <c r="AF1636" s="26"/>
      <c r="AJ1636" s="25"/>
      <c r="AK1636" s="25"/>
      <c r="AL1636" s="25"/>
      <c r="AM1636" s="25"/>
      <c r="AN1636" s="25"/>
      <c r="AO1636" s="25"/>
      <c r="AP1636" s="25"/>
      <c r="AQ1636" s="25"/>
      <c r="AR1636" s="25"/>
      <c r="AS1636" s="25"/>
      <c r="AT1636" s="25"/>
      <c r="AU1636" s="25"/>
    </row>
    <row r="1637" spans="29:47">
      <c r="AC1637" s="26"/>
      <c r="AE1637" s="26"/>
      <c r="AF1637" s="26"/>
      <c r="AJ1637" s="25"/>
      <c r="AK1637" s="25"/>
      <c r="AL1637" s="25"/>
      <c r="AM1637" s="25"/>
      <c r="AN1637" s="25"/>
      <c r="AO1637" s="25"/>
      <c r="AP1637" s="25"/>
      <c r="AQ1637" s="25"/>
      <c r="AR1637" s="25"/>
      <c r="AS1637" s="25"/>
      <c r="AT1637" s="25"/>
      <c r="AU1637" s="25"/>
    </row>
    <row r="1638" spans="29:47">
      <c r="AC1638" s="26"/>
      <c r="AE1638" s="26"/>
      <c r="AF1638" s="26"/>
      <c r="AJ1638" s="25"/>
      <c r="AK1638" s="25"/>
      <c r="AL1638" s="25"/>
      <c r="AM1638" s="25"/>
      <c r="AN1638" s="25"/>
      <c r="AO1638" s="25"/>
      <c r="AP1638" s="25"/>
      <c r="AQ1638" s="25"/>
      <c r="AR1638" s="25"/>
      <c r="AS1638" s="25"/>
      <c r="AT1638" s="25"/>
      <c r="AU1638" s="25"/>
    </row>
    <row r="1639" spans="29:47">
      <c r="AC1639" s="26"/>
      <c r="AE1639" s="26"/>
      <c r="AF1639" s="26"/>
      <c r="AJ1639" s="25"/>
      <c r="AK1639" s="25"/>
      <c r="AL1639" s="25"/>
      <c r="AM1639" s="25"/>
      <c r="AN1639" s="25"/>
      <c r="AO1639" s="25"/>
      <c r="AP1639" s="25"/>
      <c r="AQ1639" s="25"/>
      <c r="AR1639" s="25"/>
      <c r="AS1639" s="25"/>
      <c r="AT1639" s="25"/>
      <c r="AU1639" s="25"/>
    </row>
    <row r="1640" spans="29:47">
      <c r="AC1640" s="26"/>
      <c r="AE1640" s="26"/>
      <c r="AF1640" s="26"/>
      <c r="AJ1640" s="25"/>
      <c r="AK1640" s="25"/>
      <c r="AL1640" s="25"/>
      <c r="AM1640" s="25"/>
      <c r="AN1640" s="25"/>
      <c r="AO1640" s="25"/>
      <c r="AP1640" s="25"/>
      <c r="AQ1640" s="25"/>
      <c r="AR1640" s="25"/>
      <c r="AS1640" s="25"/>
      <c r="AT1640" s="25"/>
      <c r="AU1640" s="25"/>
    </row>
    <row r="1641" spans="29:47">
      <c r="AC1641" s="26"/>
      <c r="AE1641" s="26"/>
      <c r="AF1641" s="26"/>
      <c r="AJ1641" s="25"/>
      <c r="AK1641" s="25"/>
      <c r="AL1641" s="25"/>
      <c r="AM1641" s="25"/>
      <c r="AN1641" s="25"/>
      <c r="AO1641" s="25"/>
      <c r="AP1641" s="25"/>
      <c r="AQ1641" s="25"/>
      <c r="AR1641" s="25"/>
      <c r="AS1641" s="25"/>
      <c r="AT1641" s="25"/>
      <c r="AU1641" s="25"/>
    </row>
    <row r="1642" spans="29:47">
      <c r="AC1642" s="26"/>
      <c r="AE1642" s="26"/>
      <c r="AF1642" s="26"/>
      <c r="AJ1642" s="25"/>
      <c r="AK1642" s="25"/>
      <c r="AL1642" s="25"/>
      <c r="AM1642" s="25"/>
      <c r="AN1642" s="25"/>
      <c r="AO1642" s="25"/>
      <c r="AP1642" s="25"/>
      <c r="AQ1642" s="25"/>
      <c r="AR1642" s="25"/>
      <c r="AS1642" s="25"/>
      <c r="AT1642" s="25"/>
      <c r="AU1642" s="25"/>
    </row>
    <row r="1643" spans="29:47">
      <c r="AC1643" s="26"/>
      <c r="AE1643" s="26"/>
      <c r="AF1643" s="26"/>
      <c r="AJ1643" s="25"/>
      <c r="AK1643" s="25"/>
      <c r="AL1643" s="25"/>
      <c r="AM1643" s="25"/>
      <c r="AN1643" s="25"/>
      <c r="AO1643" s="25"/>
      <c r="AP1643" s="25"/>
      <c r="AQ1643" s="25"/>
      <c r="AR1643" s="25"/>
      <c r="AS1643" s="25"/>
      <c r="AT1643" s="25"/>
      <c r="AU1643" s="25"/>
    </row>
    <row r="1644" spans="29:47">
      <c r="AC1644" s="26"/>
      <c r="AE1644" s="26"/>
      <c r="AF1644" s="26"/>
      <c r="AJ1644" s="25"/>
      <c r="AK1644" s="25"/>
      <c r="AL1644" s="25"/>
      <c r="AM1644" s="25"/>
      <c r="AN1644" s="25"/>
      <c r="AO1644" s="25"/>
      <c r="AP1644" s="25"/>
      <c r="AQ1644" s="25"/>
      <c r="AR1644" s="25"/>
      <c r="AS1644" s="25"/>
      <c r="AT1644" s="25"/>
      <c r="AU1644" s="25"/>
    </row>
    <row r="1645" spans="29:47">
      <c r="AC1645" s="26"/>
      <c r="AE1645" s="26"/>
      <c r="AF1645" s="26"/>
      <c r="AJ1645" s="25"/>
      <c r="AK1645" s="25"/>
      <c r="AL1645" s="25"/>
      <c r="AM1645" s="25"/>
      <c r="AN1645" s="25"/>
      <c r="AO1645" s="25"/>
      <c r="AP1645" s="25"/>
      <c r="AQ1645" s="25"/>
      <c r="AR1645" s="25"/>
      <c r="AS1645" s="25"/>
      <c r="AT1645" s="25"/>
      <c r="AU1645" s="25"/>
    </row>
    <row r="1646" spans="29:47">
      <c r="AC1646" s="26"/>
      <c r="AE1646" s="26"/>
      <c r="AF1646" s="26"/>
      <c r="AJ1646" s="25"/>
      <c r="AK1646" s="25"/>
      <c r="AL1646" s="25"/>
      <c r="AM1646" s="25"/>
      <c r="AN1646" s="25"/>
      <c r="AO1646" s="25"/>
      <c r="AP1646" s="25"/>
      <c r="AQ1646" s="25"/>
      <c r="AR1646" s="25"/>
      <c r="AS1646" s="25"/>
      <c r="AT1646" s="25"/>
      <c r="AU1646" s="25"/>
    </row>
    <row r="1647" spans="29:47">
      <c r="AC1647" s="26"/>
      <c r="AE1647" s="26"/>
      <c r="AF1647" s="26"/>
      <c r="AJ1647" s="25"/>
      <c r="AK1647" s="25"/>
      <c r="AL1647" s="25"/>
      <c r="AM1647" s="25"/>
      <c r="AN1647" s="25"/>
      <c r="AO1647" s="25"/>
      <c r="AP1647" s="25"/>
      <c r="AQ1647" s="25"/>
      <c r="AR1647" s="25"/>
      <c r="AS1647" s="25"/>
      <c r="AT1647" s="25"/>
      <c r="AU1647" s="25"/>
    </row>
    <row r="1648" spans="29:47">
      <c r="AC1648" s="26"/>
      <c r="AE1648" s="26"/>
      <c r="AF1648" s="26"/>
      <c r="AJ1648" s="25"/>
      <c r="AK1648" s="25"/>
      <c r="AL1648" s="25"/>
      <c r="AM1648" s="25"/>
      <c r="AN1648" s="25"/>
      <c r="AO1648" s="25"/>
      <c r="AP1648" s="25"/>
      <c r="AQ1648" s="25"/>
      <c r="AR1648" s="25"/>
      <c r="AS1648" s="25"/>
      <c r="AT1648" s="25"/>
      <c r="AU1648" s="25"/>
    </row>
    <row r="1649" spans="29:47">
      <c r="AC1649" s="26"/>
      <c r="AE1649" s="26"/>
      <c r="AF1649" s="26"/>
      <c r="AJ1649" s="25"/>
      <c r="AK1649" s="25"/>
      <c r="AL1649" s="25"/>
      <c r="AM1649" s="25"/>
      <c r="AN1649" s="25"/>
      <c r="AO1649" s="25"/>
      <c r="AP1649" s="25"/>
      <c r="AQ1649" s="25"/>
      <c r="AR1649" s="25"/>
      <c r="AS1649" s="25"/>
      <c r="AT1649" s="25"/>
      <c r="AU1649" s="25"/>
    </row>
    <row r="1650" spans="29:47">
      <c r="AC1650" s="26"/>
      <c r="AE1650" s="26"/>
      <c r="AF1650" s="26"/>
      <c r="AJ1650" s="25"/>
      <c r="AK1650" s="25"/>
      <c r="AL1650" s="25"/>
      <c r="AM1650" s="25"/>
      <c r="AN1650" s="25"/>
      <c r="AO1650" s="25"/>
      <c r="AP1650" s="25"/>
      <c r="AQ1650" s="25"/>
      <c r="AR1650" s="25"/>
      <c r="AS1650" s="25"/>
      <c r="AT1650" s="25"/>
      <c r="AU1650" s="25"/>
    </row>
    <row r="1651" spans="29:47">
      <c r="AC1651" s="26"/>
      <c r="AE1651" s="26"/>
      <c r="AF1651" s="26"/>
      <c r="AJ1651" s="25"/>
      <c r="AK1651" s="25"/>
      <c r="AL1651" s="25"/>
      <c r="AM1651" s="25"/>
      <c r="AN1651" s="25"/>
      <c r="AO1651" s="25"/>
      <c r="AP1651" s="25"/>
      <c r="AQ1651" s="25"/>
      <c r="AR1651" s="25"/>
      <c r="AS1651" s="25"/>
      <c r="AT1651" s="25"/>
      <c r="AU1651" s="25"/>
    </row>
    <row r="1652" spans="29:47">
      <c r="AC1652" s="26"/>
      <c r="AE1652" s="26"/>
      <c r="AF1652" s="26"/>
      <c r="AJ1652" s="25"/>
      <c r="AK1652" s="25"/>
      <c r="AL1652" s="25"/>
      <c r="AM1652" s="25"/>
      <c r="AN1652" s="25"/>
      <c r="AO1652" s="25"/>
      <c r="AP1652" s="25"/>
      <c r="AQ1652" s="25"/>
      <c r="AR1652" s="25"/>
      <c r="AS1652" s="25"/>
      <c r="AT1652" s="25"/>
      <c r="AU1652" s="25"/>
    </row>
    <row r="1653" spans="29:47">
      <c r="AC1653" s="26"/>
      <c r="AE1653" s="26"/>
      <c r="AF1653" s="26"/>
      <c r="AJ1653" s="25"/>
      <c r="AK1653" s="25"/>
      <c r="AL1653" s="25"/>
      <c r="AM1653" s="25"/>
      <c r="AN1653" s="25"/>
      <c r="AO1653" s="25"/>
      <c r="AP1653" s="25"/>
      <c r="AQ1653" s="25"/>
      <c r="AR1653" s="25"/>
      <c r="AS1653" s="25"/>
      <c r="AT1653" s="25"/>
      <c r="AU1653" s="25"/>
    </row>
    <row r="1654" spans="29:47">
      <c r="AC1654" s="26"/>
      <c r="AE1654" s="26"/>
      <c r="AF1654" s="26"/>
      <c r="AJ1654" s="25"/>
      <c r="AK1654" s="25"/>
      <c r="AL1654" s="25"/>
      <c r="AM1654" s="25"/>
      <c r="AN1654" s="25"/>
      <c r="AO1654" s="25"/>
      <c r="AP1654" s="25"/>
      <c r="AQ1654" s="25"/>
      <c r="AR1654" s="25"/>
      <c r="AS1654" s="25"/>
      <c r="AT1654" s="25"/>
      <c r="AU1654" s="25"/>
    </row>
    <row r="1655" spans="29:47">
      <c r="AC1655" s="26"/>
      <c r="AE1655" s="26"/>
      <c r="AF1655" s="26"/>
      <c r="AJ1655" s="25"/>
      <c r="AK1655" s="25"/>
      <c r="AL1655" s="25"/>
      <c r="AM1655" s="25"/>
      <c r="AN1655" s="25"/>
      <c r="AO1655" s="25"/>
      <c r="AP1655" s="25"/>
      <c r="AQ1655" s="25"/>
      <c r="AR1655" s="25"/>
      <c r="AS1655" s="25"/>
      <c r="AT1655" s="25"/>
      <c r="AU1655" s="25"/>
    </row>
    <row r="1656" spans="29:47">
      <c r="AC1656" s="26"/>
      <c r="AE1656" s="26"/>
      <c r="AF1656" s="26"/>
      <c r="AJ1656" s="25"/>
      <c r="AK1656" s="25"/>
      <c r="AL1656" s="25"/>
      <c r="AM1656" s="25"/>
      <c r="AN1656" s="25"/>
      <c r="AO1656" s="25"/>
      <c r="AP1656" s="25"/>
      <c r="AQ1656" s="25"/>
      <c r="AR1656" s="25"/>
      <c r="AS1656" s="25"/>
      <c r="AT1656" s="25"/>
      <c r="AU1656" s="25"/>
    </row>
    <row r="1657" spans="29:47">
      <c r="AC1657" s="26"/>
      <c r="AE1657" s="26"/>
      <c r="AF1657" s="26"/>
      <c r="AJ1657" s="25"/>
      <c r="AK1657" s="25"/>
      <c r="AL1657" s="25"/>
      <c r="AM1657" s="25"/>
      <c r="AN1657" s="25"/>
      <c r="AO1657" s="25"/>
      <c r="AP1657" s="25"/>
      <c r="AQ1657" s="25"/>
      <c r="AR1657" s="25"/>
      <c r="AS1657" s="25"/>
      <c r="AT1657" s="25"/>
      <c r="AU1657" s="25"/>
    </row>
    <row r="1658" spans="29:47">
      <c r="AC1658" s="26"/>
      <c r="AE1658" s="26"/>
      <c r="AF1658" s="26"/>
      <c r="AJ1658" s="25"/>
      <c r="AK1658" s="25"/>
      <c r="AL1658" s="25"/>
      <c r="AM1658" s="25"/>
      <c r="AN1658" s="25"/>
      <c r="AO1658" s="25"/>
      <c r="AP1658" s="25"/>
      <c r="AQ1658" s="25"/>
      <c r="AR1658" s="25"/>
      <c r="AS1658" s="25"/>
      <c r="AT1658" s="25"/>
      <c r="AU1658" s="25"/>
    </row>
    <row r="1659" spans="29:47">
      <c r="AC1659" s="26"/>
      <c r="AE1659" s="26"/>
      <c r="AF1659" s="26"/>
      <c r="AJ1659" s="25"/>
      <c r="AK1659" s="25"/>
      <c r="AL1659" s="25"/>
      <c r="AM1659" s="25"/>
      <c r="AN1659" s="25"/>
      <c r="AO1659" s="25"/>
      <c r="AP1659" s="25"/>
      <c r="AQ1659" s="25"/>
      <c r="AR1659" s="25"/>
      <c r="AS1659" s="25"/>
      <c r="AT1659" s="25"/>
      <c r="AU1659" s="25"/>
    </row>
    <row r="1660" spans="29:47">
      <c r="AC1660" s="26"/>
      <c r="AE1660" s="26"/>
      <c r="AF1660" s="26"/>
      <c r="AJ1660" s="25"/>
      <c r="AK1660" s="25"/>
      <c r="AL1660" s="25"/>
      <c r="AM1660" s="25"/>
      <c r="AN1660" s="25"/>
      <c r="AO1660" s="25"/>
      <c r="AP1660" s="25"/>
      <c r="AQ1660" s="25"/>
      <c r="AR1660" s="25"/>
      <c r="AS1660" s="25"/>
      <c r="AT1660" s="25"/>
      <c r="AU1660" s="25"/>
    </row>
    <row r="1661" spans="29:47">
      <c r="AC1661" s="26"/>
      <c r="AE1661" s="26"/>
      <c r="AF1661" s="26"/>
      <c r="AJ1661" s="25"/>
      <c r="AK1661" s="25"/>
      <c r="AL1661" s="25"/>
      <c r="AM1661" s="25"/>
      <c r="AN1661" s="25"/>
      <c r="AO1661" s="25"/>
      <c r="AP1661" s="25"/>
      <c r="AQ1661" s="25"/>
      <c r="AR1661" s="25"/>
      <c r="AS1661" s="25"/>
      <c r="AT1661" s="25"/>
      <c r="AU1661" s="25"/>
    </row>
    <row r="1662" spans="29:47">
      <c r="AC1662" s="26"/>
      <c r="AE1662" s="26"/>
      <c r="AF1662" s="26"/>
      <c r="AJ1662" s="25"/>
      <c r="AK1662" s="25"/>
      <c r="AL1662" s="25"/>
      <c r="AM1662" s="25"/>
      <c r="AN1662" s="25"/>
      <c r="AO1662" s="25"/>
      <c r="AP1662" s="25"/>
      <c r="AQ1662" s="25"/>
      <c r="AR1662" s="25"/>
      <c r="AS1662" s="25"/>
      <c r="AT1662" s="25"/>
      <c r="AU1662" s="25"/>
    </row>
    <row r="1663" spans="29:47">
      <c r="AC1663" s="26"/>
      <c r="AE1663" s="26"/>
      <c r="AF1663" s="26"/>
      <c r="AJ1663" s="25"/>
      <c r="AK1663" s="25"/>
      <c r="AL1663" s="25"/>
      <c r="AM1663" s="25"/>
      <c r="AN1663" s="25"/>
      <c r="AO1663" s="25"/>
      <c r="AP1663" s="25"/>
      <c r="AQ1663" s="25"/>
      <c r="AR1663" s="25"/>
      <c r="AS1663" s="25"/>
      <c r="AT1663" s="25"/>
      <c r="AU1663" s="25"/>
    </row>
    <row r="1664" spans="29:47">
      <c r="AC1664" s="26"/>
      <c r="AE1664" s="26"/>
      <c r="AF1664" s="26"/>
      <c r="AJ1664" s="25"/>
      <c r="AK1664" s="25"/>
      <c r="AL1664" s="25"/>
      <c r="AM1664" s="25"/>
      <c r="AN1664" s="25"/>
      <c r="AO1664" s="25"/>
      <c r="AP1664" s="25"/>
      <c r="AQ1664" s="25"/>
      <c r="AR1664" s="25"/>
      <c r="AS1664" s="25"/>
      <c r="AT1664" s="25"/>
      <c r="AU1664" s="25"/>
    </row>
    <row r="1665" spans="29:47">
      <c r="AC1665" s="26"/>
      <c r="AE1665" s="26"/>
      <c r="AF1665" s="26"/>
      <c r="AJ1665" s="25"/>
      <c r="AK1665" s="25"/>
      <c r="AL1665" s="25"/>
      <c r="AM1665" s="25"/>
      <c r="AN1665" s="25"/>
      <c r="AO1665" s="25"/>
      <c r="AP1665" s="25"/>
      <c r="AQ1665" s="25"/>
      <c r="AR1665" s="25"/>
      <c r="AS1665" s="25"/>
      <c r="AT1665" s="25"/>
      <c r="AU1665" s="25"/>
    </row>
    <row r="1666" spans="29:47">
      <c r="AC1666" s="26"/>
      <c r="AE1666" s="26"/>
      <c r="AF1666" s="26"/>
      <c r="AJ1666" s="25"/>
      <c r="AK1666" s="25"/>
      <c r="AL1666" s="25"/>
      <c r="AM1666" s="25"/>
      <c r="AN1666" s="25"/>
      <c r="AO1666" s="25"/>
      <c r="AP1666" s="25"/>
      <c r="AQ1666" s="25"/>
      <c r="AR1666" s="25"/>
      <c r="AS1666" s="25"/>
      <c r="AT1666" s="25"/>
      <c r="AU1666" s="25"/>
    </row>
    <row r="1667" spans="29:47">
      <c r="AC1667" s="26"/>
      <c r="AE1667" s="26"/>
      <c r="AF1667" s="26"/>
      <c r="AJ1667" s="25"/>
      <c r="AK1667" s="25"/>
      <c r="AL1667" s="25"/>
      <c r="AM1667" s="25"/>
      <c r="AN1667" s="25"/>
      <c r="AO1667" s="25"/>
      <c r="AP1667" s="25"/>
      <c r="AQ1667" s="25"/>
      <c r="AR1667" s="25"/>
      <c r="AS1667" s="25"/>
      <c r="AT1667" s="25"/>
      <c r="AU1667" s="25"/>
    </row>
    <row r="1668" spans="29:47">
      <c r="AC1668" s="26"/>
      <c r="AE1668" s="26"/>
      <c r="AF1668" s="26"/>
      <c r="AJ1668" s="25"/>
      <c r="AK1668" s="25"/>
      <c r="AL1668" s="25"/>
      <c r="AM1668" s="25"/>
      <c r="AN1668" s="25"/>
      <c r="AO1668" s="25"/>
      <c r="AP1668" s="25"/>
      <c r="AQ1668" s="25"/>
      <c r="AR1668" s="25"/>
      <c r="AS1668" s="25"/>
      <c r="AT1668" s="25"/>
      <c r="AU1668" s="25"/>
    </row>
    <row r="1669" spans="29:47">
      <c r="AC1669" s="26"/>
      <c r="AE1669" s="26"/>
      <c r="AF1669" s="26"/>
      <c r="AJ1669" s="25"/>
      <c r="AK1669" s="25"/>
      <c r="AL1669" s="25"/>
      <c r="AM1669" s="25"/>
      <c r="AN1669" s="25"/>
      <c r="AO1669" s="25"/>
      <c r="AP1669" s="25"/>
      <c r="AQ1669" s="25"/>
      <c r="AR1669" s="25"/>
      <c r="AS1669" s="25"/>
      <c r="AT1669" s="25"/>
      <c r="AU1669" s="25"/>
    </row>
    <row r="1670" spans="29:47">
      <c r="AC1670" s="26"/>
      <c r="AE1670" s="26"/>
      <c r="AF1670" s="26"/>
      <c r="AJ1670" s="25"/>
      <c r="AK1670" s="25"/>
      <c r="AL1670" s="25"/>
      <c r="AM1670" s="25"/>
      <c r="AN1670" s="25"/>
      <c r="AO1670" s="25"/>
      <c r="AP1670" s="25"/>
      <c r="AQ1670" s="25"/>
      <c r="AR1670" s="25"/>
      <c r="AS1670" s="25"/>
      <c r="AT1670" s="25"/>
      <c r="AU1670" s="25"/>
    </row>
    <row r="1671" spans="29:47">
      <c r="AC1671" s="26"/>
      <c r="AE1671" s="26"/>
      <c r="AF1671" s="26"/>
      <c r="AJ1671" s="25"/>
      <c r="AK1671" s="25"/>
      <c r="AL1671" s="25"/>
      <c r="AM1671" s="25"/>
      <c r="AN1671" s="25"/>
      <c r="AO1671" s="25"/>
      <c r="AP1671" s="25"/>
      <c r="AQ1671" s="25"/>
      <c r="AR1671" s="25"/>
      <c r="AS1671" s="25"/>
      <c r="AT1671" s="25"/>
      <c r="AU1671" s="25"/>
    </row>
    <row r="1672" spans="29:47">
      <c r="AC1672" s="26"/>
      <c r="AE1672" s="26"/>
      <c r="AF1672" s="26"/>
      <c r="AJ1672" s="25"/>
      <c r="AK1672" s="25"/>
      <c r="AL1672" s="25"/>
      <c r="AM1672" s="25"/>
      <c r="AN1672" s="25"/>
      <c r="AO1672" s="25"/>
      <c r="AP1672" s="25"/>
      <c r="AQ1672" s="25"/>
      <c r="AR1672" s="25"/>
      <c r="AS1672" s="25"/>
      <c r="AT1672" s="25"/>
      <c r="AU1672" s="25"/>
    </row>
    <row r="1673" spans="29:47">
      <c r="AC1673" s="26"/>
      <c r="AE1673" s="26"/>
      <c r="AF1673" s="26"/>
      <c r="AJ1673" s="25"/>
      <c r="AK1673" s="25"/>
      <c r="AL1673" s="25"/>
      <c r="AM1673" s="25"/>
      <c r="AN1673" s="25"/>
      <c r="AO1673" s="25"/>
      <c r="AP1673" s="25"/>
      <c r="AQ1673" s="25"/>
      <c r="AR1673" s="25"/>
      <c r="AS1673" s="25"/>
      <c r="AT1673" s="25"/>
      <c r="AU1673" s="25"/>
    </row>
    <row r="1674" spans="29:47">
      <c r="AC1674" s="26"/>
      <c r="AE1674" s="26"/>
      <c r="AF1674" s="26"/>
      <c r="AJ1674" s="25"/>
      <c r="AK1674" s="25"/>
      <c r="AL1674" s="25"/>
      <c r="AM1674" s="25"/>
      <c r="AN1674" s="25"/>
      <c r="AO1674" s="25"/>
      <c r="AP1674" s="25"/>
      <c r="AQ1674" s="25"/>
      <c r="AR1674" s="25"/>
      <c r="AS1674" s="25"/>
      <c r="AT1674" s="25"/>
      <c r="AU1674" s="25"/>
    </row>
    <row r="1675" spans="29:47">
      <c r="AC1675" s="26"/>
      <c r="AE1675" s="26"/>
      <c r="AF1675" s="26"/>
      <c r="AJ1675" s="25"/>
      <c r="AK1675" s="25"/>
      <c r="AL1675" s="25"/>
      <c r="AM1675" s="25"/>
      <c r="AN1675" s="25"/>
      <c r="AO1675" s="25"/>
      <c r="AP1675" s="25"/>
      <c r="AQ1675" s="25"/>
      <c r="AR1675" s="25"/>
      <c r="AS1675" s="25"/>
      <c r="AT1675" s="25"/>
      <c r="AU1675" s="25"/>
    </row>
    <row r="1676" spans="29:47">
      <c r="AC1676" s="26"/>
      <c r="AE1676" s="26"/>
      <c r="AF1676" s="26"/>
      <c r="AJ1676" s="25"/>
      <c r="AK1676" s="25"/>
      <c r="AL1676" s="25"/>
      <c r="AM1676" s="25"/>
      <c r="AN1676" s="25"/>
      <c r="AO1676" s="25"/>
      <c r="AP1676" s="25"/>
      <c r="AQ1676" s="25"/>
      <c r="AR1676" s="25"/>
      <c r="AS1676" s="25"/>
      <c r="AT1676" s="25"/>
      <c r="AU1676" s="25"/>
    </row>
    <row r="1677" spans="29:47">
      <c r="AC1677" s="26"/>
      <c r="AE1677" s="26"/>
      <c r="AF1677" s="26"/>
      <c r="AJ1677" s="25"/>
      <c r="AK1677" s="25"/>
      <c r="AL1677" s="25"/>
      <c r="AM1677" s="25"/>
      <c r="AN1677" s="25"/>
      <c r="AO1677" s="25"/>
      <c r="AP1677" s="25"/>
      <c r="AQ1677" s="25"/>
      <c r="AR1677" s="25"/>
      <c r="AS1677" s="25"/>
      <c r="AT1677" s="25"/>
      <c r="AU1677" s="25"/>
    </row>
    <row r="1678" spans="29:47">
      <c r="AC1678" s="26"/>
      <c r="AE1678" s="26"/>
      <c r="AF1678" s="26"/>
      <c r="AJ1678" s="25"/>
      <c r="AK1678" s="25"/>
      <c r="AL1678" s="25"/>
      <c r="AM1678" s="25"/>
      <c r="AN1678" s="25"/>
      <c r="AO1678" s="25"/>
      <c r="AP1678" s="25"/>
      <c r="AQ1678" s="25"/>
      <c r="AR1678" s="25"/>
      <c r="AS1678" s="25"/>
      <c r="AT1678" s="25"/>
      <c r="AU1678" s="25"/>
    </row>
    <row r="1679" spans="29:47">
      <c r="AC1679" s="26"/>
      <c r="AE1679" s="26"/>
      <c r="AF1679" s="26"/>
      <c r="AJ1679" s="25"/>
      <c r="AK1679" s="25"/>
      <c r="AL1679" s="25"/>
      <c r="AM1679" s="25"/>
      <c r="AN1679" s="25"/>
      <c r="AO1679" s="25"/>
      <c r="AP1679" s="25"/>
      <c r="AQ1679" s="25"/>
      <c r="AR1679" s="25"/>
      <c r="AS1679" s="25"/>
      <c r="AT1679" s="25"/>
      <c r="AU1679" s="25"/>
    </row>
    <row r="1680" spans="29:47">
      <c r="AC1680" s="26"/>
      <c r="AE1680" s="26"/>
      <c r="AF1680" s="26"/>
      <c r="AJ1680" s="25"/>
      <c r="AK1680" s="25"/>
      <c r="AL1680" s="25"/>
      <c r="AM1680" s="25"/>
      <c r="AN1680" s="25"/>
      <c r="AO1680" s="25"/>
      <c r="AP1680" s="25"/>
      <c r="AQ1680" s="25"/>
      <c r="AR1680" s="25"/>
      <c r="AS1680" s="25"/>
      <c r="AT1680" s="25"/>
      <c r="AU1680" s="25"/>
    </row>
    <row r="1681" spans="29:47">
      <c r="AC1681" s="26"/>
      <c r="AE1681" s="26"/>
      <c r="AF1681" s="26"/>
      <c r="AJ1681" s="25"/>
      <c r="AK1681" s="25"/>
      <c r="AL1681" s="25"/>
      <c r="AM1681" s="25"/>
      <c r="AN1681" s="25"/>
      <c r="AO1681" s="25"/>
      <c r="AP1681" s="25"/>
      <c r="AQ1681" s="25"/>
      <c r="AR1681" s="25"/>
      <c r="AS1681" s="25"/>
      <c r="AT1681" s="25"/>
      <c r="AU1681" s="25"/>
    </row>
    <row r="1682" spans="29:47">
      <c r="AC1682" s="26"/>
      <c r="AE1682" s="26"/>
      <c r="AF1682" s="26"/>
      <c r="AJ1682" s="25"/>
      <c r="AK1682" s="25"/>
      <c r="AL1682" s="25"/>
      <c r="AM1682" s="25"/>
      <c r="AN1682" s="25"/>
      <c r="AO1682" s="25"/>
      <c r="AP1682" s="25"/>
      <c r="AQ1682" s="25"/>
      <c r="AR1682" s="25"/>
      <c r="AS1682" s="25"/>
      <c r="AT1682" s="25"/>
      <c r="AU1682" s="25"/>
    </row>
    <row r="1683" spans="29:47">
      <c r="AC1683" s="26"/>
      <c r="AE1683" s="26"/>
      <c r="AF1683" s="26"/>
      <c r="AJ1683" s="25"/>
      <c r="AK1683" s="25"/>
      <c r="AL1683" s="25"/>
      <c r="AM1683" s="25"/>
      <c r="AN1683" s="25"/>
      <c r="AO1683" s="25"/>
      <c r="AP1683" s="25"/>
      <c r="AQ1683" s="25"/>
      <c r="AR1683" s="25"/>
      <c r="AS1683" s="25"/>
      <c r="AT1683" s="25"/>
      <c r="AU1683" s="25"/>
    </row>
    <row r="1684" spans="29:47">
      <c r="AC1684" s="26"/>
      <c r="AE1684" s="26"/>
      <c r="AF1684" s="26"/>
      <c r="AJ1684" s="25"/>
      <c r="AK1684" s="25"/>
      <c r="AL1684" s="25"/>
      <c r="AM1684" s="25"/>
      <c r="AN1684" s="25"/>
      <c r="AO1684" s="25"/>
      <c r="AP1684" s="25"/>
      <c r="AQ1684" s="25"/>
      <c r="AR1684" s="25"/>
      <c r="AS1684" s="25"/>
      <c r="AT1684" s="25"/>
      <c r="AU1684" s="25"/>
    </row>
    <row r="1685" spans="29:47">
      <c r="AC1685" s="26"/>
      <c r="AE1685" s="26"/>
      <c r="AF1685" s="26"/>
      <c r="AJ1685" s="25"/>
      <c r="AK1685" s="25"/>
      <c r="AL1685" s="25"/>
      <c r="AM1685" s="25"/>
      <c r="AN1685" s="25"/>
      <c r="AO1685" s="25"/>
      <c r="AP1685" s="25"/>
      <c r="AQ1685" s="25"/>
      <c r="AR1685" s="25"/>
      <c r="AS1685" s="25"/>
      <c r="AT1685" s="25"/>
      <c r="AU1685" s="25"/>
    </row>
    <row r="1686" spans="29:47">
      <c r="AC1686" s="26"/>
      <c r="AE1686" s="26"/>
      <c r="AF1686" s="26"/>
      <c r="AJ1686" s="25"/>
      <c r="AK1686" s="25"/>
      <c r="AL1686" s="25"/>
      <c r="AM1686" s="25"/>
      <c r="AN1686" s="25"/>
      <c r="AO1686" s="25"/>
      <c r="AP1686" s="25"/>
      <c r="AQ1686" s="25"/>
      <c r="AR1686" s="25"/>
      <c r="AS1686" s="25"/>
      <c r="AT1686" s="25"/>
      <c r="AU1686" s="25"/>
    </row>
    <row r="1687" spans="29:47">
      <c r="AC1687" s="26"/>
      <c r="AE1687" s="26"/>
      <c r="AF1687" s="26"/>
      <c r="AJ1687" s="25"/>
      <c r="AK1687" s="25"/>
      <c r="AL1687" s="25"/>
      <c r="AM1687" s="25"/>
      <c r="AN1687" s="25"/>
      <c r="AO1687" s="25"/>
      <c r="AP1687" s="25"/>
      <c r="AQ1687" s="25"/>
      <c r="AR1687" s="25"/>
      <c r="AS1687" s="25"/>
      <c r="AT1687" s="25"/>
      <c r="AU1687" s="25"/>
    </row>
    <row r="1688" spans="29:47">
      <c r="AC1688" s="26"/>
      <c r="AE1688" s="26"/>
      <c r="AF1688" s="26"/>
      <c r="AJ1688" s="25"/>
      <c r="AK1688" s="25"/>
      <c r="AL1688" s="25"/>
      <c r="AM1688" s="25"/>
      <c r="AN1688" s="25"/>
      <c r="AO1688" s="25"/>
      <c r="AP1688" s="25"/>
      <c r="AQ1688" s="25"/>
      <c r="AR1688" s="25"/>
      <c r="AS1688" s="25"/>
      <c r="AT1688" s="25"/>
      <c r="AU1688" s="25"/>
    </row>
    <row r="1689" spans="29:47">
      <c r="AC1689" s="26"/>
      <c r="AE1689" s="26"/>
      <c r="AF1689" s="26"/>
      <c r="AJ1689" s="25"/>
      <c r="AK1689" s="25"/>
      <c r="AL1689" s="25"/>
      <c r="AM1689" s="25"/>
      <c r="AN1689" s="25"/>
      <c r="AO1689" s="25"/>
      <c r="AP1689" s="25"/>
      <c r="AQ1689" s="25"/>
      <c r="AR1689" s="25"/>
      <c r="AS1689" s="25"/>
      <c r="AT1689" s="25"/>
      <c r="AU1689" s="25"/>
    </row>
    <row r="1690" spans="29:47">
      <c r="AC1690" s="26"/>
      <c r="AE1690" s="26"/>
      <c r="AF1690" s="26"/>
      <c r="AJ1690" s="25"/>
      <c r="AK1690" s="25"/>
      <c r="AL1690" s="25"/>
      <c r="AM1690" s="25"/>
      <c r="AN1690" s="25"/>
      <c r="AO1690" s="25"/>
      <c r="AP1690" s="25"/>
      <c r="AQ1690" s="25"/>
      <c r="AR1690" s="25"/>
      <c r="AS1690" s="25"/>
      <c r="AT1690" s="25"/>
      <c r="AU1690" s="25"/>
    </row>
    <row r="1691" spans="29:47">
      <c r="AC1691" s="26"/>
      <c r="AE1691" s="26"/>
      <c r="AF1691" s="26"/>
      <c r="AJ1691" s="25"/>
      <c r="AK1691" s="25"/>
      <c r="AL1691" s="25"/>
      <c r="AM1691" s="25"/>
      <c r="AN1691" s="25"/>
      <c r="AO1691" s="25"/>
      <c r="AP1691" s="25"/>
      <c r="AQ1691" s="25"/>
      <c r="AR1691" s="25"/>
      <c r="AS1691" s="25"/>
      <c r="AT1691" s="25"/>
      <c r="AU1691" s="25"/>
    </row>
    <row r="1692" spans="29:47">
      <c r="AC1692" s="26"/>
      <c r="AE1692" s="26"/>
      <c r="AF1692" s="26"/>
      <c r="AJ1692" s="25"/>
      <c r="AK1692" s="25"/>
      <c r="AL1692" s="25"/>
      <c r="AM1692" s="25"/>
      <c r="AN1692" s="25"/>
      <c r="AO1692" s="25"/>
      <c r="AP1692" s="25"/>
      <c r="AQ1692" s="25"/>
      <c r="AR1692" s="25"/>
      <c r="AS1692" s="25"/>
      <c r="AT1692" s="25"/>
      <c r="AU1692" s="25"/>
    </row>
    <row r="1693" spans="29:47">
      <c r="AC1693" s="26"/>
      <c r="AE1693" s="26"/>
      <c r="AF1693" s="26"/>
      <c r="AJ1693" s="25"/>
      <c r="AK1693" s="25"/>
      <c r="AL1693" s="25"/>
      <c r="AM1693" s="25"/>
      <c r="AN1693" s="25"/>
      <c r="AO1693" s="25"/>
      <c r="AP1693" s="25"/>
      <c r="AQ1693" s="25"/>
      <c r="AR1693" s="25"/>
      <c r="AS1693" s="25"/>
      <c r="AT1693" s="25"/>
      <c r="AU1693" s="25"/>
    </row>
    <row r="1694" spans="29:47">
      <c r="AC1694" s="26"/>
      <c r="AE1694" s="26"/>
      <c r="AF1694" s="26"/>
      <c r="AJ1694" s="25"/>
      <c r="AK1694" s="25"/>
      <c r="AL1694" s="25"/>
      <c r="AM1694" s="25"/>
      <c r="AN1694" s="25"/>
      <c r="AO1694" s="25"/>
      <c r="AP1694" s="25"/>
      <c r="AQ1694" s="25"/>
      <c r="AR1694" s="25"/>
      <c r="AS1694" s="25"/>
      <c r="AT1694" s="25"/>
      <c r="AU1694" s="25"/>
    </row>
    <row r="1695" spans="29:47">
      <c r="AC1695" s="26"/>
      <c r="AE1695" s="26"/>
      <c r="AF1695" s="26"/>
      <c r="AJ1695" s="25"/>
      <c r="AK1695" s="25"/>
      <c r="AL1695" s="25"/>
      <c r="AM1695" s="25"/>
      <c r="AN1695" s="25"/>
      <c r="AO1695" s="25"/>
      <c r="AP1695" s="25"/>
      <c r="AQ1695" s="25"/>
      <c r="AR1695" s="25"/>
      <c r="AS1695" s="25"/>
      <c r="AT1695" s="25"/>
      <c r="AU1695" s="25"/>
    </row>
    <row r="1696" spans="29:47">
      <c r="AC1696" s="26"/>
      <c r="AE1696" s="26"/>
      <c r="AF1696" s="26"/>
      <c r="AJ1696" s="25"/>
      <c r="AK1696" s="25"/>
      <c r="AL1696" s="25"/>
      <c r="AM1696" s="25"/>
      <c r="AN1696" s="25"/>
      <c r="AO1696" s="25"/>
      <c r="AP1696" s="25"/>
      <c r="AQ1696" s="25"/>
      <c r="AR1696" s="25"/>
      <c r="AS1696" s="25"/>
      <c r="AT1696" s="25"/>
      <c r="AU1696" s="25"/>
    </row>
    <row r="1697" spans="29:47">
      <c r="AC1697" s="26"/>
      <c r="AE1697" s="26"/>
      <c r="AF1697" s="26"/>
      <c r="AJ1697" s="25"/>
      <c r="AK1697" s="25"/>
      <c r="AL1697" s="25"/>
      <c r="AM1697" s="25"/>
      <c r="AN1697" s="25"/>
      <c r="AO1697" s="25"/>
      <c r="AP1697" s="25"/>
      <c r="AQ1697" s="25"/>
      <c r="AR1697" s="25"/>
      <c r="AS1697" s="25"/>
      <c r="AT1697" s="25"/>
      <c r="AU1697" s="25"/>
    </row>
    <row r="1698" spans="29:47">
      <c r="AC1698" s="26"/>
      <c r="AE1698" s="26"/>
      <c r="AF1698" s="26"/>
      <c r="AJ1698" s="25"/>
      <c r="AK1698" s="25"/>
      <c r="AL1698" s="25"/>
      <c r="AM1698" s="25"/>
      <c r="AN1698" s="25"/>
      <c r="AO1698" s="25"/>
      <c r="AP1698" s="25"/>
      <c r="AQ1698" s="25"/>
      <c r="AR1698" s="25"/>
      <c r="AS1698" s="25"/>
      <c r="AT1698" s="25"/>
      <c r="AU1698" s="25"/>
    </row>
    <row r="1699" spans="29:47">
      <c r="AC1699" s="26"/>
      <c r="AE1699" s="26"/>
      <c r="AF1699" s="26"/>
      <c r="AJ1699" s="25"/>
      <c r="AK1699" s="25"/>
      <c r="AL1699" s="25"/>
      <c r="AM1699" s="25"/>
      <c r="AN1699" s="25"/>
      <c r="AO1699" s="25"/>
      <c r="AP1699" s="25"/>
      <c r="AQ1699" s="25"/>
      <c r="AR1699" s="25"/>
      <c r="AS1699" s="25"/>
      <c r="AT1699" s="25"/>
      <c r="AU1699" s="25"/>
    </row>
    <row r="1700" spans="29:47">
      <c r="AC1700" s="26"/>
      <c r="AE1700" s="26"/>
      <c r="AF1700" s="26"/>
      <c r="AJ1700" s="25"/>
      <c r="AK1700" s="25"/>
      <c r="AL1700" s="25"/>
      <c r="AM1700" s="25"/>
      <c r="AN1700" s="25"/>
      <c r="AO1700" s="25"/>
      <c r="AP1700" s="25"/>
      <c r="AQ1700" s="25"/>
      <c r="AR1700" s="25"/>
      <c r="AS1700" s="25"/>
      <c r="AT1700" s="25"/>
      <c r="AU1700" s="25"/>
    </row>
    <row r="1701" spans="29:47">
      <c r="AC1701" s="26"/>
      <c r="AE1701" s="26"/>
      <c r="AF1701" s="26"/>
      <c r="AJ1701" s="25"/>
      <c r="AK1701" s="25"/>
      <c r="AL1701" s="25"/>
      <c r="AM1701" s="25"/>
      <c r="AN1701" s="25"/>
      <c r="AO1701" s="25"/>
      <c r="AP1701" s="25"/>
      <c r="AQ1701" s="25"/>
      <c r="AR1701" s="25"/>
      <c r="AS1701" s="25"/>
      <c r="AT1701" s="25"/>
      <c r="AU1701" s="25"/>
    </row>
    <row r="1702" spans="29:47">
      <c r="AC1702" s="26"/>
      <c r="AE1702" s="26"/>
      <c r="AF1702" s="26"/>
      <c r="AJ1702" s="25"/>
      <c r="AK1702" s="25"/>
      <c r="AL1702" s="25"/>
      <c r="AM1702" s="25"/>
      <c r="AN1702" s="25"/>
      <c r="AO1702" s="25"/>
      <c r="AP1702" s="25"/>
      <c r="AQ1702" s="25"/>
      <c r="AR1702" s="25"/>
      <c r="AS1702" s="25"/>
      <c r="AT1702" s="25"/>
      <c r="AU1702" s="25"/>
    </row>
    <row r="1703" spans="29:47">
      <c r="AC1703" s="26"/>
      <c r="AE1703" s="26"/>
      <c r="AF1703" s="26"/>
      <c r="AJ1703" s="25"/>
      <c r="AK1703" s="25"/>
      <c r="AL1703" s="25"/>
      <c r="AM1703" s="25"/>
      <c r="AN1703" s="25"/>
      <c r="AO1703" s="25"/>
      <c r="AP1703" s="25"/>
      <c r="AQ1703" s="25"/>
      <c r="AR1703" s="25"/>
      <c r="AS1703" s="25"/>
      <c r="AT1703" s="25"/>
      <c r="AU1703" s="25"/>
    </row>
    <row r="1704" spans="29:47">
      <c r="AC1704" s="26"/>
      <c r="AE1704" s="26"/>
      <c r="AF1704" s="26"/>
      <c r="AJ1704" s="25"/>
      <c r="AK1704" s="25"/>
      <c r="AL1704" s="25"/>
      <c r="AM1704" s="25"/>
      <c r="AN1704" s="25"/>
      <c r="AO1704" s="25"/>
      <c r="AP1704" s="25"/>
      <c r="AQ1704" s="25"/>
      <c r="AR1704" s="25"/>
      <c r="AS1704" s="25"/>
      <c r="AT1704" s="25"/>
      <c r="AU1704" s="25"/>
    </row>
    <row r="1705" spans="29:47">
      <c r="AC1705" s="26"/>
      <c r="AE1705" s="26"/>
      <c r="AF1705" s="26"/>
      <c r="AJ1705" s="25"/>
      <c r="AK1705" s="25"/>
      <c r="AL1705" s="25"/>
      <c r="AM1705" s="25"/>
      <c r="AN1705" s="25"/>
      <c r="AO1705" s="25"/>
      <c r="AP1705" s="25"/>
      <c r="AQ1705" s="25"/>
      <c r="AR1705" s="25"/>
      <c r="AS1705" s="25"/>
      <c r="AT1705" s="25"/>
      <c r="AU1705" s="25"/>
    </row>
    <row r="1706" spans="29:47">
      <c r="AC1706" s="26"/>
      <c r="AE1706" s="26"/>
      <c r="AF1706" s="26"/>
      <c r="AJ1706" s="25"/>
      <c r="AK1706" s="25"/>
      <c r="AL1706" s="25"/>
      <c r="AM1706" s="25"/>
      <c r="AN1706" s="25"/>
      <c r="AO1706" s="25"/>
      <c r="AP1706" s="25"/>
      <c r="AQ1706" s="25"/>
      <c r="AR1706" s="25"/>
      <c r="AS1706" s="25"/>
      <c r="AT1706" s="25"/>
      <c r="AU1706" s="25"/>
    </row>
    <row r="1707" spans="29:47">
      <c r="AC1707" s="26"/>
      <c r="AE1707" s="26"/>
      <c r="AF1707" s="26"/>
      <c r="AJ1707" s="25"/>
      <c r="AK1707" s="25"/>
      <c r="AL1707" s="25"/>
      <c r="AM1707" s="25"/>
      <c r="AN1707" s="25"/>
      <c r="AO1707" s="25"/>
      <c r="AP1707" s="25"/>
      <c r="AQ1707" s="25"/>
      <c r="AR1707" s="25"/>
      <c r="AS1707" s="25"/>
      <c r="AT1707" s="25"/>
      <c r="AU1707" s="25"/>
    </row>
    <row r="1708" spans="29:47">
      <c r="AC1708" s="26"/>
      <c r="AE1708" s="26"/>
      <c r="AF1708" s="26"/>
      <c r="AJ1708" s="25"/>
      <c r="AK1708" s="25"/>
      <c r="AL1708" s="25"/>
      <c r="AM1708" s="25"/>
      <c r="AN1708" s="25"/>
      <c r="AO1708" s="25"/>
      <c r="AP1708" s="25"/>
      <c r="AQ1708" s="25"/>
      <c r="AR1708" s="25"/>
      <c r="AS1708" s="25"/>
      <c r="AT1708" s="25"/>
      <c r="AU1708" s="25"/>
    </row>
    <row r="1709" spans="29:47">
      <c r="AC1709" s="26"/>
      <c r="AE1709" s="26"/>
      <c r="AF1709" s="26"/>
      <c r="AJ1709" s="25"/>
      <c r="AK1709" s="25"/>
      <c r="AL1709" s="25"/>
      <c r="AM1709" s="25"/>
      <c r="AN1709" s="25"/>
      <c r="AO1709" s="25"/>
      <c r="AP1709" s="25"/>
      <c r="AQ1709" s="25"/>
      <c r="AR1709" s="25"/>
      <c r="AS1709" s="25"/>
      <c r="AT1709" s="25"/>
      <c r="AU1709" s="25"/>
    </row>
    <row r="1710" spans="29:47">
      <c r="AC1710" s="26"/>
      <c r="AE1710" s="26"/>
      <c r="AF1710" s="26"/>
      <c r="AJ1710" s="25"/>
      <c r="AK1710" s="25"/>
      <c r="AL1710" s="25"/>
      <c r="AM1710" s="25"/>
      <c r="AN1710" s="25"/>
      <c r="AO1710" s="25"/>
      <c r="AP1710" s="25"/>
      <c r="AQ1710" s="25"/>
      <c r="AR1710" s="25"/>
      <c r="AS1710" s="25"/>
      <c r="AT1710" s="25"/>
      <c r="AU1710" s="25"/>
    </row>
    <row r="1711" spans="29:47">
      <c r="AC1711" s="26"/>
      <c r="AE1711" s="26"/>
      <c r="AF1711" s="26"/>
      <c r="AJ1711" s="25"/>
      <c r="AK1711" s="25"/>
      <c r="AL1711" s="25"/>
      <c r="AM1711" s="25"/>
      <c r="AN1711" s="25"/>
      <c r="AO1711" s="25"/>
      <c r="AP1711" s="25"/>
      <c r="AQ1711" s="25"/>
      <c r="AR1711" s="25"/>
      <c r="AS1711" s="25"/>
      <c r="AT1711" s="25"/>
      <c r="AU1711" s="25"/>
    </row>
    <row r="1712" spans="29:47">
      <c r="AC1712" s="26"/>
      <c r="AE1712" s="26"/>
      <c r="AF1712" s="26"/>
      <c r="AJ1712" s="25"/>
      <c r="AK1712" s="25"/>
      <c r="AL1712" s="25"/>
      <c r="AM1712" s="25"/>
      <c r="AN1712" s="25"/>
      <c r="AO1712" s="25"/>
      <c r="AP1712" s="25"/>
      <c r="AQ1712" s="25"/>
      <c r="AR1712" s="25"/>
      <c r="AS1712" s="25"/>
      <c r="AT1712" s="25"/>
      <c r="AU1712" s="25"/>
    </row>
    <row r="1713" spans="29:47">
      <c r="AC1713" s="26"/>
      <c r="AE1713" s="26"/>
      <c r="AF1713" s="26"/>
      <c r="AJ1713" s="25"/>
      <c r="AK1713" s="25"/>
      <c r="AL1713" s="25"/>
      <c r="AM1713" s="25"/>
      <c r="AN1713" s="25"/>
      <c r="AO1713" s="25"/>
      <c r="AP1713" s="25"/>
      <c r="AQ1713" s="25"/>
      <c r="AR1713" s="25"/>
      <c r="AS1713" s="25"/>
      <c r="AT1713" s="25"/>
      <c r="AU1713" s="25"/>
    </row>
    <row r="1714" spans="29:47">
      <c r="AC1714" s="26"/>
      <c r="AE1714" s="26"/>
      <c r="AF1714" s="26"/>
      <c r="AJ1714" s="25"/>
      <c r="AK1714" s="25"/>
      <c r="AL1714" s="25"/>
      <c r="AM1714" s="25"/>
      <c r="AN1714" s="25"/>
      <c r="AO1714" s="25"/>
      <c r="AP1714" s="25"/>
      <c r="AQ1714" s="25"/>
      <c r="AR1714" s="25"/>
      <c r="AS1714" s="25"/>
      <c r="AT1714" s="25"/>
      <c r="AU1714" s="25"/>
    </row>
    <row r="1715" spans="29:47">
      <c r="AC1715" s="26"/>
      <c r="AE1715" s="26"/>
      <c r="AF1715" s="26"/>
      <c r="AJ1715" s="25"/>
      <c r="AK1715" s="25"/>
      <c r="AL1715" s="25"/>
      <c r="AM1715" s="25"/>
      <c r="AN1715" s="25"/>
      <c r="AO1715" s="25"/>
      <c r="AP1715" s="25"/>
      <c r="AQ1715" s="25"/>
      <c r="AR1715" s="25"/>
      <c r="AS1715" s="25"/>
      <c r="AT1715" s="25"/>
      <c r="AU1715" s="25"/>
    </row>
    <row r="1716" spans="29:47">
      <c r="AC1716" s="26"/>
      <c r="AE1716" s="26"/>
      <c r="AF1716" s="26"/>
      <c r="AJ1716" s="25"/>
      <c r="AK1716" s="25"/>
      <c r="AL1716" s="25"/>
      <c r="AM1716" s="25"/>
      <c r="AN1716" s="25"/>
      <c r="AO1716" s="25"/>
      <c r="AP1716" s="25"/>
      <c r="AQ1716" s="25"/>
      <c r="AR1716" s="25"/>
      <c r="AS1716" s="25"/>
      <c r="AT1716" s="25"/>
      <c r="AU1716" s="25"/>
    </row>
    <row r="1717" spans="29:47">
      <c r="AC1717" s="26"/>
      <c r="AE1717" s="26"/>
      <c r="AF1717" s="26"/>
      <c r="AJ1717" s="25"/>
      <c r="AK1717" s="25"/>
      <c r="AL1717" s="25"/>
      <c r="AM1717" s="25"/>
      <c r="AN1717" s="25"/>
      <c r="AO1717" s="25"/>
      <c r="AP1717" s="25"/>
      <c r="AQ1717" s="25"/>
      <c r="AR1717" s="25"/>
      <c r="AS1717" s="25"/>
      <c r="AT1717" s="25"/>
      <c r="AU1717" s="25"/>
    </row>
    <row r="1718" spans="29:47">
      <c r="AC1718" s="26"/>
      <c r="AE1718" s="26"/>
      <c r="AF1718" s="26"/>
      <c r="AJ1718" s="25"/>
      <c r="AK1718" s="25"/>
      <c r="AL1718" s="25"/>
      <c r="AM1718" s="25"/>
      <c r="AN1718" s="25"/>
      <c r="AO1718" s="25"/>
      <c r="AP1718" s="25"/>
      <c r="AQ1718" s="25"/>
      <c r="AR1718" s="25"/>
      <c r="AS1718" s="25"/>
      <c r="AT1718" s="25"/>
      <c r="AU1718" s="25"/>
    </row>
    <row r="1719" spans="29:47">
      <c r="AC1719" s="26"/>
      <c r="AE1719" s="26"/>
      <c r="AF1719" s="26"/>
      <c r="AJ1719" s="25"/>
      <c r="AK1719" s="25"/>
      <c r="AL1719" s="25"/>
      <c r="AM1719" s="25"/>
      <c r="AN1719" s="25"/>
      <c r="AO1719" s="25"/>
      <c r="AP1719" s="25"/>
      <c r="AQ1719" s="25"/>
      <c r="AR1719" s="25"/>
      <c r="AS1719" s="25"/>
      <c r="AT1719" s="25"/>
      <c r="AU1719" s="25"/>
    </row>
    <row r="1720" spans="29:47">
      <c r="AC1720" s="26"/>
      <c r="AE1720" s="26"/>
      <c r="AF1720" s="26"/>
      <c r="AJ1720" s="25"/>
      <c r="AK1720" s="25"/>
      <c r="AL1720" s="25"/>
      <c r="AM1720" s="25"/>
      <c r="AN1720" s="25"/>
      <c r="AO1720" s="25"/>
      <c r="AP1720" s="25"/>
      <c r="AQ1720" s="25"/>
      <c r="AR1720" s="25"/>
      <c r="AS1720" s="25"/>
      <c r="AT1720" s="25"/>
      <c r="AU1720" s="25"/>
    </row>
    <row r="1721" spans="29:47">
      <c r="AC1721" s="26"/>
      <c r="AE1721" s="26"/>
      <c r="AF1721" s="26"/>
      <c r="AJ1721" s="25"/>
      <c r="AK1721" s="25"/>
      <c r="AL1721" s="25"/>
      <c r="AM1721" s="25"/>
      <c r="AN1721" s="25"/>
      <c r="AO1721" s="25"/>
      <c r="AP1721" s="25"/>
      <c r="AQ1721" s="25"/>
      <c r="AR1721" s="25"/>
      <c r="AS1721" s="25"/>
      <c r="AT1721" s="25"/>
      <c r="AU1721" s="25"/>
    </row>
    <row r="1722" spans="29:47">
      <c r="AC1722" s="26"/>
      <c r="AE1722" s="26"/>
      <c r="AF1722" s="26"/>
      <c r="AJ1722" s="25"/>
      <c r="AK1722" s="25"/>
      <c r="AL1722" s="25"/>
      <c r="AM1722" s="25"/>
      <c r="AN1722" s="25"/>
      <c r="AO1722" s="25"/>
      <c r="AP1722" s="25"/>
      <c r="AQ1722" s="25"/>
      <c r="AR1722" s="25"/>
      <c r="AS1722" s="25"/>
      <c r="AT1722" s="25"/>
      <c r="AU1722" s="25"/>
    </row>
    <row r="1723" spans="29:47">
      <c r="AC1723" s="26"/>
      <c r="AE1723" s="26"/>
      <c r="AF1723" s="26"/>
      <c r="AJ1723" s="25"/>
      <c r="AK1723" s="25"/>
      <c r="AL1723" s="25"/>
      <c r="AM1723" s="25"/>
      <c r="AN1723" s="25"/>
      <c r="AO1723" s="25"/>
      <c r="AP1723" s="25"/>
      <c r="AQ1723" s="25"/>
      <c r="AR1723" s="25"/>
      <c r="AS1723" s="25"/>
      <c r="AT1723" s="25"/>
      <c r="AU1723" s="25"/>
    </row>
    <row r="1724" spans="29:47">
      <c r="AC1724" s="26"/>
      <c r="AE1724" s="26"/>
      <c r="AF1724" s="26"/>
      <c r="AJ1724" s="25"/>
      <c r="AK1724" s="25"/>
      <c r="AL1724" s="25"/>
      <c r="AM1724" s="25"/>
      <c r="AN1724" s="25"/>
      <c r="AO1724" s="25"/>
      <c r="AP1724" s="25"/>
      <c r="AQ1724" s="25"/>
      <c r="AR1724" s="25"/>
      <c r="AS1724" s="25"/>
      <c r="AT1724" s="25"/>
      <c r="AU1724" s="25"/>
    </row>
    <row r="1725" spans="29:47">
      <c r="AC1725" s="26"/>
      <c r="AE1725" s="26"/>
      <c r="AF1725" s="26"/>
      <c r="AJ1725" s="25"/>
      <c r="AK1725" s="25"/>
      <c r="AL1725" s="25"/>
      <c r="AM1725" s="25"/>
      <c r="AN1725" s="25"/>
      <c r="AO1725" s="25"/>
      <c r="AP1725" s="25"/>
      <c r="AQ1725" s="25"/>
      <c r="AR1725" s="25"/>
      <c r="AS1725" s="25"/>
      <c r="AT1725" s="25"/>
      <c r="AU1725" s="25"/>
    </row>
    <row r="1726" spans="29:47">
      <c r="AC1726" s="26"/>
      <c r="AE1726" s="26"/>
      <c r="AF1726" s="26"/>
      <c r="AJ1726" s="25"/>
      <c r="AK1726" s="25"/>
      <c r="AL1726" s="25"/>
      <c r="AM1726" s="25"/>
      <c r="AN1726" s="25"/>
      <c r="AO1726" s="25"/>
      <c r="AP1726" s="25"/>
      <c r="AQ1726" s="25"/>
      <c r="AR1726" s="25"/>
      <c r="AS1726" s="25"/>
      <c r="AT1726" s="25"/>
      <c r="AU1726" s="25"/>
    </row>
    <row r="1727" spans="29:47">
      <c r="AC1727" s="26"/>
      <c r="AE1727" s="26"/>
      <c r="AF1727" s="26"/>
      <c r="AJ1727" s="25"/>
      <c r="AK1727" s="25"/>
      <c r="AL1727" s="25"/>
      <c r="AM1727" s="25"/>
      <c r="AN1727" s="25"/>
      <c r="AO1727" s="25"/>
      <c r="AP1727" s="25"/>
      <c r="AQ1727" s="25"/>
      <c r="AR1727" s="25"/>
      <c r="AS1727" s="25"/>
      <c r="AT1727" s="25"/>
      <c r="AU1727" s="25"/>
    </row>
    <row r="1728" spans="29:47">
      <c r="AC1728" s="26"/>
      <c r="AE1728" s="26"/>
      <c r="AF1728" s="26"/>
      <c r="AJ1728" s="25"/>
      <c r="AK1728" s="25"/>
      <c r="AL1728" s="25"/>
      <c r="AM1728" s="25"/>
      <c r="AN1728" s="25"/>
      <c r="AO1728" s="25"/>
      <c r="AP1728" s="25"/>
      <c r="AQ1728" s="25"/>
      <c r="AR1728" s="25"/>
      <c r="AS1728" s="25"/>
      <c r="AT1728" s="25"/>
      <c r="AU1728" s="25"/>
    </row>
    <row r="1729" spans="29:47">
      <c r="AC1729" s="26"/>
      <c r="AE1729" s="26"/>
      <c r="AF1729" s="26"/>
      <c r="AJ1729" s="25"/>
      <c r="AK1729" s="25"/>
      <c r="AL1729" s="25"/>
      <c r="AM1729" s="25"/>
      <c r="AN1729" s="25"/>
      <c r="AO1729" s="25"/>
      <c r="AP1729" s="25"/>
      <c r="AQ1729" s="25"/>
      <c r="AR1729" s="25"/>
      <c r="AS1729" s="25"/>
      <c r="AT1729" s="25"/>
      <c r="AU1729" s="25"/>
    </row>
    <row r="1730" spans="29:47">
      <c r="AC1730" s="26"/>
      <c r="AE1730" s="26"/>
      <c r="AF1730" s="26"/>
      <c r="AJ1730" s="25"/>
      <c r="AK1730" s="25"/>
      <c r="AL1730" s="25"/>
      <c r="AM1730" s="25"/>
      <c r="AN1730" s="25"/>
      <c r="AO1730" s="25"/>
      <c r="AP1730" s="25"/>
      <c r="AQ1730" s="25"/>
      <c r="AR1730" s="25"/>
      <c r="AS1730" s="25"/>
      <c r="AT1730" s="25"/>
      <c r="AU1730" s="25"/>
    </row>
    <row r="1731" spans="29:47">
      <c r="AC1731" s="26"/>
      <c r="AE1731" s="26"/>
      <c r="AF1731" s="26"/>
      <c r="AJ1731" s="25"/>
      <c r="AK1731" s="25"/>
      <c r="AL1731" s="25"/>
      <c r="AM1731" s="25"/>
      <c r="AN1731" s="25"/>
      <c r="AO1731" s="25"/>
      <c r="AP1731" s="25"/>
      <c r="AQ1731" s="25"/>
      <c r="AR1731" s="25"/>
      <c r="AS1731" s="25"/>
      <c r="AT1731" s="25"/>
      <c r="AU1731" s="25"/>
    </row>
    <row r="1732" spans="29:47">
      <c r="AC1732" s="26"/>
      <c r="AE1732" s="26"/>
      <c r="AF1732" s="26"/>
      <c r="AJ1732" s="25"/>
      <c r="AK1732" s="25"/>
      <c r="AL1732" s="25"/>
      <c r="AM1732" s="25"/>
      <c r="AN1732" s="25"/>
      <c r="AO1732" s="25"/>
      <c r="AP1732" s="25"/>
      <c r="AQ1732" s="25"/>
      <c r="AR1732" s="25"/>
      <c r="AS1732" s="25"/>
      <c r="AT1732" s="25"/>
      <c r="AU1732" s="25"/>
    </row>
    <row r="1733" spans="29:47">
      <c r="AC1733" s="26"/>
      <c r="AE1733" s="26"/>
      <c r="AF1733" s="26"/>
      <c r="AJ1733" s="25"/>
      <c r="AK1733" s="25"/>
      <c r="AL1733" s="25"/>
      <c r="AM1733" s="25"/>
      <c r="AN1733" s="25"/>
      <c r="AO1733" s="25"/>
      <c r="AP1733" s="25"/>
      <c r="AQ1733" s="25"/>
      <c r="AR1733" s="25"/>
      <c r="AS1733" s="25"/>
      <c r="AT1733" s="25"/>
      <c r="AU1733" s="25"/>
    </row>
    <row r="1734" spans="29:47">
      <c r="AC1734" s="26"/>
      <c r="AE1734" s="26"/>
      <c r="AF1734" s="26"/>
      <c r="AJ1734" s="25"/>
      <c r="AK1734" s="25"/>
      <c r="AL1734" s="25"/>
      <c r="AM1734" s="25"/>
      <c r="AN1734" s="25"/>
      <c r="AO1734" s="25"/>
      <c r="AP1734" s="25"/>
      <c r="AQ1734" s="25"/>
      <c r="AR1734" s="25"/>
      <c r="AS1734" s="25"/>
      <c r="AT1734" s="25"/>
      <c r="AU1734" s="25"/>
    </row>
    <row r="1735" spans="29:47">
      <c r="AC1735" s="26"/>
      <c r="AE1735" s="26"/>
      <c r="AF1735" s="26"/>
      <c r="AJ1735" s="25"/>
      <c r="AK1735" s="25"/>
      <c r="AL1735" s="25"/>
      <c r="AM1735" s="25"/>
      <c r="AN1735" s="25"/>
      <c r="AO1735" s="25"/>
      <c r="AP1735" s="25"/>
      <c r="AQ1735" s="25"/>
      <c r="AR1735" s="25"/>
      <c r="AS1735" s="25"/>
      <c r="AT1735" s="25"/>
      <c r="AU1735" s="25"/>
    </row>
    <row r="1736" spans="29:47">
      <c r="AC1736" s="26"/>
      <c r="AE1736" s="26"/>
      <c r="AF1736" s="26"/>
      <c r="AJ1736" s="25"/>
      <c r="AK1736" s="25"/>
      <c r="AL1736" s="25"/>
      <c r="AM1736" s="25"/>
      <c r="AN1736" s="25"/>
      <c r="AO1736" s="25"/>
      <c r="AP1736" s="25"/>
      <c r="AQ1736" s="25"/>
      <c r="AR1736" s="25"/>
      <c r="AS1736" s="25"/>
      <c r="AT1736" s="25"/>
      <c r="AU1736" s="25"/>
    </row>
    <row r="1737" spans="29:47">
      <c r="AC1737" s="26"/>
      <c r="AE1737" s="26"/>
      <c r="AF1737" s="26"/>
      <c r="AJ1737" s="25"/>
      <c r="AK1737" s="25"/>
      <c r="AL1737" s="25"/>
      <c r="AM1737" s="25"/>
      <c r="AN1737" s="25"/>
      <c r="AO1737" s="25"/>
      <c r="AP1737" s="25"/>
      <c r="AQ1737" s="25"/>
      <c r="AR1737" s="25"/>
      <c r="AS1737" s="25"/>
      <c r="AT1737" s="25"/>
      <c r="AU1737" s="25"/>
    </row>
    <row r="1738" spans="29:47">
      <c r="AC1738" s="26"/>
      <c r="AE1738" s="26"/>
      <c r="AF1738" s="26"/>
      <c r="AJ1738" s="25"/>
      <c r="AK1738" s="25"/>
      <c r="AL1738" s="25"/>
      <c r="AM1738" s="25"/>
      <c r="AN1738" s="25"/>
      <c r="AO1738" s="25"/>
      <c r="AP1738" s="25"/>
      <c r="AQ1738" s="25"/>
      <c r="AR1738" s="25"/>
      <c r="AS1738" s="25"/>
      <c r="AT1738" s="25"/>
      <c r="AU1738" s="25"/>
    </row>
    <row r="1739" spans="29:47">
      <c r="AC1739" s="26"/>
      <c r="AE1739" s="26"/>
      <c r="AF1739" s="26"/>
      <c r="AJ1739" s="25"/>
      <c r="AK1739" s="25"/>
      <c r="AL1739" s="25"/>
      <c r="AM1739" s="25"/>
      <c r="AN1739" s="25"/>
      <c r="AO1739" s="25"/>
      <c r="AP1739" s="25"/>
      <c r="AQ1739" s="25"/>
      <c r="AR1739" s="25"/>
      <c r="AS1739" s="25"/>
      <c r="AT1739" s="25"/>
      <c r="AU1739" s="25"/>
    </row>
    <row r="1740" spans="29:47">
      <c r="AC1740" s="26"/>
      <c r="AE1740" s="26"/>
      <c r="AF1740" s="26"/>
      <c r="AJ1740" s="25"/>
      <c r="AK1740" s="25"/>
      <c r="AL1740" s="25"/>
      <c r="AM1740" s="25"/>
      <c r="AN1740" s="25"/>
      <c r="AO1740" s="25"/>
      <c r="AP1740" s="25"/>
      <c r="AQ1740" s="25"/>
      <c r="AR1740" s="25"/>
      <c r="AS1740" s="25"/>
      <c r="AT1740" s="25"/>
      <c r="AU1740" s="25"/>
    </row>
    <row r="1741" spans="29:47">
      <c r="AC1741" s="26"/>
      <c r="AE1741" s="26"/>
      <c r="AF1741" s="26"/>
      <c r="AJ1741" s="25"/>
      <c r="AK1741" s="25"/>
      <c r="AL1741" s="25"/>
      <c r="AM1741" s="25"/>
      <c r="AN1741" s="25"/>
      <c r="AO1741" s="25"/>
      <c r="AP1741" s="25"/>
      <c r="AQ1741" s="25"/>
      <c r="AR1741" s="25"/>
      <c r="AS1741" s="25"/>
      <c r="AT1741" s="25"/>
      <c r="AU1741" s="25"/>
    </row>
    <row r="1742" spans="29:47">
      <c r="AC1742" s="26"/>
      <c r="AE1742" s="26"/>
      <c r="AF1742" s="26"/>
      <c r="AJ1742" s="25"/>
      <c r="AK1742" s="25"/>
      <c r="AL1742" s="25"/>
      <c r="AM1742" s="25"/>
      <c r="AN1742" s="25"/>
      <c r="AO1742" s="25"/>
      <c r="AP1742" s="25"/>
      <c r="AQ1742" s="25"/>
      <c r="AR1742" s="25"/>
      <c r="AS1742" s="25"/>
      <c r="AT1742" s="25"/>
      <c r="AU1742" s="25"/>
    </row>
    <row r="1743" spans="29:47">
      <c r="AC1743" s="26"/>
      <c r="AE1743" s="26"/>
      <c r="AF1743" s="26"/>
      <c r="AJ1743" s="25"/>
      <c r="AK1743" s="25"/>
      <c r="AL1743" s="25"/>
      <c r="AM1743" s="25"/>
      <c r="AN1743" s="25"/>
      <c r="AO1743" s="25"/>
      <c r="AP1743" s="25"/>
      <c r="AQ1743" s="25"/>
      <c r="AR1743" s="25"/>
      <c r="AS1743" s="25"/>
      <c r="AT1743" s="25"/>
      <c r="AU1743" s="25"/>
    </row>
    <row r="1744" spans="29:47">
      <c r="AC1744" s="26"/>
      <c r="AE1744" s="26"/>
      <c r="AF1744" s="26"/>
      <c r="AJ1744" s="25"/>
      <c r="AK1744" s="25"/>
      <c r="AL1744" s="25"/>
      <c r="AM1744" s="25"/>
      <c r="AN1744" s="25"/>
      <c r="AO1744" s="25"/>
      <c r="AP1744" s="25"/>
      <c r="AQ1744" s="25"/>
      <c r="AR1744" s="25"/>
      <c r="AS1744" s="25"/>
      <c r="AT1744" s="25"/>
      <c r="AU1744" s="25"/>
    </row>
    <row r="1745" spans="29:47">
      <c r="AC1745" s="26"/>
      <c r="AE1745" s="26"/>
      <c r="AF1745" s="26"/>
      <c r="AJ1745" s="25"/>
      <c r="AK1745" s="25"/>
      <c r="AL1745" s="25"/>
      <c r="AM1745" s="25"/>
      <c r="AN1745" s="25"/>
      <c r="AO1745" s="25"/>
      <c r="AP1745" s="25"/>
      <c r="AQ1745" s="25"/>
      <c r="AR1745" s="25"/>
      <c r="AS1745" s="25"/>
      <c r="AT1745" s="25"/>
      <c r="AU1745" s="25"/>
    </row>
    <row r="1746" spans="29:47">
      <c r="AC1746" s="26"/>
      <c r="AE1746" s="26"/>
      <c r="AF1746" s="26"/>
      <c r="AJ1746" s="25"/>
      <c r="AK1746" s="25"/>
      <c r="AL1746" s="25"/>
      <c r="AM1746" s="25"/>
      <c r="AN1746" s="25"/>
      <c r="AO1746" s="25"/>
      <c r="AP1746" s="25"/>
      <c r="AQ1746" s="25"/>
      <c r="AR1746" s="25"/>
      <c r="AS1746" s="25"/>
      <c r="AT1746" s="25"/>
      <c r="AU1746" s="25"/>
    </row>
    <row r="1747" spans="29:47">
      <c r="AC1747" s="26"/>
      <c r="AE1747" s="26"/>
      <c r="AF1747" s="26"/>
      <c r="AJ1747" s="25"/>
      <c r="AK1747" s="25"/>
      <c r="AL1747" s="25"/>
      <c r="AM1747" s="25"/>
      <c r="AN1747" s="25"/>
      <c r="AO1747" s="25"/>
      <c r="AP1747" s="25"/>
      <c r="AQ1747" s="25"/>
      <c r="AR1747" s="25"/>
      <c r="AS1747" s="25"/>
      <c r="AT1747" s="25"/>
      <c r="AU1747" s="25"/>
    </row>
    <row r="1748" spans="29:47">
      <c r="AC1748" s="26"/>
      <c r="AE1748" s="26"/>
      <c r="AF1748" s="26"/>
      <c r="AJ1748" s="25"/>
      <c r="AK1748" s="25"/>
      <c r="AL1748" s="25"/>
      <c r="AM1748" s="25"/>
      <c r="AN1748" s="25"/>
      <c r="AO1748" s="25"/>
      <c r="AP1748" s="25"/>
      <c r="AQ1748" s="25"/>
      <c r="AR1748" s="25"/>
      <c r="AS1748" s="25"/>
      <c r="AT1748" s="25"/>
      <c r="AU1748" s="25"/>
    </row>
    <row r="1749" spans="29:47">
      <c r="AC1749" s="26"/>
      <c r="AE1749" s="26"/>
      <c r="AF1749" s="26"/>
      <c r="AJ1749" s="25"/>
      <c r="AK1749" s="25"/>
      <c r="AL1749" s="25"/>
      <c r="AM1749" s="25"/>
      <c r="AN1749" s="25"/>
      <c r="AO1749" s="25"/>
      <c r="AP1749" s="25"/>
      <c r="AQ1749" s="25"/>
      <c r="AR1749" s="25"/>
      <c r="AS1749" s="25"/>
      <c r="AT1749" s="25"/>
      <c r="AU1749" s="25"/>
    </row>
    <row r="1750" spans="29:47">
      <c r="AC1750" s="26"/>
      <c r="AE1750" s="26"/>
      <c r="AF1750" s="26"/>
      <c r="AJ1750" s="25"/>
      <c r="AK1750" s="25"/>
      <c r="AL1750" s="25"/>
      <c r="AM1750" s="25"/>
      <c r="AN1750" s="25"/>
      <c r="AO1750" s="25"/>
      <c r="AP1750" s="25"/>
      <c r="AQ1750" s="25"/>
      <c r="AR1750" s="25"/>
      <c r="AS1750" s="25"/>
      <c r="AT1750" s="25"/>
      <c r="AU1750" s="25"/>
    </row>
    <row r="1751" spans="29:47">
      <c r="AC1751" s="26"/>
      <c r="AE1751" s="26"/>
      <c r="AF1751" s="26"/>
      <c r="AJ1751" s="25"/>
      <c r="AK1751" s="25"/>
      <c r="AL1751" s="25"/>
      <c r="AM1751" s="25"/>
      <c r="AN1751" s="25"/>
      <c r="AO1751" s="25"/>
      <c r="AP1751" s="25"/>
      <c r="AQ1751" s="25"/>
      <c r="AR1751" s="25"/>
      <c r="AS1751" s="25"/>
      <c r="AT1751" s="25"/>
      <c r="AU1751" s="25"/>
    </row>
    <row r="1752" spans="29:47">
      <c r="AC1752" s="26"/>
      <c r="AE1752" s="26"/>
      <c r="AF1752" s="26"/>
      <c r="AJ1752" s="25"/>
      <c r="AK1752" s="25"/>
      <c r="AL1752" s="25"/>
      <c r="AM1752" s="25"/>
      <c r="AN1752" s="25"/>
      <c r="AO1752" s="25"/>
      <c r="AP1752" s="25"/>
      <c r="AQ1752" s="25"/>
      <c r="AR1752" s="25"/>
      <c r="AS1752" s="25"/>
      <c r="AT1752" s="25"/>
      <c r="AU1752" s="25"/>
    </row>
    <row r="1753" spans="29:47">
      <c r="AC1753" s="26"/>
      <c r="AE1753" s="26"/>
      <c r="AF1753" s="26"/>
      <c r="AJ1753" s="25"/>
      <c r="AK1753" s="25"/>
      <c r="AL1753" s="25"/>
      <c r="AM1753" s="25"/>
      <c r="AN1753" s="25"/>
      <c r="AO1753" s="25"/>
      <c r="AP1753" s="25"/>
      <c r="AQ1753" s="25"/>
      <c r="AR1753" s="25"/>
      <c r="AS1753" s="25"/>
      <c r="AT1753" s="25"/>
      <c r="AU1753" s="25"/>
    </row>
    <row r="1754" spans="29:47">
      <c r="AC1754" s="26"/>
      <c r="AE1754" s="26"/>
      <c r="AF1754" s="26"/>
      <c r="AJ1754" s="25"/>
      <c r="AK1754" s="25"/>
      <c r="AL1754" s="25"/>
      <c r="AM1754" s="25"/>
      <c r="AN1754" s="25"/>
      <c r="AO1754" s="25"/>
      <c r="AP1754" s="25"/>
      <c r="AQ1754" s="25"/>
      <c r="AR1754" s="25"/>
      <c r="AS1754" s="25"/>
      <c r="AT1754" s="25"/>
      <c r="AU1754" s="25"/>
    </row>
    <row r="1755" spans="29:47">
      <c r="AC1755" s="26"/>
      <c r="AE1755" s="26"/>
      <c r="AF1755" s="26"/>
      <c r="AJ1755" s="25"/>
      <c r="AK1755" s="25"/>
      <c r="AL1755" s="25"/>
      <c r="AM1755" s="25"/>
      <c r="AN1755" s="25"/>
      <c r="AO1755" s="25"/>
      <c r="AP1755" s="25"/>
      <c r="AQ1755" s="25"/>
      <c r="AR1755" s="25"/>
      <c r="AS1755" s="25"/>
      <c r="AT1755" s="25"/>
      <c r="AU1755" s="25"/>
    </row>
    <row r="1756" spans="29:47">
      <c r="AC1756" s="26"/>
      <c r="AE1756" s="26"/>
      <c r="AF1756" s="26"/>
      <c r="AJ1756" s="25"/>
      <c r="AK1756" s="25"/>
      <c r="AL1756" s="25"/>
      <c r="AM1756" s="25"/>
      <c r="AN1756" s="25"/>
      <c r="AO1756" s="25"/>
      <c r="AP1756" s="25"/>
      <c r="AQ1756" s="25"/>
      <c r="AR1756" s="25"/>
      <c r="AS1756" s="25"/>
      <c r="AT1756" s="25"/>
      <c r="AU1756" s="25"/>
    </row>
    <row r="1757" spans="29:47">
      <c r="AC1757" s="26"/>
      <c r="AE1757" s="26"/>
      <c r="AF1757" s="26"/>
      <c r="AJ1757" s="25"/>
      <c r="AK1757" s="25"/>
      <c r="AL1757" s="25"/>
      <c r="AM1757" s="25"/>
      <c r="AN1757" s="25"/>
      <c r="AO1757" s="25"/>
      <c r="AP1757" s="25"/>
      <c r="AQ1757" s="25"/>
      <c r="AR1757" s="25"/>
      <c r="AS1757" s="25"/>
      <c r="AT1757" s="25"/>
      <c r="AU1757" s="25"/>
    </row>
    <row r="1758" spans="29:47">
      <c r="AC1758" s="26"/>
      <c r="AE1758" s="26"/>
      <c r="AF1758" s="26"/>
      <c r="AJ1758" s="25"/>
      <c r="AK1758" s="25"/>
      <c r="AL1758" s="25"/>
      <c r="AM1758" s="25"/>
      <c r="AN1758" s="25"/>
      <c r="AO1758" s="25"/>
      <c r="AP1758" s="25"/>
      <c r="AQ1758" s="25"/>
      <c r="AR1758" s="25"/>
      <c r="AS1758" s="25"/>
      <c r="AT1758" s="25"/>
      <c r="AU1758" s="25"/>
    </row>
    <row r="1759" spans="29:47">
      <c r="AC1759" s="26"/>
      <c r="AE1759" s="26"/>
      <c r="AF1759" s="26"/>
      <c r="AJ1759" s="25"/>
      <c r="AK1759" s="25"/>
      <c r="AL1759" s="25"/>
      <c r="AM1759" s="25"/>
      <c r="AN1759" s="25"/>
      <c r="AO1759" s="25"/>
      <c r="AP1759" s="25"/>
      <c r="AQ1759" s="25"/>
      <c r="AR1759" s="25"/>
      <c r="AS1759" s="25"/>
      <c r="AT1759" s="25"/>
      <c r="AU1759" s="25"/>
    </row>
    <row r="1760" spans="29:47">
      <c r="AC1760" s="26"/>
      <c r="AE1760" s="26"/>
      <c r="AF1760" s="26"/>
      <c r="AJ1760" s="25"/>
      <c r="AK1760" s="25"/>
      <c r="AL1760" s="25"/>
      <c r="AM1760" s="25"/>
      <c r="AN1760" s="25"/>
      <c r="AO1760" s="25"/>
      <c r="AP1760" s="25"/>
      <c r="AQ1760" s="25"/>
      <c r="AR1760" s="25"/>
      <c r="AS1760" s="25"/>
      <c r="AT1760" s="25"/>
      <c r="AU1760" s="25"/>
    </row>
    <row r="1761" spans="29:47">
      <c r="AC1761" s="26"/>
      <c r="AE1761" s="26"/>
      <c r="AF1761" s="26"/>
      <c r="AJ1761" s="25"/>
      <c r="AK1761" s="25"/>
      <c r="AL1761" s="25"/>
      <c r="AM1761" s="25"/>
      <c r="AN1761" s="25"/>
      <c r="AO1761" s="25"/>
      <c r="AP1761" s="25"/>
      <c r="AQ1761" s="25"/>
      <c r="AR1761" s="25"/>
      <c r="AS1761" s="25"/>
      <c r="AT1761" s="25"/>
      <c r="AU1761" s="25"/>
    </row>
    <row r="1762" spans="29:47">
      <c r="AC1762" s="26"/>
      <c r="AE1762" s="26"/>
      <c r="AF1762" s="26"/>
      <c r="AJ1762" s="25"/>
      <c r="AK1762" s="25"/>
      <c r="AL1762" s="25"/>
      <c r="AM1762" s="25"/>
      <c r="AN1762" s="25"/>
      <c r="AO1762" s="25"/>
      <c r="AP1762" s="25"/>
      <c r="AQ1762" s="25"/>
      <c r="AR1762" s="25"/>
      <c r="AS1762" s="25"/>
      <c r="AT1762" s="25"/>
      <c r="AU1762" s="25"/>
    </row>
    <row r="1763" spans="29:47">
      <c r="AC1763" s="26"/>
      <c r="AE1763" s="26"/>
      <c r="AF1763" s="26"/>
      <c r="AJ1763" s="25"/>
      <c r="AK1763" s="25"/>
      <c r="AL1763" s="25"/>
      <c r="AM1763" s="25"/>
      <c r="AN1763" s="25"/>
      <c r="AO1763" s="25"/>
      <c r="AP1763" s="25"/>
      <c r="AQ1763" s="25"/>
      <c r="AR1763" s="25"/>
      <c r="AS1763" s="25"/>
      <c r="AT1763" s="25"/>
      <c r="AU1763" s="25"/>
    </row>
    <row r="1764" spans="29:47">
      <c r="AC1764" s="26"/>
      <c r="AE1764" s="26"/>
      <c r="AF1764" s="26"/>
      <c r="AJ1764" s="25"/>
      <c r="AK1764" s="25"/>
      <c r="AL1764" s="25"/>
      <c r="AM1764" s="25"/>
      <c r="AN1764" s="25"/>
      <c r="AO1764" s="25"/>
      <c r="AP1764" s="25"/>
      <c r="AQ1764" s="25"/>
      <c r="AR1764" s="25"/>
      <c r="AS1764" s="25"/>
      <c r="AT1764" s="25"/>
      <c r="AU1764" s="25"/>
    </row>
    <row r="1765" spans="29:47">
      <c r="AC1765" s="26"/>
      <c r="AE1765" s="26"/>
      <c r="AF1765" s="26"/>
      <c r="AJ1765" s="25"/>
      <c r="AK1765" s="25"/>
      <c r="AL1765" s="25"/>
      <c r="AM1765" s="25"/>
      <c r="AN1765" s="25"/>
      <c r="AO1765" s="25"/>
      <c r="AP1765" s="25"/>
      <c r="AQ1765" s="25"/>
      <c r="AR1765" s="25"/>
      <c r="AS1765" s="25"/>
      <c r="AT1765" s="25"/>
      <c r="AU1765" s="25"/>
    </row>
    <row r="1766" spans="29:47">
      <c r="AC1766" s="26"/>
      <c r="AE1766" s="26"/>
      <c r="AF1766" s="26"/>
      <c r="AJ1766" s="25"/>
      <c r="AK1766" s="25"/>
      <c r="AL1766" s="25"/>
      <c r="AM1766" s="25"/>
      <c r="AN1766" s="25"/>
      <c r="AO1766" s="25"/>
      <c r="AP1766" s="25"/>
      <c r="AQ1766" s="25"/>
      <c r="AR1766" s="25"/>
      <c r="AS1766" s="25"/>
      <c r="AT1766" s="25"/>
      <c r="AU1766" s="25"/>
    </row>
    <row r="1767" spans="29:47">
      <c r="AC1767" s="26"/>
      <c r="AE1767" s="26"/>
      <c r="AF1767" s="26"/>
      <c r="AJ1767" s="25"/>
      <c r="AK1767" s="25"/>
      <c r="AL1767" s="25"/>
      <c r="AM1767" s="25"/>
      <c r="AN1767" s="25"/>
      <c r="AO1767" s="25"/>
      <c r="AP1767" s="25"/>
      <c r="AQ1767" s="25"/>
      <c r="AR1767" s="25"/>
      <c r="AS1767" s="25"/>
      <c r="AT1767" s="25"/>
      <c r="AU1767" s="25"/>
    </row>
    <row r="1768" spans="29:47">
      <c r="AC1768" s="26"/>
      <c r="AE1768" s="26"/>
      <c r="AF1768" s="26"/>
      <c r="AJ1768" s="25"/>
      <c r="AK1768" s="25"/>
      <c r="AL1768" s="25"/>
      <c r="AM1768" s="25"/>
      <c r="AN1768" s="25"/>
      <c r="AO1768" s="25"/>
      <c r="AP1768" s="25"/>
      <c r="AQ1768" s="25"/>
      <c r="AR1768" s="25"/>
      <c r="AS1768" s="25"/>
      <c r="AT1768" s="25"/>
      <c r="AU1768" s="25"/>
    </row>
    <row r="1769" spans="29:47">
      <c r="AC1769" s="26"/>
      <c r="AE1769" s="26"/>
      <c r="AF1769" s="26"/>
      <c r="AJ1769" s="25"/>
      <c r="AK1769" s="25"/>
      <c r="AL1769" s="25"/>
      <c r="AM1769" s="25"/>
      <c r="AN1769" s="25"/>
      <c r="AO1769" s="25"/>
      <c r="AP1769" s="25"/>
      <c r="AQ1769" s="25"/>
      <c r="AR1769" s="25"/>
      <c r="AS1769" s="25"/>
      <c r="AT1769" s="25"/>
      <c r="AU1769" s="25"/>
    </row>
    <row r="1770" spans="29:47">
      <c r="AC1770" s="26"/>
      <c r="AE1770" s="26"/>
      <c r="AF1770" s="26"/>
      <c r="AJ1770" s="25"/>
      <c r="AK1770" s="25"/>
      <c r="AL1770" s="25"/>
      <c r="AM1770" s="25"/>
      <c r="AN1770" s="25"/>
      <c r="AO1770" s="25"/>
      <c r="AP1770" s="25"/>
      <c r="AQ1770" s="25"/>
      <c r="AR1770" s="25"/>
      <c r="AS1770" s="25"/>
      <c r="AT1770" s="25"/>
      <c r="AU1770" s="25"/>
    </row>
    <row r="1771" spans="29:47">
      <c r="AC1771" s="26"/>
      <c r="AE1771" s="26"/>
      <c r="AF1771" s="26"/>
      <c r="AJ1771" s="25"/>
      <c r="AK1771" s="25"/>
      <c r="AL1771" s="25"/>
      <c r="AM1771" s="25"/>
      <c r="AN1771" s="25"/>
      <c r="AO1771" s="25"/>
      <c r="AP1771" s="25"/>
      <c r="AQ1771" s="25"/>
      <c r="AR1771" s="25"/>
      <c r="AS1771" s="25"/>
      <c r="AT1771" s="25"/>
      <c r="AU1771" s="25"/>
    </row>
    <row r="1772" spans="29:47">
      <c r="AC1772" s="26"/>
      <c r="AE1772" s="26"/>
      <c r="AF1772" s="26"/>
      <c r="AJ1772" s="25"/>
      <c r="AK1772" s="25"/>
      <c r="AL1772" s="25"/>
      <c r="AM1772" s="25"/>
      <c r="AN1772" s="25"/>
      <c r="AO1772" s="25"/>
      <c r="AP1772" s="25"/>
      <c r="AQ1772" s="25"/>
      <c r="AR1772" s="25"/>
      <c r="AS1772" s="25"/>
      <c r="AT1772" s="25"/>
      <c r="AU1772" s="25"/>
    </row>
    <row r="1773" spans="29:47">
      <c r="AC1773" s="26"/>
      <c r="AE1773" s="26"/>
      <c r="AF1773" s="26"/>
      <c r="AJ1773" s="25"/>
      <c r="AK1773" s="25"/>
      <c r="AL1773" s="25"/>
      <c r="AM1773" s="25"/>
      <c r="AN1773" s="25"/>
      <c r="AO1773" s="25"/>
      <c r="AP1773" s="25"/>
      <c r="AQ1773" s="25"/>
      <c r="AR1773" s="25"/>
      <c r="AS1773" s="25"/>
      <c r="AT1773" s="25"/>
      <c r="AU1773" s="25"/>
    </row>
    <row r="1774" spans="29:47">
      <c r="AC1774" s="26"/>
      <c r="AE1774" s="26"/>
      <c r="AF1774" s="26"/>
      <c r="AJ1774" s="25"/>
      <c r="AK1774" s="25"/>
      <c r="AL1774" s="25"/>
      <c r="AM1774" s="25"/>
      <c r="AN1774" s="25"/>
      <c r="AO1774" s="25"/>
      <c r="AP1774" s="25"/>
      <c r="AQ1774" s="25"/>
      <c r="AR1774" s="25"/>
      <c r="AS1774" s="25"/>
      <c r="AT1774" s="25"/>
      <c r="AU1774" s="25"/>
    </row>
    <row r="1775" spans="29:47">
      <c r="AC1775" s="26"/>
      <c r="AE1775" s="26"/>
      <c r="AF1775" s="26"/>
      <c r="AJ1775" s="25"/>
      <c r="AK1775" s="25"/>
      <c r="AL1775" s="25"/>
      <c r="AM1775" s="25"/>
      <c r="AN1775" s="25"/>
      <c r="AO1775" s="25"/>
      <c r="AP1775" s="25"/>
      <c r="AQ1775" s="25"/>
      <c r="AR1775" s="25"/>
      <c r="AS1775" s="25"/>
      <c r="AT1775" s="25"/>
      <c r="AU1775" s="25"/>
    </row>
    <row r="1776" spans="29:47">
      <c r="AC1776" s="26"/>
      <c r="AE1776" s="26"/>
      <c r="AF1776" s="26"/>
      <c r="AJ1776" s="25"/>
      <c r="AK1776" s="25"/>
      <c r="AL1776" s="25"/>
      <c r="AM1776" s="25"/>
      <c r="AN1776" s="25"/>
      <c r="AO1776" s="25"/>
      <c r="AP1776" s="25"/>
      <c r="AQ1776" s="25"/>
      <c r="AR1776" s="25"/>
      <c r="AS1776" s="25"/>
      <c r="AT1776" s="25"/>
      <c r="AU1776" s="25"/>
    </row>
    <row r="1777" spans="29:47">
      <c r="AC1777" s="26"/>
      <c r="AE1777" s="26"/>
      <c r="AF1777" s="26"/>
      <c r="AJ1777" s="25"/>
      <c r="AK1777" s="25"/>
      <c r="AL1777" s="25"/>
      <c r="AM1777" s="25"/>
      <c r="AN1777" s="25"/>
      <c r="AO1777" s="25"/>
      <c r="AP1777" s="25"/>
      <c r="AQ1777" s="25"/>
      <c r="AR1777" s="25"/>
      <c r="AS1777" s="25"/>
      <c r="AT1777" s="25"/>
      <c r="AU1777" s="25"/>
    </row>
    <row r="1778" spans="29:47">
      <c r="AC1778" s="26"/>
      <c r="AE1778" s="26"/>
      <c r="AF1778" s="26"/>
      <c r="AJ1778" s="25"/>
      <c r="AK1778" s="25"/>
      <c r="AL1778" s="25"/>
      <c r="AM1778" s="25"/>
      <c r="AN1778" s="25"/>
      <c r="AO1778" s="25"/>
      <c r="AP1778" s="25"/>
      <c r="AQ1778" s="25"/>
      <c r="AR1778" s="25"/>
      <c r="AS1778" s="25"/>
      <c r="AT1778" s="25"/>
      <c r="AU1778" s="25"/>
    </row>
    <row r="1779" spans="29:47">
      <c r="AC1779" s="26"/>
      <c r="AE1779" s="26"/>
      <c r="AF1779" s="26"/>
      <c r="AJ1779" s="25"/>
      <c r="AK1779" s="25"/>
      <c r="AL1779" s="25"/>
      <c r="AM1779" s="25"/>
      <c r="AN1779" s="25"/>
      <c r="AO1779" s="25"/>
      <c r="AP1779" s="25"/>
      <c r="AQ1779" s="25"/>
      <c r="AR1779" s="25"/>
      <c r="AS1779" s="25"/>
      <c r="AT1779" s="25"/>
      <c r="AU1779" s="25"/>
    </row>
    <row r="1780" spans="29:47">
      <c r="AC1780" s="26"/>
      <c r="AE1780" s="26"/>
      <c r="AF1780" s="26"/>
      <c r="AJ1780" s="25"/>
      <c r="AK1780" s="25"/>
      <c r="AL1780" s="25"/>
      <c r="AM1780" s="25"/>
      <c r="AN1780" s="25"/>
      <c r="AO1780" s="25"/>
      <c r="AP1780" s="25"/>
      <c r="AQ1780" s="25"/>
      <c r="AR1780" s="25"/>
      <c r="AS1780" s="25"/>
      <c r="AT1780" s="25"/>
      <c r="AU1780" s="25"/>
    </row>
    <row r="1781" spans="29:47">
      <c r="AC1781" s="26"/>
      <c r="AE1781" s="26"/>
      <c r="AF1781" s="26"/>
      <c r="AJ1781" s="25"/>
      <c r="AK1781" s="25"/>
      <c r="AL1781" s="25"/>
      <c r="AM1781" s="25"/>
      <c r="AN1781" s="25"/>
      <c r="AO1781" s="25"/>
      <c r="AP1781" s="25"/>
      <c r="AQ1781" s="25"/>
      <c r="AR1781" s="25"/>
      <c r="AS1781" s="25"/>
      <c r="AT1781" s="25"/>
      <c r="AU1781" s="25"/>
    </row>
    <row r="1782" spans="29:47">
      <c r="AC1782" s="26"/>
      <c r="AE1782" s="26"/>
      <c r="AF1782" s="26"/>
      <c r="AJ1782" s="25"/>
      <c r="AK1782" s="25"/>
      <c r="AL1782" s="25"/>
      <c r="AM1782" s="25"/>
      <c r="AN1782" s="25"/>
      <c r="AO1782" s="25"/>
      <c r="AP1782" s="25"/>
      <c r="AQ1782" s="25"/>
      <c r="AR1782" s="25"/>
      <c r="AS1782" s="25"/>
      <c r="AT1782" s="25"/>
      <c r="AU1782" s="25"/>
    </row>
    <row r="1783" spans="29:47">
      <c r="AC1783" s="26"/>
      <c r="AE1783" s="26"/>
      <c r="AF1783" s="26"/>
      <c r="AJ1783" s="25"/>
      <c r="AK1783" s="25"/>
      <c r="AL1783" s="25"/>
      <c r="AM1783" s="25"/>
      <c r="AN1783" s="25"/>
      <c r="AO1783" s="25"/>
      <c r="AP1783" s="25"/>
      <c r="AQ1783" s="25"/>
      <c r="AR1783" s="25"/>
      <c r="AS1783" s="25"/>
      <c r="AT1783" s="25"/>
      <c r="AU1783" s="25"/>
    </row>
    <row r="1784" spans="29:47">
      <c r="AC1784" s="26"/>
      <c r="AE1784" s="26"/>
      <c r="AF1784" s="26"/>
      <c r="AJ1784" s="25"/>
      <c r="AK1784" s="25"/>
      <c r="AL1784" s="25"/>
      <c r="AM1784" s="25"/>
      <c r="AN1784" s="25"/>
      <c r="AO1784" s="25"/>
      <c r="AP1784" s="25"/>
      <c r="AQ1784" s="25"/>
      <c r="AR1784" s="25"/>
      <c r="AS1784" s="25"/>
      <c r="AT1784" s="25"/>
      <c r="AU1784" s="25"/>
    </row>
    <row r="1785" spans="29:47">
      <c r="AC1785" s="26"/>
      <c r="AE1785" s="26"/>
      <c r="AF1785" s="26"/>
      <c r="AJ1785" s="25"/>
      <c r="AK1785" s="25"/>
      <c r="AL1785" s="25"/>
      <c r="AM1785" s="25"/>
      <c r="AN1785" s="25"/>
      <c r="AO1785" s="25"/>
      <c r="AP1785" s="25"/>
      <c r="AQ1785" s="25"/>
      <c r="AR1785" s="25"/>
      <c r="AS1785" s="25"/>
      <c r="AT1785" s="25"/>
      <c r="AU1785" s="25"/>
    </row>
    <row r="1786" spans="29:47">
      <c r="AC1786" s="26"/>
      <c r="AE1786" s="26"/>
      <c r="AF1786" s="26"/>
      <c r="AJ1786" s="25"/>
      <c r="AK1786" s="25"/>
      <c r="AL1786" s="25"/>
      <c r="AM1786" s="25"/>
      <c r="AN1786" s="25"/>
      <c r="AO1786" s="25"/>
      <c r="AP1786" s="25"/>
      <c r="AQ1786" s="25"/>
      <c r="AR1786" s="25"/>
      <c r="AS1786" s="25"/>
      <c r="AT1786" s="25"/>
      <c r="AU1786" s="25"/>
    </row>
    <row r="1787" spans="29:47">
      <c r="AC1787" s="26"/>
      <c r="AE1787" s="26"/>
      <c r="AF1787" s="26"/>
      <c r="AJ1787" s="25"/>
      <c r="AK1787" s="25"/>
      <c r="AL1787" s="25"/>
      <c r="AM1787" s="25"/>
      <c r="AN1787" s="25"/>
      <c r="AO1787" s="25"/>
      <c r="AP1787" s="25"/>
      <c r="AQ1787" s="25"/>
      <c r="AR1787" s="25"/>
      <c r="AS1787" s="25"/>
      <c r="AT1787" s="25"/>
      <c r="AU1787" s="25"/>
    </row>
    <row r="1788" spans="29:47">
      <c r="AC1788" s="26"/>
      <c r="AE1788" s="26"/>
      <c r="AF1788" s="26"/>
      <c r="AJ1788" s="25"/>
      <c r="AK1788" s="25"/>
      <c r="AL1788" s="25"/>
      <c r="AM1788" s="25"/>
      <c r="AN1788" s="25"/>
      <c r="AO1788" s="25"/>
      <c r="AP1788" s="25"/>
      <c r="AQ1788" s="25"/>
      <c r="AR1788" s="25"/>
      <c r="AS1788" s="25"/>
      <c r="AT1788" s="25"/>
      <c r="AU1788" s="25"/>
    </row>
    <row r="1789" spans="29:47">
      <c r="AC1789" s="26"/>
      <c r="AE1789" s="26"/>
      <c r="AF1789" s="26"/>
      <c r="AJ1789" s="25"/>
      <c r="AK1789" s="25"/>
      <c r="AL1789" s="25"/>
      <c r="AM1789" s="25"/>
      <c r="AN1789" s="25"/>
      <c r="AO1789" s="25"/>
      <c r="AP1789" s="25"/>
      <c r="AQ1789" s="25"/>
      <c r="AR1789" s="25"/>
      <c r="AS1789" s="25"/>
      <c r="AT1789" s="25"/>
      <c r="AU1789" s="25"/>
    </row>
    <row r="1790" spans="29:47">
      <c r="AC1790" s="26"/>
      <c r="AE1790" s="26"/>
      <c r="AF1790" s="26"/>
      <c r="AJ1790" s="25"/>
      <c r="AK1790" s="25"/>
      <c r="AL1790" s="25"/>
      <c r="AM1790" s="25"/>
      <c r="AN1790" s="25"/>
      <c r="AO1790" s="25"/>
      <c r="AP1790" s="25"/>
      <c r="AQ1790" s="25"/>
      <c r="AR1790" s="25"/>
      <c r="AS1790" s="25"/>
      <c r="AT1790" s="25"/>
      <c r="AU1790" s="25"/>
    </row>
    <row r="1791" spans="29:47">
      <c r="AC1791" s="26"/>
      <c r="AE1791" s="26"/>
      <c r="AF1791" s="26"/>
      <c r="AJ1791" s="25"/>
      <c r="AK1791" s="25"/>
      <c r="AL1791" s="25"/>
      <c r="AM1791" s="25"/>
      <c r="AN1791" s="25"/>
      <c r="AO1791" s="25"/>
      <c r="AP1791" s="25"/>
      <c r="AQ1791" s="25"/>
      <c r="AR1791" s="25"/>
      <c r="AS1791" s="25"/>
      <c r="AT1791" s="25"/>
      <c r="AU1791" s="25"/>
    </row>
    <row r="1792" spans="29:47">
      <c r="AC1792" s="26"/>
      <c r="AE1792" s="26"/>
      <c r="AF1792" s="26"/>
      <c r="AJ1792" s="25"/>
      <c r="AK1792" s="25"/>
      <c r="AL1792" s="25"/>
      <c r="AM1792" s="25"/>
      <c r="AN1792" s="25"/>
      <c r="AO1792" s="25"/>
      <c r="AP1792" s="25"/>
      <c r="AQ1792" s="25"/>
      <c r="AR1792" s="25"/>
      <c r="AS1792" s="25"/>
      <c r="AT1792" s="25"/>
      <c r="AU1792" s="25"/>
    </row>
    <row r="1793" spans="29:47">
      <c r="AC1793" s="26"/>
      <c r="AE1793" s="26"/>
      <c r="AF1793" s="26"/>
      <c r="AJ1793" s="25"/>
      <c r="AK1793" s="25"/>
      <c r="AL1793" s="25"/>
      <c r="AM1793" s="25"/>
      <c r="AN1793" s="25"/>
      <c r="AO1793" s="25"/>
      <c r="AP1793" s="25"/>
      <c r="AQ1793" s="25"/>
      <c r="AR1793" s="25"/>
      <c r="AS1793" s="25"/>
      <c r="AT1793" s="25"/>
      <c r="AU1793" s="25"/>
    </row>
    <row r="1794" spans="29:47">
      <c r="AC1794" s="26"/>
      <c r="AE1794" s="26"/>
      <c r="AF1794" s="26"/>
      <c r="AJ1794" s="25"/>
      <c r="AK1794" s="25"/>
      <c r="AL1794" s="25"/>
      <c r="AM1794" s="25"/>
      <c r="AN1794" s="25"/>
      <c r="AO1794" s="25"/>
      <c r="AP1794" s="25"/>
      <c r="AQ1794" s="25"/>
      <c r="AR1794" s="25"/>
      <c r="AS1794" s="25"/>
      <c r="AT1794" s="25"/>
      <c r="AU1794" s="25"/>
    </row>
    <row r="1795" spans="29:47">
      <c r="AC1795" s="26"/>
      <c r="AE1795" s="26"/>
      <c r="AF1795" s="26"/>
      <c r="AJ1795" s="25"/>
      <c r="AK1795" s="25"/>
      <c r="AL1795" s="25"/>
      <c r="AM1795" s="25"/>
      <c r="AN1795" s="25"/>
      <c r="AO1795" s="25"/>
      <c r="AP1795" s="25"/>
      <c r="AQ1795" s="25"/>
      <c r="AR1795" s="25"/>
      <c r="AS1795" s="25"/>
      <c r="AT1795" s="25"/>
      <c r="AU1795" s="25"/>
    </row>
    <row r="1796" spans="29:47">
      <c r="AC1796" s="26"/>
      <c r="AE1796" s="26"/>
      <c r="AF1796" s="26"/>
      <c r="AJ1796" s="25"/>
      <c r="AK1796" s="25"/>
      <c r="AL1796" s="25"/>
      <c r="AM1796" s="25"/>
      <c r="AN1796" s="25"/>
      <c r="AO1796" s="25"/>
      <c r="AP1796" s="25"/>
      <c r="AQ1796" s="25"/>
      <c r="AR1796" s="25"/>
      <c r="AS1796" s="25"/>
      <c r="AT1796" s="25"/>
      <c r="AU1796" s="25"/>
    </row>
    <row r="1797" spans="29:47">
      <c r="AC1797" s="26"/>
      <c r="AE1797" s="26"/>
      <c r="AF1797" s="26"/>
      <c r="AJ1797" s="25"/>
      <c r="AK1797" s="25"/>
      <c r="AL1797" s="25"/>
      <c r="AM1797" s="25"/>
      <c r="AN1797" s="25"/>
      <c r="AO1797" s="25"/>
      <c r="AP1797" s="25"/>
      <c r="AQ1797" s="25"/>
      <c r="AR1797" s="25"/>
      <c r="AS1797" s="25"/>
      <c r="AT1797" s="25"/>
      <c r="AU1797" s="25"/>
    </row>
    <row r="1798" spans="29:47">
      <c r="AC1798" s="26"/>
      <c r="AE1798" s="26"/>
      <c r="AF1798" s="26"/>
      <c r="AJ1798" s="25"/>
      <c r="AK1798" s="25"/>
      <c r="AL1798" s="25"/>
      <c r="AM1798" s="25"/>
      <c r="AN1798" s="25"/>
      <c r="AO1798" s="25"/>
      <c r="AP1798" s="25"/>
      <c r="AQ1798" s="25"/>
      <c r="AR1798" s="25"/>
      <c r="AS1798" s="25"/>
      <c r="AT1798" s="25"/>
      <c r="AU1798" s="25"/>
    </row>
    <row r="1799" spans="29:47">
      <c r="AC1799" s="26"/>
      <c r="AE1799" s="26"/>
      <c r="AF1799" s="26"/>
      <c r="AJ1799" s="25"/>
      <c r="AK1799" s="25"/>
      <c r="AL1799" s="25"/>
      <c r="AM1799" s="25"/>
      <c r="AN1799" s="25"/>
      <c r="AO1799" s="25"/>
      <c r="AP1799" s="25"/>
      <c r="AQ1799" s="25"/>
      <c r="AR1799" s="25"/>
      <c r="AS1799" s="25"/>
      <c r="AT1799" s="25"/>
      <c r="AU1799" s="25"/>
    </row>
    <row r="1800" spans="29:47">
      <c r="AC1800" s="26"/>
      <c r="AE1800" s="26"/>
      <c r="AF1800" s="26"/>
      <c r="AJ1800" s="25"/>
      <c r="AK1800" s="25"/>
      <c r="AL1800" s="25"/>
      <c r="AM1800" s="25"/>
      <c r="AN1800" s="25"/>
      <c r="AO1800" s="25"/>
      <c r="AP1800" s="25"/>
      <c r="AQ1800" s="25"/>
      <c r="AR1800" s="25"/>
      <c r="AS1800" s="25"/>
      <c r="AT1800" s="25"/>
      <c r="AU1800" s="25"/>
    </row>
    <row r="1801" spans="29:47">
      <c r="AC1801" s="26"/>
      <c r="AE1801" s="26"/>
      <c r="AF1801" s="26"/>
      <c r="AJ1801" s="25"/>
      <c r="AK1801" s="25"/>
      <c r="AL1801" s="25"/>
      <c r="AM1801" s="25"/>
      <c r="AN1801" s="25"/>
      <c r="AO1801" s="25"/>
      <c r="AP1801" s="25"/>
      <c r="AQ1801" s="25"/>
      <c r="AR1801" s="25"/>
      <c r="AS1801" s="25"/>
      <c r="AT1801" s="25"/>
      <c r="AU1801" s="25"/>
    </row>
    <row r="1802" spans="29:47">
      <c r="AC1802" s="26"/>
      <c r="AE1802" s="26"/>
      <c r="AF1802" s="26"/>
      <c r="AJ1802" s="25"/>
      <c r="AK1802" s="25"/>
      <c r="AL1802" s="25"/>
      <c r="AM1802" s="25"/>
      <c r="AN1802" s="25"/>
      <c r="AO1802" s="25"/>
      <c r="AP1802" s="25"/>
      <c r="AQ1802" s="25"/>
      <c r="AR1802" s="25"/>
      <c r="AS1802" s="25"/>
      <c r="AT1802" s="25"/>
      <c r="AU1802" s="25"/>
    </row>
    <row r="1803" spans="29:47">
      <c r="AC1803" s="26"/>
      <c r="AE1803" s="26"/>
      <c r="AF1803" s="26"/>
      <c r="AJ1803" s="25"/>
      <c r="AK1803" s="25"/>
      <c r="AL1803" s="25"/>
      <c r="AM1803" s="25"/>
      <c r="AN1803" s="25"/>
      <c r="AO1803" s="25"/>
      <c r="AP1803" s="25"/>
      <c r="AQ1803" s="25"/>
      <c r="AR1803" s="25"/>
      <c r="AS1803" s="25"/>
      <c r="AT1803" s="25"/>
      <c r="AU1803" s="25"/>
    </row>
    <row r="1804" spans="29:47">
      <c r="AC1804" s="26"/>
      <c r="AE1804" s="26"/>
      <c r="AF1804" s="26"/>
      <c r="AJ1804" s="25"/>
      <c r="AK1804" s="25"/>
      <c r="AL1804" s="25"/>
      <c r="AM1804" s="25"/>
      <c r="AN1804" s="25"/>
      <c r="AO1804" s="25"/>
      <c r="AP1804" s="25"/>
      <c r="AQ1804" s="25"/>
      <c r="AR1804" s="25"/>
      <c r="AS1804" s="25"/>
      <c r="AT1804" s="25"/>
      <c r="AU1804" s="25"/>
    </row>
    <row r="1805" spans="29:47">
      <c r="AC1805" s="26"/>
      <c r="AE1805" s="26"/>
      <c r="AF1805" s="26"/>
      <c r="AJ1805" s="25"/>
      <c r="AK1805" s="25"/>
      <c r="AL1805" s="25"/>
      <c r="AM1805" s="25"/>
      <c r="AN1805" s="25"/>
      <c r="AO1805" s="25"/>
      <c r="AP1805" s="25"/>
      <c r="AQ1805" s="25"/>
      <c r="AR1805" s="25"/>
      <c r="AS1805" s="25"/>
      <c r="AT1805" s="25"/>
      <c r="AU1805" s="25"/>
    </row>
    <row r="1806" spans="29:47">
      <c r="AC1806" s="26"/>
      <c r="AE1806" s="26"/>
      <c r="AF1806" s="26"/>
      <c r="AJ1806" s="25"/>
      <c r="AK1806" s="25"/>
      <c r="AL1806" s="25"/>
      <c r="AM1806" s="25"/>
      <c r="AN1806" s="25"/>
      <c r="AO1806" s="25"/>
      <c r="AP1806" s="25"/>
      <c r="AQ1806" s="25"/>
      <c r="AR1806" s="25"/>
      <c r="AS1806" s="25"/>
      <c r="AT1806" s="25"/>
      <c r="AU1806" s="25"/>
    </row>
    <row r="1807" spans="29:47">
      <c r="AC1807" s="26"/>
      <c r="AE1807" s="26"/>
      <c r="AF1807" s="26"/>
      <c r="AJ1807" s="25"/>
      <c r="AK1807" s="25"/>
      <c r="AL1807" s="25"/>
      <c r="AM1807" s="25"/>
      <c r="AN1807" s="25"/>
      <c r="AO1807" s="25"/>
      <c r="AP1807" s="25"/>
      <c r="AQ1807" s="25"/>
      <c r="AR1807" s="25"/>
      <c r="AS1807" s="25"/>
      <c r="AT1807" s="25"/>
      <c r="AU1807" s="25"/>
    </row>
    <row r="1808" spans="29:47">
      <c r="AC1808" s="26"/>
      <c r="AE1808" s="26"/>
      <c r="AF1808" s="26"/>
      <c r="AJ1808" s="25"/>
      <c r="AK1808" s="25"/>
      <c r="AL1808" s="25"/>
      <c r="AM1808" s="25"/>
      <c r="AN1808" s="25"/>
      <c r="AO1808" s="25"/>
      <c r="AP1808" s="25"/>
      <c r="AQ1808" s="25"/>
      <c r="AR1808" s="25"/>
      <c r="AS1808" s="25"/>
      <c r="AT1808" s="25"/>
      <c r="AU1808" s="25"/>
    </row>
    <row r="1809" spans="29:47">
      <c r="AC1809" s="26"/>
      <c r="AE1809" s="26"/>
      <c r="AF1809" s="26"/>
      <c r="AJ1809" s="25"/>
      <c r="AK1809" s="25"/>
      <c r="AL1809" s="25"/>
      <c r="AM1809" s="25"/>
      <c r="AN1809" s="25"/>
      <c r="AO1809" s="25"/>
      <c r="AP1809" s="25"/>
      <c r="AQ1809" s="25"/>
      <c r="AR1809" s="25"/>
      <c r="AS1809" s="25"/>
      <c r="AT1809" s="25"/>
      <c r="AU1809" s="25"/>
    </row>
    <row r="1810" spans="29:47">
      <c r="AC1810" s="26"/>
      <c r="AE1810" s="26"/>
      <c r="AF1810" s="26"/>
      <c r="AJ1810" s="25"/>
      <c r="AK1810" s="25"/>
      <c r="AL1810" s="25"/>
      <c r="AM1810" s="25"/>
      <c r="AN1810" s="25"/>
      <c r="AO1810" s="25"/>
      <c r="AP1810" s="25"/>
      <c r="AQ1810" s="25"/>
      <c r="AR1810" s="25"/>
      <c r="AS1810" s="25"/>
      <c r="AT1810" s="25"/>
      <c r="AU1810" s="25"/>
    </row>
    <row r="1811" spans="29:47">
      <c r="AC1811" s="26"/>
      <c r="AE1811" s="26"/>
      <c r="AF1811" s="26"/>
      <c r="AJ1811" s="25"/>
      <c r="AK1811" s="25"/>
      <c r="AL1811" s="25"/>
      <c r="AM1811" s="25"/>
      <c r="AN1811" s="25"/>
      <c r="AO1811" s="25"/>
      <c r="AP1811" s="25"/>
      <c r="AQ1811" s="25"/>
      <c r="AR1811" s="25"/>
      <c r="AS1811" s="25"/>
      <c r="AT1811" s="25"/>
      <c r="AU1811" s="25"/>
    </row>
    <row r="1812" spans="29:47">
      <c r="AC1812" s="26"/>
      <c r="AE1812" s="26"/>
      <c r="AF1812" s="26"/>
      <c r="AJ1812" s="25"/>
      <c r="AK1812" s="25"/>
      <c r="AL1812" s="25"/>
      <c r="AM1812" s="25"/>
      <c r="AN1812" s="25"/>
      <c r="AO1812" s="25"/>
      <c r="AP1812" s="25"/>
      <c r="AQ1812" s="25"/>
      <c r="AR1812" s="25"/>
      <c r="AS1812" s="25"/>
      <c r="AT1812" s="25"/>
      <c r="AU1812" s="25"/>
    </row>
    <row r="1813" spans="29:47">
      <c r="AC1813" s="26"/>
      <c r="AE1813" s="26"/>
      <c r="AF1813" s="26"/>
      <c r="AJ1813" s="25"/>
      <c r="AK1813" s="25"/>
      <c r="AL1813" s="25"/>
      <c r="AM1813" s="25"/>
      <c r="AN1813" s="25"/>
      <c r="AO1813" s="25"/>
      <c r="AP1813" s="25"/>
      <c r="AQ1813" s="25"/>
      <c r="AR1813" s="25"/>
      <c r="AS1813" s="25"/>
      <c r="AT1813" s="25"/>
      <c r="AU1813" s="25"/>
    </row>
    <row r="1814" spans="29:47">
      <c r="AC1814" s="26"/>
      <c r="AE1814" s="26"/>
      <c r="AF1814" s="26"/>
      <c r="AJ1814" s="25"/>
      <c r="AK1814" s="25"/>
      <c r="AL1814" s="25"/>
      <c r="AM1814" s="25"/>
      <c r="AN1814" s="25"/>
      <c r="AO1814" s="25"/>
      <c r="AP1814" s="25"/>
      <c r="AQ1814" s="25"/>
      <c r="AR1814" s="25"/>
      <c r="AS1814" s="25"/>
      <c r="AT1814" s="25"/>
      <c r="AU1814" s="25"/>
    </row>
    <row r="1815" spans="29:47">
      <c r="AC1815" s="26"/>
      <c r="AE1815" s="26"/>
      <c r="AF1815" s="26"/>
      <c r="AJ1815" s="25"/>
      <c r="AK1815" s="25"/>
      <c r="AL1815" s="25"/>
      <c r="AM1815" s="25"/>
      <c r="AN1815" s="25"/>
      <c r="AO1815" s="25"/>
      <c r="AP1815" s="25"/>
      <c r="AQ1815" s="25"/>
      <c r="AR1815" s="25"/>
      <c r="AS1815" s="25"/>
      <c r="AT1815" s="25"/>
      <c r="AU1815" s="25"/>
    </row>
    <row r="1816" spans="29:47">
      <c r="AC1816" s="26"/>
      <c r="AE1816" s="26"/>
      <c r="AF1816" s="26"/>
      <c r="AJ1816" s="25"/>
      <c r="AK1816" s="25"/>
      <c r="AL1816" s="25"/>
      <c r="AM1816" s="25"/>
      <c r="AN1816" s="25"/>
      <c r="AO1816" s="25"/>
      <c r="AP1816" s="25"/>
      <c r="AQ1816" s="25"/>
      <c r="AR1816" s="25"/>
      <c r="AS1816" s="25"/>
      <c r="AT1816" s="25"/>
      <c r="AU1816" s="25"/>
    </row>
    <row r="1817" spans="29:47">
      <c r="AC1817" s="26"/>
      <c r="AE1817" s="26"/>
      <c r="AF1817" s="26"/>
      <c r="AJ1817" s="26"/>
      <c r="AK1817" s="25"/>
      <c r="AL1817" s="25"/>
      <c r="AM1817" s="25"/>
      <c r="AN1817" s="25"/>
      <c r="AO1817" s="25"/>
      <c r="AP1817" s="25"/>
      <c r="AQ1817" s="25"/>
      <c r="AR1817" s="25"/>
      <c r="AS1817" s="25"/>
      <c r="AT1817" s="25"/>
      <c r="AU1817" s="25"/>
    </row>
    <row r="1818" spans="29:47">
      <c r="AC1818" s="26"/>
      <c r="AE1818" s="26"/>
      <c r="AF1818" s="26"/>
      <c r="AJ1818" s="26"/>
      <c r="AK1818" s="25"/>
      <c r="AL1818" s="25"/>
      <c r="AM1818" s="25"/>
      <c r="AN1818" s="25"/>
      <c r="AO1818" s="25"/>
      <c r="AP1818" s="25"/>
      <c r="AQ1818" s="25"/>
      <c r="AR1818" s="25"/>
      <c r="AS1818" s="25"/>
      <c r="AT1818" s="25"/>
      <c r="AU1818" s="25"/>
    </row>
    <row r="1819" spans="29:47">
      <c r="AC1819" s="26"/>
      <c r="AE1819" s="26"/>
      <c r="AF1819" s="26"/>
      <c r="AJ1819" s="26"/>
      <c r="AK1819" s="25"/>
      <c r="AL1819" s="25"/>
      <c r="AM1819" s="25"/>
      <c r="AN1819" s="25"/>
      <c r="AO1819" s="25"/>
      <c r="AP1819" s="25"/>
      <c r="AQ1819" s="25"/>
      <c r="AR1819" s="25"/>
      <c r="AS1819" s="25"/>
      <c r="AT1819" s="25"/>
      <c r="AU1819" s="25"/>
    </row>
    <row r="1820" spans="29:47">
      <c r="AC1820" s="26"/>
      <c r="AE1820" s="26"/>
      <c r="AF1820" s="26"/>
      <c r="AJ1820" s="26"/>
      <c r="AK1820" s="25"/>
      <c r="AL1820" s="25"/>
      <c r="AM1820" s="25"/>
      <c r="AN1820" s="25"/>
      <c r="AO1820" s="25"/>
      <c r="AP1820" s="25"/>
      <c r="AQ1820" s="25"/>
      <c r="AR1820" s="25"/>
      <c r="AS1820" s="25"/>
      <c r="AT1820" s="25"/>
      <c r="AU1820" s="25"/>
    </row>
    <row r="1821" spans="29:47">
      <c r="AC1821" s="26"/>
      <c r="AE1821" s="26"/>
      <c r="AF1821" s="26"/>
      <c r="AJ1821" s="26"/>
      <c r="AK1821" s="25"/>
      <c r="AL1821" s="25"/>
      <c r="AM1821" s="25"/>
      <c r="AN1821" s="25"/>
      <c r="AO1821" s="25"/>
      <c r="AP1821" s="25"/>
      <c r="AQ1821" s="25"/>
      <c r="AR1821" s="25"/>
      <c r="AS1821" s="25"/>
      <c r="AT1821" s="25"/>
      <c r="AU1821" s="25"/>
    </row>
    <row r="1822" spans="29:47">
      <c r="AC1822" s="26"/>
      <c r="AE1822" s="26"/>
      <c r="AF1822" s="26"/>
      <c r="AJ1822" s="26"/>
      <c r="AK1822" s="25"/>
      <c r="AL1822" s="25"/>
      <c r="AM1822" s="25"/>
      <c r="AN1822" s="25"/>
      <c r="AO1822" s="25"/>
      <c r="AP1822" s="25"/>
      <c r="AQ1822" s="25"/>
      <c r="AR1822" s="25"/>
      <c r="AS1822" s="25"/>
      <c r="AT1822" s="25"/>
      <c r="AU1822" s="25"/>
    </row>
    <row r="1823" spans="29:47">
      <c r="AC1823" s="26"/>
      <c r="AE1823" s="26"/>
      <c r="AF1823" s="26"/>
      <c r="AJ1823" s="26"/>
      <c r="AK1823" s="25"/>
      <c r="AL1823" s="25"/>
      <c r="AM1823" s="25"/>
      <c r="AN1823" s="25"/>
      <c r="AO1823" s="25"/>
      <c r="AP1823" s="25"/>
      <c r="AQ1823" s="25"/>
      <c r="AR1823" s="25"/>
      <c r="AS1823" s="25"/>
      <c r="AT1823" s="25"/>
      <c r="AU1823" s="25"/>
    </row>
    <row r="1824" spans="29:47">
      <c r="AC1824" s="26"/>
      <c r="AE1824" s="26"/>
      <c r="AF1824" s="26"/>
      <c r="AJ1824" s="26"/>
      <c r="AK1824" s="25"/>
      <c r="AL1824" s="25"/>
      <c r="AM1824" s="25"/>
      <c r="AN1824" s="25"/>
      <c r="AO1824" s="25"/>
      <c r="AP1824" s="25"/>
      <c r="AQ1824" s="25"/>
      <c r="AR1824" s="25"/>
      <c r="AS1824" s="25"/>
      <c r="AT1824" s="25"/>
      <c r="AU1824" s="25"/>
    </row>
    <row r="1825" spans="29:47">
      <c r="AC1825" s="26"/>
      <c r="AE1825" s="26"/>
      <c r="AF1825" s="26"/>
      <c r="AJ1825" s="26"/>
      <c r="AK1825" s="25"/>
      <c r="AL1825" s="25"/>
      <c r="AM1825" s="25"/>
      <c r="AN1825" s="25"/>
      <c r="AO1825" s="25"/>
      <c r="AP1825" s="25"/>
      <c r="AQ1825" s="25"/>
      <c r="AR1825" s="25"/>
      <c r="AS1825" s="25"/>
      <c r="AT1825" s="25"/>
      <c r="AU1825" s="25"/>
    </row>
    <row r="1826" spans="29:47">
      <c r="AC1826" s="26"/>
      <c r="AE1826" s="26"/>
      <c r="AF1826" s="26"/>
      <c r="AJ1826" s="26"/>
      <c r="AK1826" s="25"/>
      <c r="AL1826" s="25"/>
      <c r="AM1826" s="25"/>
      <c r="AN1826" s="25"/>
      <c r="AO1826" s="25"/>
      <c r="AP1826" s="25"/>
      <c r="AQ1826" s="25"/>
      <c r="AR1826" s="25"/>
      <c r="AS1826" s="25"/>
      <c r="AT1826" s="25"/>
      <c r="AU1826" s="25"/>
    </row>
    <row r="1827" spans="29:47">
      <c r="AC1827" s="26"/>
      <c r="AE1827" s="26"/>
      <c r="AF1827" s="26"/>
      <c r="AJ1827" s="26"/>
      <c r="AK1827" s="25"/>
      <c r="AL1827" s="25"/>
      <c r="AM1827" s="25"/>
      <c r="AN1827" s="25"/>
      <c r="AO1827" s="25"/>
      <c r="AP1827" s="25"/>
      <c r="AQ1827" s="25"/>
      <c r="AR1827" s="25"/>
      <c r="AS1827" s="25"/>
      <c r="AT1827" s="25"/>
      <c r="AU1827" s="25"/>
    </row>
    <row r="1828" spans="29:47">
      <c r="AC1828" s="26"/>
      <c r="AE1828" s="26"/>
      <c r="AF1828" s="26"/>
      <c r="AJ1828" s="26"/>
      <c r="AK1828" s="25"/>
      <c r="AL1828" s="25"/>
      <c r="AM1828" s="25"/>
      <c r="AN1828" s="25"/>
      <c r="AO1828" s="25"/>
      <c r="AP1828" s="25"/>
      <c r="AQ1828" s="25"/>
      <c r="AR1828" s="25"/>
      <c r="AS1828" s="25"/>
      <c r="AT1828" s="25"/>
      <c r="AU1828" s="25"/>
    </row>
    <row r="1829" spans="29:47">
      <c r="AC1829" s="26"/>
      <c r="AE1829" s="26"/>
      <c r="AF1829" s="26"/>
      <c r="AJ1829" s="26"/>
      <c r="AK1829" s="25"/>
      <c r="AL1829" s="25"/>
      <c r="AM1829" s="25"/>
      <c r="AN1829" s="25"/>
      <c r="AO1829" s="25"/>
      <c r="AP1829" s="25"/>
      <c r="AQ1829" s="25"/>
      <c r="AR1829" s="25"/>
      <c r="AS1829" s="25"/>
      <c r="AT1829" s="25"/>
      <c r="AU1829" s="25"/>
    </row>
    <row r="1830" spans="29:47">
      <c r="AC1830" s="26"/>
      <c r="AE1830" s="26"/>
      <c r="AF1830" s="26"/>
      <c r="AJ1830" s="26"/>
      <c r="AK1830" s="25"/>
      <c r="AL1830" s="25"/>
      <c r="AM1830" s="25"/>
      <c r="AN1830" s="25"/>
      <c r="AO1830" s="25"/>
      <c r="AP1830" s="25"/>
      <c r="AQ1830" s="25"/>
      <c r="AR1830" s="25"/>
      <c r="AS1830" s="25"/>
      <c r="AT1830" s="25"/>
      <c r="AU1830" s="25"/>
    </row>
    <row r="1831" spans="29:47">
      <c r="AC1831" s="26"/>
      <c r="AE1831" s="26"/>
      <c r="AF1831" s="26"/>
      <c r="AJ1831" s="26"/>
      <c r="AK1831" s="25"/>
      <c r="AL1831" s="25"/>
      <c r="AM1831" s="25"/>
      <c r="AN1831" s="25"/>
      <c r="AO1831" s="25"/>
      <c r="AP1831" s="25"/>
      <c r="AQ1831" s="25"/>
      <c r="AR1831" s="25"/>
      <c r="AS1831" s="25"/>
      <c r="AT1831" s="25"/>
      <c r="AU1831" s="25"/>
    </row>
    <row r="1832" spans="29:47">
      <c r="AC1832" s="26"/>
      <c r="AE1832" s="26"/>
      <c r="AF1832" s="26"/>
      <c r="AJ1832" s="26"/>
      <c r="AK1832" s="25"/>
      <c r="AL1832" s="25"/>
      <c r="AM1832" s="25"/>
      <c r="AN1832" s="25"/>
      <c r="AO1832" s="25"/>
      <c r="AP1832" s="25"/>
      <c r="AQ1832" s="25"/>
      <c r="AR1832" s="25"/>
      <c r="AS1832" s="25"/>
      <c r="AT1832" s="25"/>
      <c r="AU1832" s="25"/>
    </row>
    <row r="1833" spans="29:47">
      <c r="AC1833" s="26"/>
      <c r="AE1833" s="26"/>
      <c r="AF1833" s="26"/>
      <c r="AJ1833" s="26"/>
      <c r="AK1833" s="25"/>
      <c r="AL1833" s="25"/>
      <c r="AM1833" s="25"/>
      <c r="AN1833" s="25"/>
      <c r="AO1833" s="25"/>
      <c r="AP1833" s="25"/>
      <c r="AQ1833" s="25"/>
      <c r="AR1833" s="25"/>
      <c r="AS1833" s="25"/>
      <c r="AT1833" s="25"/>
      <c r="AU1833" s="25"/>
    </row>
    <row r="1834" spans="29:47">
      <c r="AC1834" s="26"/>
      <c r="AE1834" s="26"/>
      <c r="AF1834" s="26"/>
      <c r="AJ1834" s="26"/>
      <c r="AK1834" s="25"/>
      <c r="AL1834" s="25"/>
      <c r="AM1834" s="25"/>
      <c r="AN1834" s="25"/>
      <c r="AO1834" s="25"/>
      <c r="AP1834" s="25"/>
      <c r="AQ1834" s="25"/>
      <c r="AR1834" s="25"/>
      <c r="AS1834" s="25"/>
      <c r="AT1834" s="25"/>
      <c r="AU1834" s="25"/>
    </row>
    <row r="1835" spans="29:47">
      <c r="AC1835" s="26"/>
      <c r="AE1835" s="26"/>
      <c r="AF1835" s="26"/>
      <c r="AJ1835" s="26"/>
      <c r="AK1835" s="25"/>
      <c r="AL1835" s="25"/>
      <c r="AM1835" s="25"/>
      <c r="AN1835" s="25"/>
      <c r="AO1835" s="25"/>
      <c r="AP1835" s="25"/>
      <c r="AQ1835" s="25"/>
      <c r="AR1835" s="25"/>
      <c r="AS1835" s="25"/>
      <c r="AT1835" s="25"/>
      <c r="AU1835" s="25"/>
    </row>
    <row r="1836" spans="29:47">
      <c r="AC1836" s="26"/>
      <c r="AE1836" s="26"/>
      <c r="AF1836" s="26"/>
      <c r="AJ1836" s="26"/>
      <c r="AK1836" s="25"/>
      <c r="AL1836" s="25"/>
      <c r="AM1836" s="25"/>
      <c r="AN1836" s="25"/>
      <c r="AO1836" s="25"/>
      <c r="AP1836" s="25"/>
      <c r="AQ1836" s="25"/>
      <c r="AR1836" s="25"/>
      <c r="AS1836" s="25"/>
      <c r="AT1836" s="25"/>
      <c r="AU1836" s="25"/>
    </row>
    <row r="1837" spans="29:47">
      <c r="AC1837" s="26"/>
      <c r="AE1837" s="26"/>
      <c r="AF1837" s="26"/>
      <c r="AJ1837" s="26"/>
      <c r="AK1837" s="25"/>
      <c r="AL1837" s="25"/>
      <c r="AM1837" s="25"/>
      <c r="AN1837" s="25"/>
      <c r="AO1837" s="25"/>
      <c r="AP1837" s="25"/>
      <c r="AQ1837" s="25"/>
      <c r="AR1837" s="25"/>
      <c r="AS1837" s="25"/>
      <c r="AT1837" s="25"/>
      <c r="AU1837" s="25"/>
    </row>
    <row r="1838" spans="29:47">
      <c r="AC1838" s="26"/>
      <c r="AE1838" s="26"/>
      <c r="AF1838" s="26"/>
      <c r="AJ1838" s="26"/>
      <c r="AK1838" s="25"/>
      <c r="AL1838" s="25"/>
      <c r="AM1838" s="25"/>
      <c r="AN1838" s="25"/>
      <c r="AO1838" s="25"/>
      <c r="AP1838" s="25"/>
      <c r="AQ1838" s="25"/>
      <c r="AR1838" s="25"/>
      <c r="AS1838" s="25"/>
      <c r="AT1838" s="25"/>
      <c r="AU1838" s="25"/>
    </row>
    <row r="1839" spans="29:47">
      <c r="AC1839" s="26"/>
      <c r="AE1839" s="26"/>
      <c r="AF1839" s="26"/>
      <c r="AJ1839" s="26"/>
      <c r="AK1839" s="25"/>
      <c r="AL1839" s="25"/>
      <c r="AM1839" s="25"/>
      <c r="AN1839" s="25"/>
      <c r="AO1839" s="25"/>
      <c r="AP1839" s="25"/>
      <c r="AQ1839" s="25"/>
      <c r="AR1839" s="25"/>
      <c r="AS1839" s="25"/>
      <c r="AT1839" s="25"/>
      <c r="AU1839" s="25"/>
    </row>
    <row r="1840" spans="29:47">
      <c r="AC1840" s="26"/>
      <c r="AE1840" s="26"/>
      <c r="AF1840" s="26"/>
      <c r="AJ1840" s="26"/>
      <c r="AK1840" s="25"/>
      <c r="AL1840" s="25"/>
      <c r="AM1840" s="25"/>
      <c r="AN1840" s="25"/>
      <c r="AO1840" s="25"/>
      <c r="AP1840" s="25"/>
      <c r="AQ1840" s="25"/>
      <c r="AR1840" s="25"/>
      <c r="AS1840" s="25"/>
      <c r="AT1840" s="25"/>
      <c r="AU1840" s="25"/>
    </row>
    <row r="1841" spans="29:47">
      <c r="AC1841" s="26"/>
      <c r="AE1841" s="26"/>
      <c r="AF1841" s="26"/>
      <c r="AJ1841" s="26"/>
      <c r="AK1841" s="25"/>
      <c r="AL1841" s="25"/>
      <c r="AM1841" s="25"/>
      <c r="AN1841" s="25"/>
      <c r="AO1841" s="25"/>
      <c r="AP1841" s="25"/>
      <c r="AQ1841" s="25"/>
      <c r="AR1841" s="25"/>
      <c r="AS1841" s="25"/>
      <c r="AT1841" s="25"/>
      <c r="AU1841" s="25"/>
    </row>
    <row r="1842" spans="29:47">
      <c r="AC1842" s="26"/>
      <c r="AE1842" s="26"/>
      <c r="AF1842" s="26"/>
      <c r="AJ1842" s="26"/>
      <c r="AK1842" s="25"/>
      <c r="AL1842" s="25"/>
      <c r="AM1842" s="25"/>
      <c r="AN1842" s="25"/>
      <c r="AO1842" s="25"/>
      <c r="AP1842" s="25"/>
      <c r="AQ1842" s="25"/>
      <c r="AR1842" s="25"/>
      <c r="AS1842" s="25"/>
      <c r="AT1842" s="25"/>
      <c r="AU1842" s="25"/>
    </row>
    <row r="1843" spans="29:47">
      <c r="AC1843" s="26"/>
      <c r="AE1843" s="26"/>
      <c r="AF1843" s="26"/>
      <c r="AJ1843" s="26"/>
      <c r="AK1843" s="25"/>
      <c r="AL1843" s="25"/>
      <c r="AM1843" s="25"/>
      <c r="AN1843" s="25"/>
      <c r="AO1843" s="25"/>
      <c r="AP1843" s="25"/>
      <c r="AQ1843" s="25"/>
      <c r="AR1843" s="25"/>
      <c r="AS1843" s="25"/>
      <c r="AT1843" s="25"/>
      <c r="AU1843" s="25"/>
    </row>
    <row r="1844" spans="29:47">
      <c r="AC1844" s="26"/>
      <c r="AE1844" s="26"/>
      <c r="AF1844" s="26"/>
      <c r="AJ1844" s="26"/>
      <c r="AK1844" s="25"/>
      <c r="AL1844" s="25"/>
      <c r="AM1844" s="25"/>
      <c r="AN1844" s="25"/>
      <c r="AO1844" s="25"/>
      <c r="AP1844" s="25"/>
      <c r="AQ1844" s="25"/>
      <c r="AR1844" s="25"/>
      <c r="AS1844" s="25"/>
      <c r="AT1844" s="25"/>
      <c r="AU1844" s="25"/>
    </row>
    <row r="1845" spans="29:47">
      <c r="AC1845" s="26"/>
      <c r="AE1845" s="26"/>
      <c r="AF1845" s="26"/>
      <c r="AJ1845" s="26"/>
      <c r="AK1845" s="25"/>
      <c r="AL1845" s="25"/>
      <c r="AM1845" s="25"/>
      <c r="AN1845" s="25"/>
      <c r="AO1845" s="25"/>
      <c r="AP1845" s="25"/>
      <c r="AQ1845" s="25"/>
      <c r="AR1845" s="25"/>
      <c r="AS1845" s="25"/>
      <c r="AT1845" s="25"/>
      <c r="AU1845" s="25"/>
    </row>
    <row r="1846" spans="29:47">
      <c r="AC1846" s="26"/>
      <c r="AE1846" s="26"/>
      <c r="AF1846" s="26"/>
      <c r="AJ1846" s="26"/>
      <c r="AK1846" s="25"/>
      <c r="AL1846" s="25"/>
      <c r="AM1846" s="25"/>
      <c r="AN1846" s="25"/>
      <c r="AO1846" s="25"/>
      <c r="AP1846" s="25"/>
      <c r="AQ1846" s="25"/>
      <c r="AR1846" s="25"/>
      <c r="AS1846" s="25"/>
      <c r="AT1846" s="25"/>
      <c r="AU1846" s="25"/>
    </row>
    <row r="1847" spans="29:47">
      <c r="AC1847" s="26"/>
      <c r="AE1847" s="26"/>
      <c r="AF1847" s="26"/>
      <c r="AJ1847" s="26"/>
      <c r="AK1847" s="25"/>
      <c r="AL1847" s="25"/>
      <c r="AM1847" s="25"/>
      <c r="AN1847" s="25"/>
      <c r="AO1847" s="25"/>
      <c r="AP1847" s="25"/>
      <c r="AQ1847" s="25"/>
      <c r="AR1847" s="25"/>
      <c r="AS1847" s="25"/>
      <c r="AT1847" s="25"/>
      <c r="AU1847" s="25"/>
    </row>
    <row r="1848" spans="29:47">
      <c r="AC1848" s="26"/>
      <c r="AE1848" s="26"/>
      <c r="AF1848" s="26"/>
      <c r="AJ1848" s="26"/>
      <c r="AK1848" s="25"/>
      <c r="AL1848" s="25"/>
      <c r="AM1848" s="25"/>
      <c r="AN1848" s="25"/>
      <c r="AO1848" s="25"/>
      <c r="AP1848" s="25"/>
      <c r="AQ1848" s="25"/>
      <c r="AR1848" s="25"/>
      <c r="AS1848" s="25"/>
      <c r="AT1848" s="25"/>
      <c r="AU1848" s="25"/>
    </row>
    <row r="1849" spans="29:47">
      <c r="AC1849" s="26"/>
      <c r="AE1849" s="26"/>
      <c r="AF1849" s="26"/>
      <c r="AJ1849" s="26"/>
      <c r="AK1849" s="25"/>
      <c r="AL1849" s="25"/>
      <c r="AM1849" s="25"/>
      <c r="AN1849" s="25"/>
      <c r="AO1849" s="25"/>
      <c r="AP1849" s="25"/>
      <c r="AQ1849" s="25"/>
      <c r="AR1849" s="25"/>
      <c r="AS1849" s="25"/>
      <c r="AT1849" s="25"/>
      <c r="AU1849" s="25"/>
    </row>
    <row r="1850" spans="29:47">
      <c r="AC1850" s="26"/>
      <c r="AE1850" s="26"/>
      <c r="AF1850" s="26"/>
      <c r="AJ1850" s="26"/>
      <c r="AK1850" s="25"/>
      <c r="AL1850" s="25"/>
      <c r="AM1850" s="25"/>
      <c r="AN1850" s="25"/>
      <c r="AO1850" s="25"/>
      <c r="AP1850" s="25"/>
      <c r="AQ1850" s="25"/>
      <c r="AR1850" s="25"/>
      <c r="AS1850" s="25"/>
      <c r="AT1850" s="25"/>
      <c r="AU1850" s="25"/>
    </row>
    <row r="1851" spans="29:47">
      <c r="AC1851" s="26"/>
      <c r="AE1851" s="26"/>
      <c r="AF1851" s="26"/>
      <c r="AJ1851" s="26"/>
      <c r="AK1851" s="25"/>
      <c r="AL1851" s="25"/>
      <c r="AM1851" s="25"/>
      <c r="AN1851" s="25"/>
      <c r="AO1851" s="25"/>
      <c r="AP1851" s="25"/>
      <c r="AQ1851" s="25"/>
      <c r="AR1851" s="25"/>
      <c r="AS1851" s="25"/>
      <c r="AT1851" s="25"/>
      <c r="AU1851" s="25"/>
    </row>
    <row r="1852" spans="29:47">
      <c r="AC1852" s="26"/>
      <c r="AE1852" s="26"/>
      <c r="AF1852" s="26"/>
      <c r="AJ1852" s="26"/>
      <c r="AK1852" s="25"/>
      <c r="AL1852" s="25"/>
      <c r="AM1852" s="25"/>
      <c r="AN1852" s="25"/>
      <c r="AO1852" s="25"/>
      <c r="AP1852" s="25"/>
      <c r="AQ1852" s="25"/>
      <c r="AR1852" s="25"/>
      <c r="AS1852" s="25"/>
      <c r="AT1852" s="25"/>
      <c r="AU1852" s="25"/>
    </row>
    <row r="1853" spans="29:47">
      <c r="AC1853" s="26"/>
      <c r="AE1853" s="26"/>
      <c r="AF1853" s="26"/>
      <c r="AJ1853" s="26"/>
      <c r="AK1853" s="25"/>
      <c r="AL1853" s="25"/>
      <c r="AM1853" s="25"/>
      <c r="AN1853" s="25"/>
      <c r="AO1853" s="25"/>
      <c r="AP1853" s="25"/>
      <c r="AQ1853" s="25"/>
      <c r="AR1853" s="25"/>
      <c r="AS1853" s="25"/>
      <c r="AT1853" s="25"/>
      <c r="AU1853" s="25"/>
    </row>
    <row r="1854" spans="29:47">
      <c r="AC1854" s="26"/>
      <c r="AE1854" s="26"/>
      <c r="AF1854" s="26"/>
      <c r="AJ1854" s="26"/>
      <c r="AK1854" s="25"/>
      <c r="AL1854" s="25"/>
      <c r="AM1854" s="25"/>
      <c r="AN1854" s="25"/>
      <c r="AO1854" s="25"/>
      <c r="AP1854" s="25"/>
      <c r="AQ1854" s="25"/>
      <c r="AR1854" s="25"/>
      <c r="AS1854" s="25"/>
      <c r="AT1854" s="25"/>
      <c r="AU1854" s="25"/>
    </row>
    <row r="1855" spans="29:47">
      <c r="AC1855" s="26"/>
      <c r="AE1855" s="26"/>
      <c r="AF1855" s="26"/>
      <c r="AJ1855" s="26"/>
      <c r="AK1855" s="25"/>
      <c r="AL1855" s="25"/>
      <c r="AM1855" s="25"/>
      <c r="AN1855" s="25"/>
      <c r="AO1855" s="25"/>
      <c r="AP1855" s="25"/>
      <c r="AQ1855" s="25"/>
      <c r="AR1855" s="25"/>
      <c r="AS1855" s="25"/>
      <c r="AT1855" s="25"/>
      <c r="AU1855" s="25"/>
    </row>
    <row r="1856" spans="29:47">
      <c r="AC1856" s="26"/>
      <c r="AE1856" s="26"/>
      <c r="AF1856" s="26"/>
      <c r="AJ1856" s="26"/>
      <c r="AK1856" s="25"/>
      <c r="AL1856" s="25"/>
      <c r="AM1856" s="25"/>
      <c r="AN1856" s="25"/>
      <c r="AO1856" s="25"/>
      <c r="AP1856" s="25"/>
      <c r="AQ1856" s="25"/>
      <c r="AR1856" s="25"/>
      <c r="AS1856" s="25"/>
      <c r="AT1856" s="25"/>
      <c r="AU1856" s="25"/>
    </row>
    <row r="1857" spans="29:47">
      <c r="AC1857" s="26"/>
      <c r="AE1857" s="26"/>
      <c r="AF1857" s="26"/>
      <c r="AJ1857" s="26"/>
      <c r="AK1857" s="25"/>
      <c r="AL1857" s="25"/>
      <c r="AM1857" s="25"/>
      <c r="AN1857" s="25"/>
      <c r="AO1857" s="25"/>
      <c r="AP1857" s="25"/>
      <c r="AQ1857" s="25"/>
      <c r="AR1857" s="25"/>
      <c r="AS1857" s="25"/>
      <c r="AT1857" s="25"/>
      <c r="AU1857" s="25"/>
    </row>
    <row r="1858" spans="29:47">
      <c r="AC1858" s="26"/>
      <c r="AE1858" s="26"/>
      <c r="AF1858" s="26"/>
      <c r="AJ1858" s="26"/>
      <c r="AK1858" s="25"/>
      <c r="AL1858" s="25"/>
      <c r="AM1858" s="25"/>
      <c r="AN1858" s="25"/>
      <c r="AO1858" s="25"/>
      <c r="AP1858" s="25"/>
      <c r="AQ1858" s="25"/>
      <c r="AR1858" s="25"/>
      <c r="AS1858" s="25"/>
      <c r="AT1858" s="25"/>
      <c r="AU1858" s="25"/>
    </row>
    <row r="1859" spans="29:47">
      <c r="AC1859" s="26"/>
      <c r="AE1859" s="26"/>
      <c r="AF1859" s="26"/>
      <c r="AJ1859" s="26"/>
      <c r="AK1859" s="25"/>
      <c r="AL1859" s="25"/>
      <c r="AM1859" s="25"/>
      <c r="AN1859" s="25"/>
      <c r="AO1859" s="25"/>
      <c r="AP1859" s="25"/>
      <c r="AQ1859" s="25"/>
      <c r="AR1859" s="25"/>
      <c r="AS1859" s="25"/>
      <c r="AT1859" s="25"/>
      <c r="AU1859" s="25"/>
    </row>
    <row r="1860" spans="29:47">
      <c r="AC1860" s="26"/>
      <c r="AE1860" s="26"/>
      <c r="AF1860" s="26"/>
      <c r="AJ1860" s="26"/>
      <c r="AK1860" s="25"/>
      <c r="AL1860" s="25"/>
      <c r="AM1860" s="25"/>
      <c r="AN1860" s="25"/>
      <c r="AO1860" s="25"/>
      <c r="AP1860" s="25"/>
      <c r="AQ1860" s="25"/>
      <c r="AR1860" s="25"/>
      <c r="AS1860" s="25"/>
      <c r="AT1860" s="25"/>
      <c r="AU1860" s="25"/>
    </row>
    <row r="1861" spans="29:47">
      <c r="AC1861" s="26"/>
      <c r="AE1861" s="26"/>
      <c r="AF1861" s="26"/>
      <c r="AJ1861" s="26"/>
      <c r="AK1861" s="25"/>
      <c r="AL1861" s="25"/>
      <c r="AM1861" s="25"/>
      <c r="AN1861" s="25"/>
      <c r="AO1861" s="25"/>
      <c r="AP1861" s="25"/>
      <c r="AQ1861" s="25"/>
      <c r="AR1861" s="25"/>
      <c r="AS1861" s="25"/>
      <c r="AT1861" s="25"/>
      <c r="AU1861" s="25"/>
    </row>
    <row r="1862" spans="29:47">
      <c r="AC1862" s="26"/>
      <c r="AE1862" s="26"/>
      <c r="AF1862" s="26"/>
      <c r="AJ1862" s="26"/>
      <c r="AK1862" s="25"/>
      <c r="AL1862" s="25"/>
      <c r="AM1862" s="25"/>
      <c r="AN1862" s="25"/>
      <c r="AO1862" s="25"/>
      <c r="AP1862" s="25"/>
      <c r="AQ1862" s="25"/>
      <c r="AR1862" s="25"/>
      <c r="AS1862" s="25"/>
      <c r="AT1862" s="25"/>
      <c r="AU1862" s="25"/>
    </row>
    <row r="1863" spans="29:47">
      <c r="AC1863" s="26"/>
      <c r="AE1863" s="26"/>
      <c r="AF1863" s="26"/>
      <c r="AJ1863" s="26"/>
    </row>
    <row r="1864" spans="29:47">
      <c r="AC1864" s="26"/>
      <c r="AE1864" s="26"/>
      <c r="AF1864" s="26"/>
      <c r="AJ1864" s="26"/>
    </row>
    <row r="1865" spans="29:47">
      <c r="AC1865" s="26"/>
      <c r="AE1865" s="26"/>
      <c r="AF1865" s="26"/>
      <c r="AJ1865" s="26"/>
    </row>
    <row r="1866" spans="29:47">
      <c r="AC1866" s="26"/>
      <c r="AE1866" s="26"/>
      <c r="AF1866" s="26"/>
      <c r="AJ1866" s="26"/>
    </row>
    <row r="1867" spans="29:47">
      <c r="AC1867" s="26"/>
      <c r="AE1867" s="26"/>
      <c r="AF1867" s="26"/>
      <c r="AJ1867" s="26"/>
    </row>
    <row r="1868" spans="29:47">
      <c r="AC1868" s="26"/>
      <c r="AE1868" s="26"/>
      <c r="AF1868" s="26"/>
      <c r="AJ1868" s="26"/>
    </row>
    <row r="1869" spans="29:47">
      <c r="AC1869" s="26"/>
      <c r="AE1869" s="26"/>
      <c r="AF1869" s="26"/>
      <c r="AJ1869" s="26"/>
    </row>
    <row r="1870" spans="29:47">
      <c r="AC1870" s="26"/>
      <c r="AE1870" s="26"/>
      <c r="AF1870" s="26"/>
      <c r="AJ1870" s="26"/>
    </row>
    <row r="1871" spans="29:47">
      <c r="AC1871" s="26"/>
      <c r="AE1871" s="26"/>
      <c r="AF1871" s="26"/>
      <c r="AJ1871" s="26"/>
    </row>
    <row r="1872" spans="29:47">
      <c r="AC1872" s="26"/>
      <c r="AE1872" s="26"/>
      <c r="AF1872" s="26"/>
      <c r="AJ1872" s="26"/>
    </row>
    <row r="1873" spans="29:36">
      <c r="AC1873" s="26"/>
      <c r="AE1873" s="26"/>
      <c r="AF1873" s="26"/>
      <c r="AJ1873" s="26"/>
    </row>
    <row r="1874" spans="29:36">
      <c r="AC1874" s="26"/>
      <c r="AE1874" s="26"/>
      <c r="AF1874" s="26"/>
      <c r="AJ1874" s="26"/>
    </row>
    <row r="1875" spans="29:36">
      <c r="AC1875" s="26"/>
      <c r="AE1875" s="26"/>
      <c r="AF1875" s="26"/>
      <c r="AJ1875" s="26"/>
    </row>
    <row r="1876" spans="29:36">
      <c r="AC1876" s="26"/>
      <c r="AE1876" s="26"/>
      <c r="AF1876" s="26"/>
      <c r="AJ1876" s="26"/>
    </row>
    <row r="1877" spans="29:36">
      <c r="AC1877" s="26"/>
      <c r="AE1877" s="26"/>
      <c r="AF1877" s="26"/>
      <c r="AJ1877" s="26"/>
    </row>
    <row r="1878" spans="29:36">
      <c r="AC1878" s="26"/>
      <c r="AE1878" s="26"/>
      <c r="AF1878" s="26"/>
      <c r="AJ1878" s="26"/>
    </row>
    <row r="1879" spans="29:36">
      <c r="AC1879" s="26"/>
      <c r="AE1879" s="26"/>
      <c r="AF1879" s="26"/>
      <c r="AJ1879" s="26"/>
    </row>
    <row r="1880" spans="29:36">
      <c r="AC1880" s="26"/>
      <c r="AE1880" s="26"/>
      <c r="AF1880" s="26"/>
      <c r="AJ1880" s="26"/>
    </row>
    <row r="1881" spans="29:36">
      <c r="AC1881" s="26"/>
      <c r="AE1881" s="26"/>
      <c r="AF1881" s="26"/>
      <c r="AJ1881" s="26"/>
    </row>
    <row r="1882" spans="29:36">
      <c r="AC1882" s="26"/>
      <c r="AE1882" s="26"/>
      <c r="AF1882" s="26"/>
      <c r="AJ1882" s="26"/>
    </row>
    <row r="1883" spans="29:36">
      <c r="AC1883" s="26"/>
      <c r="AE1883" s="26"/>
      <c r="AF1883" s="26"/>
      <c r="AJ1883" s="26"/>
    </row>
    <row r="1884" spans="29:36">
      <c r="AC1884" s="26"/>
      <c r="AE1884" s="26"/>
      <c r="AF1884" s="26"/>
      <c r="AJ1884" s="26"/>
    </row>
    <row r="1885" spans="29:36">
      <c r="AC1885" s="26"/>
      <c r="AE1885" s="26"/>
      <c r="AF1885" s="26"/>
      <c r="AJ1885" s="26"/>
    </row>
    <row r="1886" spans="29:36">
      <c r="AC1886" s="26"/>
      <c r="AE1886" s="26"/>
      <c r="AF1886" s="26"/>
      <c r="AJ1886" s="26"/>
    </row>
    <row r="1887" spans="29:36">
      <c r="AC1887" s="26"/>
      <c r="AE1887" s="26"/>
      <c r="AF1887" s="26"/>
      <c r="AJ1887" s="26"/>
    </row>
    <row r="1888" spans="29:36">
      <c r="AC1888" s="26"/>
      <c r="AE1888" s="26"/>
      <c r="AF1888" s="26"/>
      <c r="AJ1888" s="26"/>
    </row>
    <row r="1889" spans="29:36">
      <c r="AC1889" s="26"/>
      <c r="AE1889" s="26"/>
      <c r="AF1889" s="26"/>
      <c r="AJ1889" s="26"/>
    </row>
    <row r="1890" spans="29:36">
      <c r="AC1890" s="26"/>
      <c r="AE1890" s="26"/>
      <c r="AF1890" s="26"/>
      <c r="AJ1890" s="26"/>
    </row>
    <row r="1891" spans="29:36">
      <c r="AC1891" s="26"/>
      <c r="AE1891" s="26"/>
      <c r="AF1891" s="26"/>
      <c r="AJ1891" s="26"/>
    </row>
    <row r="1892" spans="29:36">
      <c r="AC1892" s="26"/>
      <c r="AE1892" s="26"/>
      <c r="AF1892" s="26"/>
      <c r="AJ1892" s="26"/>
    </row>
    <row r="1893" spans="29:36">
      <c r="AC1893" s="26"/>
      <c r="AE1893" s="26"/>
      <c r="AF1893" s="26"/>
      <c r="AJ1893" s="26"/>
    </row>
    <row r="1894" spans="29:36">
      <c r="AC1894" s="26"/>
      <c r="AE1894" s="26"/>
      <c r="AF1894" s="26"/>
      <c r="AJ1894" s="26"/>
    </row>
    <row r="1895" spans="29:36">
      <c r="AC1895" s="26"/>
      <c r="AE1895" s="26"/>
      <c r="AF1895" s="26"/>
      <c r="AJ1895" s="26"/>
    </row>
    <row r="1896" spans="29:36">
      <c r="AC1896" s="26"/>
      <c r="AE1896" s="26"/>
      <c r="AF1896" s="26"/>
      <c r="AJ1896" s="26"/>
    </row>
    <row r="1897" spans="29:36">
      <c r="AC1897" s="26"/>
      <c r="AE1897" s="26"/>
      <c r="AF1897" s="26"/>
      <c r="AJ1897" s="26"/>
    </row>
    <row r="1898" spans="29:36">
      <c r="AC1898" s="26"/>
      <c r="AE1898" s="26"/>
      <c r="AF1898" s="26"/>
      <c r="AJ1898" s="26"/>
    </row>
    <row r="1899" spans="29:36">
      <c r="AC1899" s="26"/>
      <c r="AE1899" s="26"/>
      <c r="AF1899" s="26"/>
      <c r="AJ1899" s="26"/>
    </row>
    <row r="1900" spans="29:36">
      <c r="AC1900" s="26"/>
      <c r="AE1900" s="26"/>
      <c r="AF1900" s="26"/>
      <c r="AJ1900" s="26"/>
    </row>
    <row r="1901" spans="29:36">
      <c r="AC1901" s="26"/>
      <c r="AE1901" s="26"/>
      <c r="AF1901" s="26"/>
      <c r="AJ1901" s="26"/>
    </row>
    <row r="1902" spans="29:36">
      <c r="AC1902" s="26"/>
      <c r="AE1902" s="26"/>
      <c r="AF1902" s="26"/>
      <c r="AJ1902" s="26"/>
    </row>
    <row r="1903" spans="29:36">
      <c r="AC1903" s="26"/>
      <c r="AE1903" s="26"/>
      <c r="AF1903" s="26"/>
      <c r="AJ1903" s="26"/>
    </row>
    <row r="1904" spans="29:36">
      <c r="AC1904" s="26"/>
      <c r="AE1904" s="26"/>
      <c r="AF1904" s="26"/>
      <c r="AJ1904" s="26"/>
    </row>
    <row r="1905" spans="29:36">
      <c r="AC1905" s="26"/>
      <c r="AE1905" s="26"/>
      <c r="AF1905" s="26"/>
      <c r="AJ1905" s="26"/>
    </row>
    <row r="1906" spans="29:36">
      <c r="AC1906" s="26"/>
      <c r="AE1906" s="26"/>
      <c r="AF1906" s="26"/>
      <c r="AJ1906" s="26"/>
    </row>
    <row r="1907" spans="29:36">
      <c r="AC1907" s="26"/>
      <c r="AE1907" s="26"/>
      <c r="AF1907" s="26"/>
      <c r="AJ1907" s="26"/>
    </row>
    <row r="1908" spans="29:36">
      <c r="AC1908" s="26"/>
      <c r="AE1908" s="26"/>
      <c r="AF1908" s="26"/>
      <c r="AJ1908" s="26"/>
    </row>
    <row r="1909" spans="29:36">
      <c r="AC1909" s="26"/>
      <c r="AE1909" s="26"/>
      <c r="AF1909" s="26"/>
      <c r="AJ1909" s="26"/>
    </row>
    <row r="1910" spans="29:36">
      <c r="AC1910" s="26"/>
      <c r="AE1910" s="26"/>
      <c r="AF1910" s="26"/>
      <c r="AJ1910" s="26"/>
    </row>
    <row r="1911" spans="29:36">
      <c r="AC1911" s="26"/>
      <c r="AE1911" s="26"/>
      <c r="AF1911" s="26"/>
      <c r="AJ1911" s="26"/>
    </row>
    <row r="1912" spans="29:36">
      <c r="AC1912" s="26"/>
      <c r="AE1912" s="26"/>
      <c r="AF1912" s="26"/>
      <c r="AJ1912" s="26"/>
    </row>
    <row r="1913" spans="29:36">
      <c r="AC1913" s="26"/>
      <c r="AE1913" s="26"/>
      <c r="AF1913" s="26"/>
      <c r="AJ1913" s="26"/>
    </row>
    <row r="1914" spans="29:36">
      <c r="AC1914" s="26"/>
      <c r="AE1914" s="26"/>
      <c r="AF1914" s="26"/>
      <c r="AJ1914" s="26"/>
    </row>
    <row r="1915" spans="29:36">
      <c r="AC1915" s="26"/>
      <c r="AE1915" s="26"/>
      <c r="AF1915" s="26"/>
      <c r="AJ1915" s="26"/>
    </row>
    <row r="1916" spans="29:36">
      <c r="AC1916" s="26"/>
      <c r="AE1916" s="26"/>
      <c r="AF1916" s="26"/>
      <c r="AJ1916" s="26"/>
    </row>
    <row r="1917" spans="29:36">
      <c r="AC1917" s="26"/>
      <c r="AE1917" s="26"/>
      <c r="AF1917" s="26"/>
      <c r="AJ1917" s="26"/>
    </row>
    <row r="1918" spans="29:36">
      <c r="AC1918" s="26"/>
      <c r="AE1918" s="26"/>
      <c r="AF1918" s="26"/>
      <c r="AJ1918" s="26"/>
    </row>
    <row r="1919" spans="29:36">
      <c r="AC1919" s="26"/>
      <c r="AE1919" s="26"/>
      <c r="AF1919" s="26"/>
      <c r="AJ1919" s="26"/>
    </row>
    <row r="1920" spans="29:36">
      <c r="AC1920" s="26"/>
      <c r="AE1920" s="26"/>
      <c r="AF1920" s="26"/>
      <c r="AJ1920" s="26"/>
    </row>
    <row r="1921" spans="29:36">
      <c r="AC1921" s="26"/>
      <c r="AE1921" s="26"/>
      <c r="AF1921" s="26"/>
      <c r="AJ1921" s="26"/>
    </row>
    <row r="1922" spans="29:36">
      <c r="AC1922" s="26"/>
      <c r="AE1922" s="26"/>
      <c r="AF1922" s="26"/>
      <c r="AJ1922" s="26"/>
    </row>
    <row r="1923" spans="29:36">
      <c r="AC1923" s="26"/>
      <c r="AE1923" s="26"/>
      <c r="AF1923" s="26"/>
      <c r="AJ1923" s="26"/>
    </row>
    <row r="1924" spans="29:36">
      <c r="AC1924" s="26"/>
      <c r="AE1924" s="26"/>
      <c r="AF1924" s="26"/>
      <c r="AJ1924" s="26"/>
    </row>
    <row r="1925" spans="29:36">
      <c r="AC1925" s="26"/>
      <c r="AE1925" s="26"/>
      <c r="AF1925" s="26"/>
      <c r="AJ1925" s="26"/>
    </row>
    <row r="1926" spans="29:36">
      <c r="AC1926" s="26"/>
      <c r="AE1926" s="26"/>
      <c r="AF1926" s="26"/>
      <c r="AJ1926" s="26"/>
    </row>
    <row r="1927" spans="29:36">
      <c r="AC1927" s="26"/>
      <c r="AE1927" s="26"/>
      <c r="AF1927" s="26"/>
      <c r="AJ1927" s="26"/>
    </row>
    <row r="1928" spans="29:36">
      <c r="AC1928" s="26"/>
      <c r="AE1928" s="26"/>
      <c r="AF1928" s="26"/>
      <c r="AJ1928" s="26"/>
    </row>
    <row r="1929" spans="29:36">
      <c r="AC1929" s="26"/>
      <c r="AE1929" s="26"/>
      <c r="AF1929" s="26"/>
      <c r="AJ1929" s="26"/>
    </row>
    <row r="1930" spans="29:36">
      <c r="AC1930" s="26"/>
      <c r="AE1930" s="26"/>
      <c r="AF1930" s="26"/>
      <c r="AJ1930" s="26"/>
    </row>
    <row r="1931" spans="29:36">
      <c r="AC1931" s="26"/>
      <c r="AE1931" s="26"/>
      <c r="AF1931" s="26"/>
      <c r="AJ1931" s="26"/>
    </row>
    <row r="1932" spans="29:36">
      <c r="AC1932" s="26"/>
      <c r="AE1932" s="26"/>
      <c r="AF1932" s="26"/>
      <c r="AJ1932" s="26"/>
    </row>
    <row r="1933" spans="29:36">
      <c r="AC1933" s="26"/>
      <c r="AE1933" s="26"/>
      <c r="AF1933" s="26"/>
      <c r="AJ1933" s="26"/>
    </row>
    <row r="1934" spans="29:36">
      <c r="AC1934" s="26"/>
      <c r="AE1934" s="26"/>
      <c r="AF1934" s="26"/>
      <c r="AJ1934" s="26"/>
    </row>
    <row r="1935" spans="29:36">
      <c r="AC1935" s="26"/>
      <c r="AE1935" s="26"/>
      <c r="AF1935" s="26"/>
      <c r="AJ1935" s="26"/>
    </row>
    <row r="1936" spans="29:36">
      <c r="AC1936" s="26"/>
      <c r="AE1936" s="26"/>
      <c r="AF1936" s="26"/>
      <c r="AJ1936" s="26"/>
    </row>
    <row r="1937" spans="29:36">
      <c r="AC1937" s="26"/>
      <c r="AE1937" s="26"/>
      <c r="AF1937" s="26"/>
      <c r="AJ1937" s="26"/>
    </row>
    <row r="1938" spans="29:36">
      <c r="AC1938" s="26"/>
      <c r="AE1938" s="26"/>
      <c r="AF1938" s="26"/>
      <c r="AJ1938" s="26"/>
    </row>
    <row r="1939" spans="29:36">
      <c r="AC1939" s="26"/>
      <c r="AE1939" s="26"/>
      <c r="AF1939" s="26"/>
      <c r="AJ1939" s="26"/>
    </row>
    <row r="1940" spans="29:36">
      <c r="AC1940" s="26"/>
      <c r="AE1940" s="26"/>
      <c r="AF1940" s="26"/>
      <c r="AJ1940" s="26"/>
    </row>
    <row r="1941" spans="29:36">
      <c r="AC1941" s="26"/>
      <c r="AE1941" s="26"/>
      <c r="AF1941" s="26"/>
      <c r="AJ1941" s="26"/>
    </row>
    <row r="1942" spans="29:36">
      <c r="AC1942" s="26"/>
      <c r="AE1942" s="26"/>
      <c r="AF1942" s="26"/>
      <c r="AJ1942" s="26"/>
    </row>
    <row r="1943" spans="29:36">
      <c r="AC1943" s="26"/>
      <c r="AE1943" s="26"/>
      <c r="AF1943" s="26"/>
      <c r="AJ1943" s="26"/>
    </row>
    <row r="1944" spans="29:36">
      <c r="AC1944" s="26"/>
      <c r="AE1944" s="26"/>
      <c r="AF1944" s="26"/>
      <c r="AJ1944" s="26"/>
    </row>
    <row r="1945" spans="29:36">
      <c r="AC1945" s="26"/>
      <c r="AE1945" s="26"/>
      <c r="AF1945" s="26"/>
      <c r="AJ1945" s="26"/>
    </row>
    <row r="1946" spans="29:36">
      <c r="AC1946" s="26"/>
      <c r="AE1946" s="26"/>
      <c r="AF1946" s="26"/>
      <c r="AJ1946" s="26"/>
    </row>
    <row r="1947" spans="29:36">
      <c r="AC1947" s="26"/>
      <c r="AE1947" s="26"/>
      <c r="AF1947" s="26"/>
      <c r="AJ1947" s="26"/>
    </row>
    <row r="1948" spans="29:36">
      <c r="AC1948" s="26"/>
      <c r="AE1948" s="26"/>
      <c r="AF1948" s="26"/>
      <c r="AJ1948" s="26"/>
    </row>
    <row r="1949" spans="29:36">
      <c r="AC1949" s="26"/>
      <c r="AE1949" s="26"/>
      <c r="AF1949" s="26"/>
      <c r="AJ1949" s="26"/>
    </row>
    <row r="1950" spans="29:36">
      <c r="AC1950" s="26"/>
      <c r="AE1950" s="26"/>
      <c r="AF1950" s="26"/>
      <c r="AJ1950" s="26"/>
    </row>
    <row r="1951" spans="29:36">
      <c r="AC1951" s="26"/>
      <c r="AE1951" s="26"/>
      <c r="AF1951" s="26"/>
      <c r="AJ1951" s="26"/>
    </row>
    <row r="1952" spans="29:36">
      <c r="AC1952" s="26"/>
      <c r="AE1952" s="26"/>
      <c r="AF1952" s="26"/>
      <c r="AJ1952" s="26"/>
    </row>
    <row r="1953" spans="29:36">
      <c r="AC1953" s="26"/>
      <c r="AE1953" s="26"/>
      <c r="AF1953" s="26"/>
      <c r="AJ1953" s="26"/>
    </row>
    <row r="1954" spans="29:36">
      <c r="AC1954" s="26"/>
      <c r="AE1954" s="26"/>
      <c r="AF1954" s="26"/>
      <c r="AJ1954" s="26"/>
    </row>
    <row r="1955" spans="29:36">
      <c r="AC1955" s="26"/>
      <c r="AE1955" s="26"/>
      <c r="AF1955" s="26"/>
      <c r="AJ1955" s="26"/>
    </row>
    <row r="1956" spans="29:36">
      <c r="AC1956" s="26"/>
      <c r="AE1956" s="26"/>
      <c r="AF1956" s="26"/>
      <c r="AJ1956" s="26"/>
    </row>
    <row r="1957" spans="29:36">
      <c r="AC1957" s="26"/>
      <c r="AE1957" s="26"/>
      <c r="AF1957" s="26"/>
      <c r="AJ1957" s="26"/>
    </row>
    <row r="1958" spans="29:36">
      <c r="AC1958" s="26"/>
      <c r="AE1958" s="26"/>
      <c r="AF1958" s="26"/>
      <c r="AJ1958" s="26"/>
    </row>
    <row r="1959" spans="29:36">
      <c r="AC1959" s="26"/>
      <c r="AE1959" s="26"/>
      <c r="AF1959" s="26"/>
      <c r="AJ1959" s="26"/>
    </row>
    <row r="1960" spans="29:36">
      <c r="AC1960" s="26"/>
      <c r="AE1960" s="26"/>
      <c r="AF1960" s="26"/>
      <c r="AJ1960" s="26"/>
    </row>
    <row r="1961" spans="29:36">
      <c r="AC1961" s="26"/>
      <c r="AE1961" s="26"/>
      <c r="AF1961" s="26"/>
      <c r="AJ1961" s="26"/>
    </row>
    <row r="1962" spans="29:36">
      <c r="AC1962" s="26"/>
      <c r="AE1962" s="26"/>
      <c r="AF1962" s="26"/>
      <c r="AJ1962" s="26"/>
    </row>
    <row r="1963" spans="29:36">
      <c r="AC1963" s="26"/>
      <c r="AE1963" s="26"/>
      <c r="AF1963" s="26"/>
      <c r="AJ1963" s="26"/>
    </row>
    <row r="1964" spans="29:36">
      <c r="AC1964" s="26"/>
      <c r="AE1964" s="26"/>
      <c r="AF1964" s="26"/>
      <c r="AJ1964" s="26"/>
    </row>
    <row r="1965" spans="29:36">
      <c r="AC1965" s="26"/>
      <c r="AE1965" s="26"/>
      <c r="AF1965" s="26"/>
      <c r="AJ1965" s="26"/>
    </row>
    <row r="1966" spans="29:36">
      <c r="AC1966" s="26"/>
      <c r="AE1966" s="26"/>
      <c r="AF1966" s="26"/>
      <c r="AJ1966" s="26"/>
    </row>
    <row r="1967" spans="29:36">
      <c r="AC1967" s="26"/>
      <c r="AE1967" s="26"/>
      <c r="AF1967" s="26"/>
      <c r="AJ1967" s="26"/>
    </row>
    <row r="1968" spans="29:36">
      <c r="AC1968" s="26"/>
      <c r="AE1968" s="26"/>
      <c r="AF1968" s="26"/>
      <c r="AJ1968" s="26"/>
    </row>
    <row r="1969" spans="29:36">
      <c r="AC1969" s="26"/>
      <c r="AE1969" s="26"/>
      <c r="AF1969" s="26"/>
      <c r="AJ1969" s="26"/>
    </row>
    <row r="1970" spans="29:36">
      <c r="AC1970" s="26"/>
      <c r="AE1970" s="26"/>
      <c r="AF1970" s="26"/>
      <c r="AJ1970" s="26"/>
    </row>
    <row r="1971" spans="29:36">
      <c r="AC1971" s="26"/>
      <c r="AE1971" s="26"/>
      <c r="AF1971" s="26"/>
      <c r="AJ1971" s="26"/>
    </row>
    <row r="1972" spans="29:36">
      <c r="AC1972" s="26"/>
      <c r="AE1972" s="26"/>
      <c r="AF1972" s="26"/>
      <c r="AJ1972" s="26"/>
    </row>
    <row r="1973" spans="29:36">
      <c r="AC1973" s="26"/>
      <c r="AE1973" s="26"/>
      <c r="AF1973" s="26"/>
      <c r="AJ1973" s="26"/>
    </row>
    <row r="1974" spans="29:36">
      <c r="AC1974" s="26"/>
      <c r="AE1974" s="26"/>
      <c r="AF1974" s="26"/>
      <c r="AJ1974" s="26"/>
    </row>
    <row r="1975" spans="29:36">
      <c r="AC1975" s="26"/>
      <c r="AE1975" s="26"/>
      <c r="AF1975" s="26"/>
      <c r="AJ1975" s="26"/>
    </row>
    <row r="1976" spans="29:36">
      <c r="AC1976" s="26"/>
      <c r="AE1976" s="26"/>
      <c r="AF1976" s="26"/>
      <c r="AJ1976" s="26"/>
    </row>
    <row r="1977" spans="29:36">
      <c r="AC1977" s="26"/>
      <c r="AE1977" s="26"/>
      <c r="AF1977" s="26"/>
      <c r="AJ1977" s="26"/>
    </row>
    <row r="1978" spans="29:36">
      <c r="AC1978" s="26"/>
      <c r="AE1978" s="26"/>
      <c r="AF1978" s="26"/>
      <c r="AJ1978" s="26"/>
    </row>
    <row r="1979" spans="29:36">
      <c r="AC1979" s="26"/>
      <c r="AE1979" s="26"/>
      <c r="AF1979" s="26"/>
      <c r="AJ1979" s="26"/>
    </row>
    <row r="1980" spans="29:36">
      <c r="AC1980" s="26"/>
      <c r="AE1980" s="26"/>
      <c r="AF1980" s="26"/>
      <c r="AJ1980" s="26"/>
    </row>
    <row r="1981" spans="29:36">
      <c r="AC1981" s="26"/>
      <c r="AE1981" s="26"/>
      <c r="AF1981" s="26"/>
      <c r="AJ1981" s="26"/>
    </row>
    <row r="1982" spans="29:36">
      <c r="AC1982" s="26"/>
      <c r="AE1982" s="26"/>
      <c r="AF1982" s="26"/>
      <c r="AJ1982" s="26"/>
    </row>
    <row r="1983" spans="29:36">
      <c r="AC1983" s="26"/>
      <c r="AE1983" s="26"/>
      <c r="AF1983" s="26"/>
      <c r="AJ1983" s="26"/>
    </row>
    <row r="1984" spans="29:36">
      <c r="AC1984" s="26"/>
      <c r="AE1984" s="26"/>
      <c r="AF1984" s="26"/>
      <c r="AJ1984" s="26"/>
    </row>
    <row r="1985" spans="29:36">
      <c r="AC1985" s="26"/>
      <c r="AE1985" s="26"/>
      <c r="AF1985" s="26"/>
      <c r="AJ1985" s="26"/>
    </row>
    <row r="1986" spans="29:36">
      <c r="AC1986" s="26"/>
      <c r="AE1986" s="26"/>
      <c r="AF1986" s="26"/>
      <c r="AJ1986" s="26"/>
    </row>
    <row r="1987" spans="29:36">
      <c r="AC1987" s="26"/>
      <c r="AE1987" s="26"/>
      <c r="AF1987" s="26"/>
      <c r="AJ1987" s="26"/>
    </row>
    <row r="1988" spans="29:36">
      <c r="AC1988" s="26"/>
      <c r="AE1988" s="26"/>
      <c r="AF1988" s="26"/>
      <c r="AJ1988" s="26"/>
    </row>
    <row r="1989" spans="29:36">
      <c r="AC1989" s="26"/>
      <c r="AE1989" s="26"/>
      <c r="AF1989" s="26"/>
      <c r="AJ1989" s="26"/>
    </row>
    <row r="1990" spans="29:36">
      <c r="AC1990" s="26"/>
      <c r="AE1990" s="26"/>
      <c r="AF1990" s="26"/>
      <c r="AJ1990" s="26"/>
    </row>
    <row r="1991" spans="29:36">
      <c r="AC1991" s="26"/>
      <c r="AE1991" s="26"/>
      <c r="AF1991" s="26"/>
      <c r="AJ1991" s="26"/>
    </row>
    <row r="1992" spans="29:36">
      <c r="AC1992" s="26"/>
      <c r="AE1992" s="26"/>
      <c r="AF1992" s="26"/>
      <c r="AJ1992" s="26"/>
    </row>
    <row r="1993" spans="29:36">
      <c r="AC1993" s="26"/>
      <c r="AE1993" s="26"/>
      <c r="AF1993" s="26"/>
      <c r="AJ1993" s="26"/>
    </row>
    <row r="1994" spans="29:36">
      <c r="AC1994" s="26"/>
      <c r="AE1994" s="26"/>
      <c r="AF1994" s="26"/>
      <c r="AJ1994" s="26"/>
    </row>
    <row r="1995" spans="29:36">
      <c r="AC1995" s="26"/>
      <c r="AE1995" s="26"/>
      <c r="AF1995" s="26"/>
      <c r="AJ1995" s="26"/>
    </row>
    <row r="1996" spans="29:36">
      <c r="AC1996" s="26"/>
      <c r="AE1996" s="26"/>
      <c r="AF1996" s="26"/>
      <c r="AJ1996" s="26"/>
    </row>
    <row r="1997" spans="29:36">
      <c r="AC1997" s="26"/>
      <c r="AE1997" s="26"/>
      <c r="AF1997" s="26"/>
      <c r="AJ1997" s="26"/>
    </row>
    <row r="1998" spans="29:36">
      <c r="AC1998" s="26"/>
      <c r="AE1998" s="26"/>
      <c r="AF1998" s="26"/>
      <c r="AJ1998" s="26"/>
    </row>
    <row r="1999" spans="29:36">
      <c r="AC1999" s="26"/>
      <c r="AE1999" s="26"/>
      <c r="AF1999" s="26"/>
      <c r="AJ1999" s="26"/>
    </row>
    <row r="2000" spans="29:36">
      <c r="AC2000" s="26"/>
      <c r="AE2000" s="26"/>
      <c r="AF2000" s="26"/>
      <c r="AJ2000" s="26"/>
    </row>
    <row r="2001" spans="29:36">
      <c r="AC2001" s="26"/>
      <c r="AE2001" s="26"/>
      <c r="AF2001" s="26"/>
      <c r="AJ2001" s="26"/>
    </row>
    <row r="2002" spans="29:36">
      <c r="AC2002" s="26"/>
      <c r="AE2002" s="26"/>
      <c r="AF2002" s="26"/>
      <c r="AJ2002" s="26"/>
    </row>
    <row r="2003" spans="29:36">
      <c r="AC2003" s="26"/>
      <c r="AE2003" s="26"/>
      <c r="AF2003" s="26"/>
      <c r="AJ2003" s="26"/>
    </row>
    <row r="2004" spans="29:36">
      <c r="AC2004" s="26"/>
      <c r="AE2004" s="26"/>
      <c r="AF2004" s="26"/>
      <c r="AJ2004" s="26"/>
    </row>
    <row r="2005" spans="29:36">
      <c r="AC2005" s="26"/>
      <c r="AE2005" s="26"/>
      <c r="AF2005" s="26"/>
      <c r="AJ2005" s="26"/>
    </row>
    <row r="2006" spans="29:36">
      <c r="AC2006" s="26"/>
      <c r="AE2006" s="26"/>
      <c r="AF2006" s="26"/>
      <c r="AJ2006" s="26"/>
    </row>
    <row r="2007" spans="29:36">
      <c r="AC2007" s="26"/>
      <c r="AE2007" s="26"/>
      <c r="AF2007" s="26"/>
      <c r="AJ2007" s="26"/>
    </row>
    <row r="2008" spans="29:36">
      <c r="AC2008" s="26"/>
      <c r="AE2008" s="26"/>
      <c r="AF2008" s="26"/>
      <c r="AJ2008" s="26"/>
    </row>
    <row r="2009" spans="29:36">
      <c r="AC2009" s="26"/>
      <c r="AE2009" s="26"/>
      <c r="AF2009" s="26"/>
      <c r="AJ2009" s="26"/>
    </row>
    <row r="2010" spans="29:36">
      <c r="AC2010" s="26"/>
      <c r="AE2010" s="26"/>
      <c r="AF2010" s="26"/>
      <c r="AJ2010" s="26"/>
    </row>
    <row r="2011" spans="29:36">
      <c r="AC2011" s="26"/>
      <c r="AE2011" s="26"/>
      <c r="AF2011" s="26"/>
      <c r="AJ2011" s="26"/>
    </row>
    <row r="2012" spans="29:36">
      <c r="AC2012" s="26"/>
      <c r="AE2012" s="26"/>
      <c r="AF2012" s="26"/>
      <c r="AJ2012" s="26"/>
    </row>
    <row r="2013" spans="29:36">
      <c r="AC2013" s="26"/>
      <c r="AE2013" s="26"/>
      <c r="AF2013" s="26"/>
      <c r="AJ2013" s="26"/>
    </row>
    <row r="2014" spans="29:36">
      <c r="AC2014" s="26"/>
      <c r="AE2014" s="26"/>
      <c r="AF2014" s="26"/>
      <c r="AJ2014" s="26"/>
    </row>
    <row r="2015" spans="29:36">
      <c r="AC2015" s="26"/>
      <c r="AE2015" s="26"/>
      <c r="AF2015" s="26"/>
      <c r="AJ2015" s="26"/>
    </row>
    <row r="2016" spans="29:36">
      <c r="AC2016" s="26"/>
      <c r="AE2016" s="26"/>
      <c r="AF2016" s="26"/>
      <c r="AJ2016" s="26"/>
    </row>
    <row r="2017" spans="29:36">
      <c r="AC2017" s="26"/>
      <c r="AE2017" s="26"/>
      <c r="AF2017" s="26"/>
      <c r="AJ2017" s="26"/>
    </row>
    <row r="2018" spans="29:36">
      <c r="AC2018" s="26"/>
      <c r="AE2018" s="26"/>
      <c r="AF2018" s="26"/>
      <c r="AJ2018" s="26"/>
    </row>
    <row r="2019" spans="29:36">
      <c r="AC2019" s="26"/>
      <c r="AE2019" s="26"/>
      <c r="AF2019" s="26"/>
      <c r="AJ2019" s="26"/>
    </row>
    <row r="2020" spans="29:36">
      <c r="AC2020" s="26"/>
      <c r="AE2020" s="26"/>
      <c r="AF2020" s="26"/>
      <c r="AJ2020" s="26"/>
    </row>
    <row r="2021" spans="29:36">
      <c r="AC2021" s="26"/>
      <c r="AE2021" s="26"/>
      <c r="AF2021" s="26"/>
      <c r="AJ2021" s="26"/>
    </row>
    <row r="2022" spans="29:36">
      <c r="AC2022" s="26"/>
      <c r="AE2022" s="26"/>
      <c r="AF2022" s="26"/>
      <c r="AJ2022" s="26"/>
    </row>
    <row r="2023" spans="29:36">
      <c r="AC2023" s="26"/>
      <c r="AE2023" s="26"/>
      <c r="AF2023" s="26"/>
      <c r="AJ2023" s="26"/>
    </row>
    <row r="2024" spans="29:36">
      <c r="AC2024" s="26"/>
      <c r="AE2024" s="26"/>
      <c r="AF2024" s="26"/>
      <c r="AJ2024" s="26"/>
    </row>
    <row r="2025" spans="29:36">
      <c r="AC2025" s="26"/>
      <c r="AE2025" s="26"/>
      <c r="AF2025" s="26"/>
      <c r="AJ2025" s="26"/>
    </row>
    <row r="2026" spans="29:36">
      <c r="AC2026" s="26"/>
      <c r="AE2026" s="26"/>
      <c r="AF2026" s="26"/>
      <c r="AJ2026" s="26"/>
    </row>
    <row r="2027" spans="29:36">
      <c r="AC2027" s="26"/>
      <c r="AE2027" s="26"/>
      <c r="AF2027" s="26"/>
      <c r="AJ2027" s="26"/>
    </row>
    <row r="2028" spans="29:36">
      <c r="AC2028" s="26"/>
      <c r="AE2028" s="26"/>
      <c r="AF2028" s="26"/>
      <c r="AJ2028" s="26"/>
    </row>
    <row r="2029" spans="29:36">
      <c r="AC2029" s="26"/>
      <c r="AE2029" s="26"/>
      <c r="AF2029" s="26"/>
      <c r="AJ2029" s="26"/>
    </row>
    <row r="2030" spans="29:36">
      <c r="AC2030" s="26"/>
      <c r="AE2030" s="26"/>
      <c r="AF2030" s="26"/>
      <c r="AJ2030" s="26"/>
    </row>
    <row r="2031" spans="29:36">
      <c r="AC2031" s="26"/>
      <c r="AE2031" s="26"/>
      <c r="AF2031" s="26"/>
      <c r="AJ2031" s="26"/>
    </row>
    <row r="2032" spans="29:36">
      <c r="AC2032" s="26"/>
      <c r="AE2032" s="26"/>
      <c r="AF2032" s="26"/>
      <c r="AJ2032" s="26"/>
    </row>
    <row r="2033" spans="29:36">
      <c r="AC2033" s="26"/>
      <c r="AE2033" s="26"/>
      <c r="AF2033" s="26"/>
      <c r="AJ2033" s="26"/>
    </row>
    <row r="2034" spans="29:36">
      <c r="AC2034" s="26"/>
      <c r="AE2034" s="26"/>
      <c r="AF2034" s="26"/>
      <c r="AJ2034" s="26"/>
    </row>
    <row r="2035" spans="29:36">
      <c r="AC2035" s="26"/>
      <c r="AE2035" s="26"/>
      <c r="AF2035" s="26"/>
      <c r="AJ2035" s="26"/>
    </row>
    <row r="2036" spans="29:36">
      <c r="AC2036" s="26"/>
      <c r="AE2036" s="26"/>
      <c r="AF2036" s="26"/>
      <c r="AJ2036" s="26"/>
    </row>
    <row r="2037" spans="29:36">
      <c r="AC2037" s="26"/>
      <c r="AE2037" s="26"/>
      <c r="AF2037" s="26"/>
      <c r="AJ2037" s="26"/>
    </row>
    <row r="2038" spans="29:36">
      <c r="AC2038" s="26"/>
      <c r="AE2038" s="26"/>
      <c r="AF2038" s="26"/>
      <c r="AJ2038" s="26"/>
    </row>
    <row r="2039" spans="29:36">
      <c r="AC2039" s="26"/>
      <c r="AE2039" s="26"/>
      <c r="AF2039" s="26"/>
      <c r="AJ2039" s="26"/>
    </row>
    <row r="2040" spans="29:36">
      <c r="AC2040" s="26"/>
      <c r="AE2040" s="26"/>
      <c r="AF2040" s="26"/>
      <c r="AJ2040" s="26"/>
    </row>
    <row r="2041" spans="29:36">
      <c r="AC2041" s="26"/>
      <c r="AE2041" s="26"/>
      <c r="AF2041" s="26"/>
      <c r="AJ2041" s="26"/>
    </row>
    <row r="2042" spans="29:36">
      <c r="AC2042" s="26"/>
      <c r="AE2042" s="26"/>
      <c r="AF2042" s="26"/>
      <c r="AJ2042" s="26"/>
    </row>
    <row r="2043" spans="29:36">
      <c r="AC2043" s="26"/>
      <c r="AE2043" s="26"/>
      <c r="AF2043" s="26"/>
      <c r="AJ2043" s="26"/>
    </row>
    <row r="2044" spans="29:36">
      <c r="AC2044" s="26"/>
      <c r="AE2044" s="26"/>
      <c r="AF2044" s="26"/>
      <c r="AJ2044" s="26"/>
    </row>
    <row r="2045" spans="29:36">
      <c r="AC2045" s="26"/>
      <c r="AE2045" s="26"/>
      <c r="AF2045" s="26"/>
      <c r="AJ2045" s="26"/>
    </row>
    <row r="2046" spans="29:36">
      <c r="AC2046" s="26"/>
      <c r="AE2046" s="26"/>
      <c r="AF2046" s="26"/>
      <c r="AJ2046" s="26"/>
    </row>
    <row r="2047" spans="29:36">
      <c r="AC2047" s="26"/>
      <c r="AE2047" s="26"/>
      <c r="AF2047" s="26"/>
      <c r="AJ2047" s="26"/>
    </row>
    <row r="2048" spans="29:36">
      <c r="AC2048" s="26"/>
      <c r="AE2048" s="26"/>
      <c r="AF2048" s="26"/>
      <c r="AJ2048" s="26"/>
    </row>
    <row r="2049" spans="29:36">
      <c r="AC2049" s="26"/>
      <c r="AE2049" s="26"/>
      <c r="AF2049" s="26"/>
      <c r="AJ2049" s="26"/>
    </row>
    <row r="2050" spans="29:36">
      <c r="AC2050" s="26"/>
      <c r="AE2050" s="26"/>
      <c r="AF2050" s="26"/>
      <c r="AJ2050" s="26"/>
    </row>
    <row r="2051" spans="29:36">
      <c r="AC2051" s="26"/>
      <c r="AE2051" s="26"/>
      <c r="AF2051" s="26"/>
      <c r="AJ2051" s="26"/>
    </row>
    <row r="2052" spans="29:36">
      <c r="AC2052" s="26"/>
      <c r="AE2052" s="26"/>
      <c r="AF2052" s="26"/>
      <c r="AJ2052" s="26"/>
    </row>
    <row r="2053" spans="29:36">
      <c r="AC2053" s="26"/>
      <c r="AE2053" s="26"/>
      <c r="AF2053" s="26"/>
      <c r="AJ2053" s="26"/>
    </row>
    <row r="2054" spans="29:36">
      <c r="AC2054" s="26"/>
      <c r="AE2054" s="26"/>
      <c r="AF2054" s="26"/>
      <c r="AJ2054" s="26"/>
    </row>
    <row r="2055" spans="29:36">
      <c r="AC2055" s="26"/>
      <c r="AE2055" s="26"/>
      <c r="AF2055" s="26"/>
      <c r="AJ2055" s="26"/>
    </row>
    <row r="2056" spans="29:36">
      <c r="AC2056" s="26"/>
      <c r="AE2056" s="26"/>
      <c r="AF2056" s="26"/>
      <c r="AJ2056" s="26"/>
    </row>
    <row r="2057" spans="29:36">
      <c r="AC2057" s="26"/>
      <c r="AE2057" s="26"/>
      <c r="AF2057" s="26"/>
      <c r="AJ2057" s="26"/>
    </row>
    <row r="2058" spans="29:36">
      <c r="AC2058" s="26"/>
      <c r="AE2058" s="26"/>
      <c r="AF2058" s="26"/>
      <c r="AJ2058" s="26"/>
    </row>
    <row r="2059" spans="29:36">
      <c r="AC2059" s="26"/>
      <c r="AE2059" s="26"/>
      <c r="AF2059" s="26"/>
      <c r="AJ2059" s="26"/>
    </row>
    <row r="2060" spans="29:36">
      <c r="AC2060" s="26"/>
      <c r="AE2060" s="26"/>
      <c r="AF2060" s="26"/>
      <c r="AJ2060" s="26"/>
    </row>
    <row r="2061" spans="29:36">
      <c r="AC2061" s="26"/>
      <c r="AE2061" s="26"/>
      <c r="AF2061" s="26"/>
      <c r="AJ2061" s="26"/>
    </row>
    <row r="2062" spans="29:36">
      <c r="AC2062" s="26"/>
      <c r="AE2062" s="26"/>
      <c r="AF2062" s="26"/>
      <c r="AJ2062" s="26"/>
    </row>
    <row r="2063" spans="29:36">
      <c r="AC2063" s="26"/>
      <c r="AE2063" s="26"/>
      <c r="AF2063" s="26"/>
      <c r="AJ2063" s="26"/>
    </row>
    <row r="2064" spans="29:36">
      <c r="AC2064" s="26"/>
      <c r="AE2064" s="26"/>
      <c r="AF2064" s="26"/>
      <c r="AJ2064" s="26"/>
    </row>
    <row r="2065" spans="29:36">
      <c r="AC2065" s="26"/>
      <c r="AE2065" s="26"/>
      <c r="AF2065" s="26"/>
      <c r="AJ2065" s="26"/>
    </row>
    <row r="2066" spans="29:36">
      <c r="AC2066" s="26"/>
      <c r="AE2066" s="26"/>
      <c r="AF2066" s="26"/>
      <c r="AJ2066" s="26"/>
    </row>
    <row r="2067" spans="29:36">
      <c r="AC2067" s="26"/>
      <c r="AE2067" s="26"/>
      <c r="AF2067" s="26"/>
      <c r="AJ2067" s="26"/>
    </row>
    <row r="2068" spans="29:36">
      <c r="AC2068" s="26"/>
      <c r="AE2068" s="26"/>
      <c r="AF2068" s="26"/>
      <c r="AJ2068" s="26"/>
    </row>
    <row r="2069" spans="29:36">
      <c r="AC2069" s="26"/>
      <c r="AE2069" s="26"/>
      <c r="AF2069" s="26"/>
      <c r="AJ2069" s="26"/>
    </row>
    <row r="2070" spans="29:36">
      <c r="AC2070" s="26"/>
      <c r="AE2070" s="26"/>
      <c r="AF2070" s="26"/>
      <c r="AJ2070" s="26"/>
    </row>
    <row r="2071" spans="29:36">
      <c r="AC2071" s="26"/>
      <c r="AE2071" s="26"/>
      <c r="AF2071" s="26"/>
      <c r="AJ2071" s="26"/>
    </row>
    <row r="2072" spans="29:36">
      <c r="AC2072" s="26"/>
      <c r="AE2072" s="26"/>
      <c r="AF2072" s="26"/>
      <c r="AJ2072" s="26"/>
    </row>
    <row r="2073" spans="29:36">
      <c r="AC2073" s="26"/>
      <c r="AE2073" s="26"/>
      <c r="AF2073" s="26"/>
      <c r="AJ2073" s="26"/>
    </row>
    <row r="2074" spans="29:36">
      <c r="AC2074" s="26"/>
      <c r="AE2074" s="26"/>
      <c r="AF2074" s="26"/>
      <c r="AJ2074" s="26"/>
    </row>
    <row r="2075" spans="29:36">
      <c r="AC2075" s="26"/>
      <c r="AE2075" s="26"/>
      <c r="AF2075" s="26"/>
      <c r="AJ2075" s="26"/>
    </row>
    <row r="2076" spans="29:36">
      <c r="AC2076" s="26"/>
      <c r="AE2076" s="26"/>
      <c r="AF2076" s="26"/>
      <c r="AJ2076" s="26"/>
    </row>
    <row r="2077" spans="29:36">
      <c r="AC2077" s="26"/>
      <c r="AE2077" s="26"/>
      <c r="AF2077" s="26"/>
      <c r="AJ2077" s="26"/>
    </row>
    <row r="2078" spans="29:36">
      <c r="AC2078" s="26"/>
      <c r="AE2078" s="26"/>
      <c r="AF2078" s="26"/>
      <c r="AJ2078" s="26"/>
    </row>
    <row r="2079" spans="29:36">
      <c r="AC2079" s="26"/>
      <c r="AE2079" s="26"/>
      <c r="AF2079" s="26"/>
      <c r="AJ2079" s="26"/>
    </row>
    <row r="2080" spans="29:36">
      <c r="AC2080" s="26"/>
      <c r="AE2080" s="26"/>
      <c r="AF2080" s="26"/>
      <c r="AJ2080" s="26"/>
    </row>
    <row r="2081" spans="29:36">
      <c r="AC2081" s="26"/>
      <c r="AE2081" s="26"/>
      <c r="AF2081" s="26"/>
      <c r="AJ2081" s="26"/>
    </row>
    <row r="2082" spans="29:36">
      <c r="AC2082" s="26"/>
      <c r="AE2082" s="26"/>
      <c r="AF2082" s="26"/>
      <c r="AJ2082" s="26"/>
    </row>
    <row r="2083" spans="29:36">
      <c r="AC2083" s="26"/>
      <c r="AE2083" s="26"/>
      <c r="AF2083" s="26"/>
      <c r="AJ2083" s="26"/>
    </row>
    <row r="2084" spans="29:36">
      <c r="AC2084" s="26"/>
      <c r="AE2084" s="26"/>
      <c r="AF2084" s="26"/>
      <c r="AJ2084" s="26"/>
    </row>
    <row r="2085" spans="29:36">
      <c r="AC2085" s="26"/>
      <c r="AE2085" s="26"/>
      <c r="AF2085" s="26"/>
      <c r="AJ2085" s="26"/>
    </row>
    <row r="2086" spans="29:36">
      <c r="AC2086" s="26"/>
      <c r="AE2086" s="26"/>
      <c r="AF2086" s="26"/>
      <c r="AJ2086" s="26"/>
    </row>
    <row r="2087" spans="29:36">
      <c r="AC2087" s="26"/>
      <c r="AE2087" s="26"/>
      <c r="AF2087" s="26"/>
      <c r="AJ2087" s="26"/>
    </row>
    <row r="2088" spans="29:36">
      <c r="AC2088" s="26"/>
      <c r="AE2088" s="26"/>
      <c r="AF2088" s="26"/>
      <c r="AJ2088" s="26"/>
    </row>
    <row r="2089" spans="29:36">
      <c r="AC2089" s="26"/>
      <c r="AE2089" s="26"/>
      <c r="AF2089" s="26"/>
      <c r="AJ2089" s="26"/>
    </row>
    <row r="2090" spans="29:36">
      <c r="AC2090" s="26"/>
      <c r="AE2090" s="26"/>
      <c r="AF2090" s="26"/>
      <c r="AJ2090" s="26"/>
    </row>
    <row r="2091" spans="29:36">
      <c r="AC2091" s="26"/>
      <c r="AE2091" s="26"/>
      <c r="AF2091" s="26"/>
      <c r="AJ2091" s="26"/>
    </row>
    <row r="2092" spans="29:36">
      <c r="AC2092" s="26"/>
      <c r="AE2092" s="26"/>
      <c r="AF2092" s="26"/>
      <c r="AJ2092" s="26"/>
    </row>
    <row r="2093" spans="29:36">
      <c r="AC2093" s="26"/>
      <c r="AE2093" s="26"/>
      <c r="AF2093" s="26"/>
      <c r="AJ2093" s="26"/>
    </row>
    <row r="2094" spans="29:36">
      <c r="AC2094" s="26"/>
      <c r="AE2094" s="26"/>
      <c r="AF2094" s="26"/>
      <c r="AJ2094" s="26"/>
    </row>
    <row r="2095" spans="29:36">
      <c r="AC2095" s="26"/>
      <c r="AE2095" s="26"/>
      <c r="AF2095" s="26"/>
      <c r="AJ2095" s="26"/>
    </row>
    <row r="2096" spans="29:36">
      <c r="AC2096" s="26"/>
      <c r="AE2096" s="26"/>
      <c r="AF2096" s="26"/>
      <c r="AJ2096" s="26"/>
    </row>
    <row r="2097" spans="29:36">
      <c r="AC2097" s="26"/>
      <c r="AE2097" s="26"/>
      <c r="AF2097" s="26"/>
      <c r="AJ2097" s="26"/>
    </row>
    <row r="2098" spans="29:36">
      <c r="AC2098" s="26"/>
      <c r="AE2098" s="26"/>
      <c r="AF2098" s="26"/>
      <c r="AJ2098" s="26"/>
    </row>
    <row r="2099" spans="29:36">
      <c r="AC2099" s="26"/>
      <c r="AE2099" s="26"/>
      <c r="AF2099" s="26"/>
      <c r="AJ2099" s="26"/>
    </row>
    <row r="2100" spans="29:36">
      <c r="AC2100" s="26"/>
      <c r="AE2100" s="26"/>
      <c r="AF2100" s="26"/>
      <c r="AJ2100" s="26"/>
    </row>
    <row r="2101" spans="29:36">
      <c r="AC2101" s="26"/>
      <c r="AE2101" s="26"/>
      <c r="AF2101" s="26"/>
      <c r="AJ2101" s="26"/>
    </row>
    <row r="2102" spans="29:36">
      <c r="AC2102" s="26"/>
      <c r="AE2102" s="26"/>
      <c r="AF2102" s="26"/>
      <c r="AJ2102" s="26"/>
    </row>
    <row r="2103" spans="29:36">
      <c r="AC2103" s="26"/>
      <c r="AE2103" s="26"/>
      <c r="AF2103" s="26"/>
      <c r="AJ2103" s="26"/>
    </row>
    <row r="2104" spans="29:36">
      <c r="AC2104" s="26"/>
      <c r="AE2104" s="26"/>
      <c r="AF2104" s="26"/>
      <c r="AJ2104" s="26"/>
    </row>
    <row r="2105" spans="29:36">
      <c r="AC2105" s="26"/>
      <c r="AE2105" s="26"/>
      <c r="AF2105" s="26"/>
      <c r="AJ2105" s="26"/>
    </row>
    <row r="2106" spans="29:36">
      <c r="AC2106" s="26"/>
      <c r="AE2106" s="26"/>
      <c r="AF2106" s="26"/>
      <c r="AJ2106" s="26"/>
    </row>
    <row r="2107" spans="29:36">
      <c r="AC2107" s="26"/>
      <c r="AE2107" s="26"/>
      <c r="AF2107" s="26"/>
      <c r="AJ2107" s="26"/>
    </row>
    <row r="2108" spans="29:36">
      <c r="AC2108" s="26"/>
      <c r="AE2108" s="26"/>
      <c r="AF2108" s="26"/>
      <c r="AJ2108" s="26"/>
    </row>
    <row r="2109" spans="29:36">
      <c r="AC2109" s="26"/>
      <c r="AE2109" s="26"/>
      <c r="AF2109" s="26"/>
      <c r="AJ2109" s="26"/>
    </row>
    <row r="2110" spans="29:36">
      <c r="AC2110" s="26"/>
      <c r="AE2110" s="26"/>
      <c r="AF2110" s="26"/>
      <c r="AJ2110" s="26"/>
    </row>
    <row r="2111" spans="29:36">
      <c r="AC2111" s="26"/>
      <c r="AE2111" s="26"/>
      <c r="AF2111" s="26"/>
      <c r="AJ2111" s="26"/>
    </row>
    <row r="2112" spans="29:36">
      <c r="AC2112" s="26"/>
      <c r="AE2112" s="26"/>
      <c r="AF2112" s="26"/>
      <c r="AJ2112" s="26"/>
    </row>
    <row r="2113" spans="29:36">
      <c r="AC2113" s="26"/>
      <c r="AE2113" s="26"/>
      <c r="AF2113" s="26"/>
      <c r="AJ2113" s="26"/>
    </row>
    <row r="2114" spans="29:36">
      <c r="AC2114" s="26"/>
      <c r="AE2114" s="26"/>
      <c r="AF2114" s="26"/>
      <c r="AJ2114" s="26"/>
    </row>
    <row r="2115" spans="29:36">
      <c r="AC2115" s="26"/>
      <c r="AE2115" s="26"/>
      <c r="AF2115" s="26"/>
      <c r="AJ2115" s="26"/>
    </row>
    <row r="2116" spans="29:36">
      <c r="AC2116" s="26"/>
      <c r="AE2116" s="26"/>
      <c r="AF2116" s="26"/>
      <c r="AJ2116" s="26"/>
    </row>
    <row r="2117" spans="29:36">
      <c r="AC2117" s="26"/>
      <c r="AE2117" s="26"/>
      <c r="AF2117" s="26"/>
      <c r="AJ2117" s="26"/>
    </row>
    <row r="2118" spans="29:36">
      <c r="AC2118" s="26"/>
      <c r="AE2118" s="26"/>
      <c r="AF2118" s="26"/>
      <c r="AJ2118" s="26"/>
    </row>
    <row r="2119" spans="29:36">
      <c r="AC2119" s="26"/>
      <c r="AE2119" s="26"/>
      <c r="AF2119" s="26"/>
      <c r="AJ2119" s="26"/>
    </row>
    <row r="2120" spans="29:36">
      <c r="AC2120" s="26"/>
      <c r="AE2120" s="26"/>
      <c r="AF2120" s="26"/>
      <c r="AJ2120" s="26"/>
    </row>
    <row r="2121" spans="29:36">
      <c r="AC2121" s="26"/>
      <c r="AE2121" s="26"/>
      <c r="AF2121" s="26"/>
      <c r="AJ2121" s="26"/>
    </row>
    <row r="2122" spans="29:36">
      <c r="AC2122" s="26"/>
      <c r="AE2122" s="26"/>
      <c r="AF2122" s="26"/>
      <c r="AJ2122" s="26"/>
    </row>
    <row r="2123" spans="29:36">
      <c r="AC2123" s="26"/>
      <c r="AE2123" s="26"/>
      <c r="AF2123" s="26"/>
      <c r="AJ2123" s="26"/>
    </row>
    <row r="2124" spans="29:36">
      <c r="AC2124" s="26"/>
      <c r="AE2124" s="26"/>
      <c r="AF2124" s="26"/>
      <c r="AJ2124" s="26"/>
    </row>
    <row r="2125" spans="29:36">
      <c r="AC2125" s="26"/>
      <c r="AE2125" s="26"/>
      <c r="AF2125" s="26"/>
      <c r="AJ2125" s="26"/>
    </row>
    <row r="2126" spans="29:36">
      <c r="AC2126" s="26"/>
      <c r="AE2126" s="26"/>
      <c r="AF2126" s="26"/>
      <c r="AJ2126" s="26"/>
    </row>
    <row r="2127" spans="29:36">
      <c r="AC2127" s="26"/>
      <c r="AE2127" s="26"/>
      <c r="AF2127" s="26"/>
      <c r="AJ2127" s="26"/>
    </row>
    <row r="2128" spans="29:36">
      <c r="AC2128" s="26"/>
      <c r="AE2128" s="26"/>
      <c r="AF2128" s="26"/>
      <c r="AJ2128" s="26"/>
    </row>
    <row r="2129" spans="29:36">
      <c r="AC2129" s="26"/>
      <c r="AE2129" s="26"/>
      <c r="AF2129" s="26"/>
      <c r="AJ2129" s="26"/>
    </row>
    <row r="2130" spans="29:36">
      <c r="AC2130" s="26"/>
      <c r="AE2130" s="26"/>
      <c r="AF2130" s="26"/>
      <c r="AJ2130" s="26"/>
    </row>
    <row r="2131" spans="29:36">
      <c r="AC2131" s="26"/>
      <c r="AE2131" s="26"/>
      <c r="AF2131" s="26"/>
      <c r="AJ2131" s="26"/>
    </row>
    <row r="2132" spans="29:36">
      <c r="AC2132" s="26"/>
      <c r="AE2132" s="26"/>
      <c r="AF2132" s="26"/>
      <c r="AJ2132" s="26"/>
    </row>
    <row r="2133" spans="29:36">
      <c r="AC2133" s="26"/>
      <c r="AE2133" s="26"/>
      <c r="AF2133" s="26"/>
      <c r="AJ2133" s="26"/>
    </row>
    <row r="2134" spans="29:36">
      <c r="AC2134" s="26"/>
      <c r="AE2134" s="26"/>
      <c r="AF2134" s="26"/>
      <c r="AJ2134" s="26"/>
    </row>
    <row r="2135" spans="29:36">
      <c r="AC2135" s="26"/>
      <c r="AE2135" s="26"/>
      <c r="AF2135" s="26"/>
      <c r="AJ2135" s="26"/>
    </row>
    <row r="2136" spans="29:36">
      <c r="AC2136" s="26"/>
      <c r="AE2136" s="26"/>
      <c r="AF2136" s="26"/>
      <c r="AJ2136" s="26"/>
    </row>
    <row r="2137" spans="29:36">
      <c r="AC2137" s="26"/>
      <c r="AE2137" s="26"/>
      <c r="AF2137" s="26"/>
      <c r="AJ2137" s="26"/>
    </row>
    <row r="2138" spans="29:36">
      <c r="AC2138" s="26"/>
      <c r="AE2138" s="26"/>
      <c r="AF2138" s="26"/>
      <c r="AJ2138" s="26"/>
    </row>
    <row r="2139" spans="29:36">
      <c r="AC2139" s="26"/>
      <c r="AE2139" s="26"/>
      <c r="AF2139" s="26"/>
      <c r="AJ2139" s="26"/>
    </row>
    <row r="2140" spans="29:36">
      <c r="AC2140" s="26"/>
      <c r="AE2140" s="26"/>
      <c r="AF2140" s="26"/>
      <c r="AJ2140" s="26"/>
    </row>
    <row r="2141" spans="29:36">
      <c r="AC2141" s="26"/>
      <c r="AE2141" s="26"/>
      <c r="AF2141" s="26"/>
      <c r="AJ2141" s="26"/>
    </row>
    <row r="2142" spans="29:36">
      <c r="AC2142" s="26"/>
      <c r="AE2142" s="26"/>
      <c r="AF2142" s="26"/>
      <c r="AJ2142" s="26"/>
    </row>
    <row r="2143" spans="29:36">
      <c r="AC2143" s="26"/>
      <c r="AE2143" s="26"/>
      <c r="AF2143" s="26"/>
      <c r="AJ2143" s="26"/>
    </row>
    <row r="2144" spans="29:36">
      <c r="AC2144" s="26"/>
      <c r="AE2144" s="26"/>
      <c r="AF2144" s="26"/>
      <c r="AJ2144" s="26"/>
    </row>
    <row r="2145" spans="29:36">
      <c r="AC2145" s="26"/>
      <c r="AE2145" s="26"/>
      <c r="AF2145" s="26"/>
      <c r="AJ2145" s="26"/>
    </row>
    <row r="2146" spans="29:36">
      <c r="AC2146" s="26"/>
      <c r="AE2146" s="26"/>
      <c r="AF2146" s="26"/>
      <c r="AJ2146" s="26"/>
    </row>
    <row r="2147" spans="29:36">
      <c r="AC2147" s="26"/>
      <c r="AE2147" s="26"/>
      <c r="AF2147" s="26"/>
      <c r="AJ2147" s="26"/>
    </row>
    <row r="2148" spans="29:36">
      <c r="AC2148" s="26"/>
      <c r="AE2148" s="26"/>
      <c r="AF2148" s="26"/>
      <c r="AJ2148" s="26"/>
    </row>
    <row r="2149" spans="29:36">
      <c r="AC2149" s="26"/>
      <c r="AE2149" s="26"/>
      <c r="AF2149" s="26"/>
      <c r="AJ2149" s="26"/>
    </row>
    <row r="2150" spans="29:36">
      <c r="AC2150" s="26"/>
      <c r="AE2150" s="26"/>
      <c r="AF2150" s="26"/>
      <c r="AJ2150" s="26"/>
    </row>
    <row r="2151" spans="29:36">
      <c r="AC2151" s="26"/>
      <c r="AE2151" s="26"/>
      <c r="AF2151" s="26"/>
      <c r="AJ2151" s="26"/>
    </row>
    <row r="2152" spans="29:36">
      <c r="AC2152" s="26"/>
      <c r="AE2152" s="26"/>
      <c r="AF2152" s="26"/>
      <c r="AJ2152" s="26"/>
    </row>
    <row r="2153" spans="29:36">
      <c r="AC2153" s="26"/>
      <c r="AE2153" s="26"/>
      <c r="AF2153" s="26"/>
      <c r="AJ2153" s="26"/>
    </row>
    <row r="2154" spans="29:36">
      <c r="AC2154" s="26"/>
      <c r="AE2154" s="26"/>
      <c r="AF2154" s="26"/>
      <c r="AJ2154" s="26"/>
    </row>
    <row r="2155" spans="29:36">
      <c r="AC2155" s="26"/>
      <c r="AE2155" s="26"/>
      <c r="AF2155" s="26"/>
      <c r="AJ2155" s="26"/>
    </row>
    <row r="2156" spans="29:36">
      <c r="AC2156" s="26"/>
      <c r="AE2156" s="26"/>
      <c r="AF2156" s="26"/>
      <c r="AJ2156" s="26"/>
    </row>
    <row r="2157" spans="29:36">
      <c r="AC2157" s="26"/>
      <c r="AE2157" s="26"/>
      <c r="AF2157" s="26"/>
      <c r="AJ2157" s="26"/>
    </row>
    <row r="2158" spans="29:36">
      <c r="AC2158" s="26"/>
      <c r="AE2158" s="26"/>
      <c r="AF2158" s="26"/>
      <c r="AJ2158" s="26"/>
    </row>
    <row r="2159" spans="29:36">
      <c r="AC2159" s="26"/>
      <c r="AE2159" s="26"/>
      <c r="AF2159" s="26"/>
      <c r="AJ2159" s="26"/>
    </row>
    <row r="2160" spans="29:36">
      <c r="AC2160" s="26"/>
      <c r="AE2160" s="26"/>
      <c r="AF2160" s="26"/>
      <c r="AJ2160" s="26"/>
    </row>
    <row r="2161" spans="29:36">
      <c r="AC2161" s="26"/>
      <c r="AE2161" s="26"/>
      <c r="AF2161" s="26"/>
      <c r="AJ2161" s="26"/>
    </row>
    <row r="2162" spans="29:36">
      <c r="AC2162" s="26"/>
      <c r="AE2162" s="26"/>
      <c r="AF2162" s="26"/>
      <c r="AJ2162" s="26"/>
    </row>
    <row r="2163" spans="29:36">
      <c r="AC2163" s="26"/>
      <c r="AE2163" s="26"/>
      <c r="AF2163" s="26"/>
      <c r="AJ2163" s="26"/>
    </row>
    <row r="2164" spans="29:36">
      <c r="AC2164" s="26"/>
      <c r="AE2164" s="26"/>
      <c r="AF2164" s="26"/>
      <c r="AJ2164" s="26"/>
    </row>
    <row r="2165" spans="29:36">
      <c r="AC2165" s="26"/>
      <c r="AE2165" s="26"/>
      <c r="AF2165" s="26"/>
      <c r="AJ2165" s="26"/>
    </row>
    <row r="2166" spans="29:36">
      <c r="AC2166" s="26"/>
      <c r="AE2166" s="26"/>
      <c r="AF2166" s="26"/>
      <c r="AJ2166" s="26"/>
    </row>
    <row r="2167" spans="29:36">
      <c r="AC2167" s="26"/>
      <c r="AE2167" s="26"/>
      <c r="AF2167" s="26"/>
      <c r="AJ2167" s="26"/>
    </row>
    <row r="2168" spans="29:36">
      <c r="AC2168" s="26"/>
      <c r="AE2168" s="26"/>
      <c r="AF2168" s="26"/>
      <c r="AJ2168" s="26"/>
    </row>
    <row r="2169" spans="29:36">
      <c r="AC2169" s="26"/>
      <c r="AE2169" s="26"/>
      <c r="AF2169" s="26"/>
      <c r="AJ2169" s="26"/>
    </row>
    <row r="2170" spans="29:36">
      <c r="AC2170" s="26"/>
      <c r="AE2170" s="26"/>
      <c r="AF2170" s="26"/>
      <c r="AJ2170" s="26"/>
    </row>
    <row r="2171" spans="29:36">
      <c r="AC2171" s="26"/>
      <c r="AE2171" s="26"/>
      <c r="AF2171" s="26"/>
      <c r="AJ2171" s="26"/>
    </row>
    <row r="2172" spans="29:36">
      <c r="AC2172" s="26"/>
      <c r="AE2172" s="26"/>
      <c r="AF2172" s="26"/>
      <c r="AJ2172" s="26"/>
    </row>
    <row r="2173" spans="29:36">
      <c r="AC2173" s="26"/>
      <c r="AE2173" s="26"/>
      <c r="AF2173" s="26"/>
      <c r="AJ2173" s="26"/>
    </row>
    <row r="2174" spans="29:36">
      <c r="AC2174" s="26"/>
      <c r="AE2174" s="26"/>
      <c r="AF2174" s="26"/>
      <c r="AJ2174" s="26"/>
    </row>
    <row r="2175" spans="29:36">
      <c r="AC2175" s="26"/>
      <c r="AE2175" s="26"/>
      <c r="AF2175" s="26"/>
      <c r="AJ2175" s="26"/>
    </row>
    <row r="2176" spans="29:36">
      <c r="AC2176" s="26"/>
      <c r="AE2176" s="26"/>
      <c r="AF2176" s="26"/>
      <c r="AJ2176" s="26"/>
    </row>
    <row r="2177" spans="29:36">
      <c r="AC2177" s="26"/>
      <c r="AE2177" s="26"/>
      <c r="AF2177" s="26"/>
      <c r="AJ2177" s="26"/>
    </row>
    <row r="2178" spans="29:36">
      <c r="AC2178" s="26"/>
      <c r="AE2178" s="26"/>
      <c r="AF2178" s="26"/>
      <c r="AJ2178" s="26"/>
    </row>
    <row r="2179" spans="29:36">
      <c r="AC2179" s="26"/>
      <c r="AE2179" s="26"/>
      <c r="AF2179" s="26"/>
      <c r="AJ2179" s="26"/>
    </row>
    <row r="2180" spans="29:36">
      <c r="AC2180" s="26"/>
      <c r="AE2180" s="26"/>
      <c r="AF2180" s="26"/>
      <c r="AJ2180" s="26"/>
    </row>
    <row r="2181" spans="29:36">
      <c r="AC2181" s="26"/>
      <c r="AE2181" s="26"/>
      <c r="AF2181" s="26"/>
      <c r="AJ2181" s="26"/>
    </row>
    <row r="2182" spans="29:36">
      <c r="AC2182" s="26"/>
      <c r="AE2182" s="26"/>
      <c r="AF2182" s="26"/>
      <c r="AJ2182" s="26"/>
    </row>
    <row r="2183" spans="29:36">
      <c r="AC2183" s="26"/>
      <c r="AE2183" s="26"/>
      <c r="AF2183" s="26"/>
      <c r="AJ2183" s="26"/>
    </row>
    <row r="2184" spans="29:36">
      <c r="AC2184" s="26"/>
      <c r="AE2184" s="26"/>
      <c r="AF2184" s="26"/>
      <c r="AJ2184" s="26"/>
    </row>
    <row r="2185" spans="29:36">
      <c r="AC2185" s="26"/>
      <c r="AE2185" s="26"/>
      <c r="AF2185" s="26"/>
      <c r="AJ2185" s="26"/>
    </row>
    <row r="2186" spans="29:36">
      <c r="AC2186" s="26"/>
      <c r="AE2186" s="26"/>
      <c r="AF2186" s="26"/>
      <c r="AJ2186" s="26"/>
    </row>
    <row r="2187" spans="29:36">
      <c r="AC2187" s="26"/>
      <c r="AE2187" s="26"/>
      <c r="AF2187" s="26"/>
      <c r="AJ2187" s="26"/>
    </row>
    <row r="2188" spans="29:36">
      <c r="AC2188" s="26"/>
      <c r="AE2188" s="26"/>
      <c r="AF2188" s="26"/>
      <c r="AJ2188" s="26"/>
    </row>
    <row r="2189" spans="29:36">
      <c r="AC2189" s="26"/>
      <c r="AE2189" s="26"/>
      <c r="AF2189" s="26"/>
      <c r="AJ2189" s="26"/>
    </row>
    <row r="2190" spans="29:36">
      <c r="AC2190" s="26"/>
      <c r="AE2190" s="26"/>
      <c r="AF2190" s="26"/>
      <c r="AJ2190" s="26"/>
    </row>
    <row r="2191" spans="29:36">
      <c r="AC2191" s="26"/>
      <c r="AE2191" s="26"/>
      <c r="AF2191" s="26"/>
      <c r="AJ2191" s="26"/>
    </row>
    <row r="2192" spans="29:36">
      <c r="AC2192" s="26"/>
      <c r="AE2192" s="26"/>
      <c r="AF2192" s="26"/>
      <c r="AJ2192" s="26"/>
    </row>
    <row r="2193" spans="29:36">
      <c r="AC2193" s="26"/>
      <c r="AE2193" s="26"/>
      <c r="AF2193" s="26"/>
      <c r="AJ2193" s="26"/>
    </row>
    <row r="2194" spans="29:36">
      <c r="AC2194" s="26"/>
      <c r="AE2194" s="26"/>
      <c r="AF2194" s="26"/>
      <c r="AJ2194" s="26"/>
    </row>
    <row r="2195" spans="29:36">
      <c r="AC2195" s="26"/>
      <c r="AE2195" s="26"/>
      <c r="AF2195" s="26"/>
      <c r="AJ2195" s="26"/>
    </row>
    <row r="2196" spans="29:36">
      <c r="AC2196" s="26"/>
      <c r="AE2196" s="26"/>
      <c r="AF2196" s="26"/>
      <c r="AJ2196" s="26"/>
    </row>
    <row r="2197" spans="29:36">
      <c r="AC2197" s="26"/>
      <c r="AE2197" s="26"/>
      <c r="AF2197" s="26"/>
      <c r="AJ2197" s="26"/>
    </row>
    <row r="2198" spans="29:36">
      <c r="AC2198" s="26"/>
      <c r="AE2198" s="26"/>
      <c r="AF2198" s="26"/>
      <c r="AJ2198" s="26"/>
    </row>
    <row r="2199" spans="29:36">
      <c r="AC2199" s="26"/>
      <c r="AE2199" s="26"/>
      <c r="AF2199" s="26"/>
      <c r="AJ2199" s="26"/>
    </row>
    <row r="2200" spans="29:36">
      <c r="AC2200" s="26"/>
      <c r="AE2200" s="26"/>
      <c r="AF2200" s="26"/>
      <c r="AJ2200" s="26"/>
    </row>
    <row r="2201" spans="29:36">
      <c r="AC2201" s="26"/>
      <c r="AE2201" s="26"/>
      <c r="AF2201" s="26"/>
      <c r="AJ2201" s="26"/>
    </row>
    <row r="2202" spans="29:36">
      <c r="AC2202" s="26"/>
      <c r="AE2202" s="26"/>
      <c r="AF2202" s="26"/>
      <c r="AJ2202" s="26"/>
    </row>
    <row r="2203" spans="29:36">
      <c r="AC2203" s="26"/>
      <c r="AE2203" s="26"/>
      <c r="AF2203" s="26"/>
      <c r="AJ2203" s="26"/>
    </row>
    <row r="2204" spans="29:36">
      <c r="AC2204" s="26"/>
      <c r="AE2204" s="26"/>
      <c r="AF2204" s="26"/>
      <c r="AJ2204" s="26"/>
    </row>
    <row r="2205" spans="29:36">
      <c r="AC2205" s="26"/>
      <c r="AE2205" s="26"/>
      <c r="AF2205" s="26"/>
      <c r="AJ2205" s="26"/>
    </row>
    <row r="2206" spans="29:36">
      <c r="AC2206" s="26"/>
      <c r="AE2206" s="26"/>
      <c r="AF2206" s="26"/>
      <c r="AJ2206" s="26"/>
    </row>
    <row r="2207" spans="29:36">
      <c r="AC2207" s="26"/>
      <c r="AE2207" s="26"/>
      <c r="AF2207" s="26"/>
      <c r="AJ2207" s="26"/>
    </row>
    <row r="2208" spans="29:36">
      <c r="AC2208" s="26"/>
      <c r="AE2208" s="26"/>
      <c r="AF2208" s="26"/>
      <c r="AJ2208" s="26"/>
    </row>
    <row r="2209" spans="29:36">
      <c r="AC2209" s="26"/>
      <c r="AE2209" s="26"/>
      <c r="AF2209" s="26"/>
      <c r="AJ2209" s="26"/>
    </row>
    <row r="2210" spans="29:36">
      <c r="AC2210" s="26"/>
      <c r="AE2210" s="26"/>
      <c r="AF2210" s="26"/>
      <c r="AJ2210" s="26"/>
    </row>
    <row r="2211" spans="29:36">
      <c r="AC2211" s="26"/>
      <c r="AE2211" s="26"/>
      <c r="AF2211" s="26"/>
      <c r="AJ2211" s="26"/>
    </row>
    <row r="2212" spans="29:36">
      <c r="AC2212" s="26"/>
      <c r="AE2212" s="26"/>
      <c r="AF2212" s="26"/>
      <c r="AJ2212" s="26"/>
    </row>
    <row r="2213" spans="29:36">
      <c r="AC2213" s="26"/>
      <c r="AE2213" s="26"/>
      <c r="AF2213" s="26"/>
      <c r="AJ2213" s="26"/>
    </row>
    <row r="2214" spans="29:36">
      <c r="AC2214" s="26"/>
      <c r="AE2214" s="26"/>
      <c r="AF2214" s="26"/>
      <c r="AJ2214" s="26"/>
    </row>
    <row r="2215" spans="29:36">
      <c r="AC2215" s="26"/>
      <c r="AE2215" s="26"/>
      <c r="AF2215" s="26"/>
      <c r="AJ2215" s="26"/>
    </row>
    <row r="2216" spans="29:36">
      <c r="AC2216" s="26"/>
      <c r="AE2216" s="26"/>
      <c r="AF2216" s="26"/>
      <c r="AJ2216" s="26"/>
    </row>
    <row r="2217" spans="29:36">
      <c r="AC2217" s="26"/>
      <c r="AE2217" s="26"/>
      <c r="AF2217" s="26"/>
      <c r="AJ2217" s="26"/>
    </row>
    <row r="2218" spans="29:36">
      <c r="AC2218" s="26"/>
      <c r="AE2218" s="26"/>
      <c r="AF2218" s="26"/>
      <c r="AJ2218" s="26"/>
    </row>
    <row r="2219" spans="29:36">
      <c r="AC2219" s="26"/>
      <c r="AE2219" s="26"/>
      <c r="AF2219" s="26"/>
      <c r="AJ2219" s="26"/>
    </row>
    <row r="2220" spans="29:36">
      <c r="AC2220" s="26"/>
      <c r="AE2220" s="26"/>
      <c r="AF2220" s="26"/>
      <c r="AJ2220" s="26"/>
    </row>
    <row r="2221" spans="29:36">
      <c r="AC2221" s="26"/>
      <c r="AE2221" s="26"/>
      <c r="AF2221" s="26"/>
      <c r="AJ2221" s="26"/>
    </row>
    <row r="2222" spans="29:36">
      <c r="AC2222" s="26"/>
      <c r="AE2222" s="26"/>
      <c r="AF2222" s="26"/>
      <c r="AJ2222" s="26"/>
    </row>
    <row r="2223" spans="29:36">
      <c r="AC2223" s="26"/>
      <c r="AE2223" s="26"/>
      <c r="AF2223" s="26"/>
      <c r="AJ2223" s="26"/>
    </row>
    <row r="2224" spans="29:36">
      <c r="AC2224" s="26"/>
      <c r="AE2224" s="26"/>
      <c r="AF2224" s="26"/>
      <c r="AJ2224" s="26"/>
    </row>
    <row r="2225" spans="29:36">
      <c r="AC2225" s="26"/>
      <c r="AE2225" s="26"/>
      <c r="AF2225" s="26"/>
      <c r="AJ2225" s="26"/>
    </row>
    <row r="2226" spans="29:36">
      <c r="AC2226" s="26"/>
      <c r="AE2226" s="26"/>
      <c r="AF2226" s="26"/>
      <c r="AJ2226" s="26"/>
    </row>
    <row r="2227" spans="29:36">
      <c r="AC2227" s="26"/>
      <c r="AE2227" s="26"/>
      <c r="AF2227" s="26"/>
      <c r="AJ2227" s="26"/>
    </row>
    <row r="2228" spans="29:36">
      <c r="AC2228" s="26"/>
      <c r="AE2228" s="26"/>
      <c r="AF2228" s="26"/>
      <c r="AJ2228" s="26"/>
    </row>
    <row r="2229" spans="29:36">
      <c r="AC2229" s="26"/>
      <c r="AE2229" s="26"/>
      <c r="AF2229" s="26"/>
      <c r="AJ2229" s="26"/>
    </row>
    <row r="2230" spans="29:36">
      <c r="AC2230" s="26"/>
      <c r="AE2230" s="26"/>
      <c r="AF2230" s="26"/>
      <c r="AJ2230" s="26"/>
    </row>
    <row r="2231" spans="29:36">
      <c r="AC2231" s="26"/>
      <c r="AE2231" s="26"/>
      <c r="AF2231" s="26"/>
      <c r="AJ2231" s="26"/>
    </row>
    <row r="2232" spans="29:36">
      <c r="AC2232" s="26"/>
      <c r="AE2232" s="26"/>
      <c r="AF2232" s="26"/>
      <c r="AJ2232" s="26"/>
    </row>
    <row r="2233" spans="29:36">
      <c r="AC2233" s="26"/>
      <c r="AE2233" s="26"/>
      <c r="AF2233" s="26"/>
      <c r="AJ2233" s="26"/>
    </row>
    <row r="2234" spans="29:36">
      <c r="AC2234" s="26"/>
      <c r="AE2234" s="26"/>
      <c r="AF2234" s="26"/>
      <c r="AJ2234" s="26"/>
    </row>
    <row r="2235" spans="29:36">
      <c r="AC2235" s="26"/>
      <c r="AE2235" s="26"/>
      <c r="AF2235" s="26"/>
      <c r="AJ2235" s="26"/>
    </row>
    <row r="2236" spans="29:36">
      <c r="AC2236" s="26"/>
      <c r="AE2236" s="26"/>
      <c r="AF2236" s="26"/>
      <c r="AJ2236" s="26"/>
    </row>
    <row r="2237" spans="29:36">
      <c r="AC2237" s="26"/>
      <c r="AE2237" s="26"/>
      <c r="AF2237" s="26"/>
      <c r="AJ2237" s="26"/>
    </row>
    <row r="2238" spans="29:36">
      <c r="AC2238" s="26"/>
      <c r="AE2238" s="26"/>
      <c r="AF2238" s="26"/>
      <c r="AJ2238" s="26"/>
    </row>
    <row r="2239" spans="29:36">
      <c r="AC2239" s="26"/>
      <c r="AE2239" s="26"/>
      <c r="AF2239" s="26"/>
      <c r="AJ2239" s="26"/>
    </row>
    <row r="2240" spans="29:36">
      <c r="AC2240" s="26"/>
      <c r="AE2240" s="26"/>
      <c r="AF2240" s="26"/>
      <c r="AJ2240" s="26"/>
    </row>
    <row r="2241" spans="29:36">
      <c r="AC2241" s="26"/>
      <c r="AE2241" s="26"/>
      <c r="AF2241" s="26"/>
      <c r="AJ2241" s="26"/>
    </row>
    <row r="2242" spans="29:36">
      <c r="AC2242" s="26"/>
      <c r="AE2242" s="26"/>
      <c r="AF2242" s="26"/>
      <c r="AJ2242" s="26"/>
    </row>
    <row r="2243" spans="29:36">
      <c r="AC2243" s="26"/>
      <c r="AE2243" s="26"/>
      <c r="AF2243" s="26"/>
      <c r="AJ2243" s="26"/>
    </row>
    <row r="2244" spans="29:36">
      <c r="AC2244" s="26"/>
      <c r="AE2244" s="26"/>
      <c r="AF2244" s="26"/>
      <c r="AJ2244" s="26"/>
    </row>
    <row r="2245" spans="29:36">
      <c r="AC2245" s="26"/>
      <c r="AE2245" s="26"/>
      <c r="AF2245" s="26"/>
      <c r="AJ2245" s="26"/>
    </row>
    <row r="2246" spans="29:36">
      <c r="AC2246" s="26"/>
      <c r="AE2246" s="26"/>
      <c r="AF2246" s="26"/>
      <c r="AJ2246" s="26"/>
    </row>
    <row r="2247" spans="29:36">
      <c r="AC2247" s="26"/>
      <c r="AE2247" s="26"/>
      <c r="AF2247" s="26"/>
      <c r="AJ2247" s="26"/>
    </row>
    <row r="2248" spans="29:36">
      <c r="AC2248" s="26"/>
      <c r="AE2248" s="26"/>
      <c r="AF2248" s="26"/>
      <c r="AJ2248" s="26"/>
    </row>
    <row r="2249" spans="29:36">
      <c r="AC2249" s="26"/>
      <c r="AE2249" s="26"/>
      <c r="AF2249" s="26"/>
      <c r="AJ2249" s="26"/>
    </row>
    <row r="2250" spans="29:36">
      <c r="AC2250" s="26"/>
      <c r="AE2250" s="26"/>
      <c r="AF2250" s="26"/>
      <c r="AJ2250" s="26"/>
    </row>
    <row r="2251" spans="29:36">
      <c r="AC2251" s="26"/>
      <c r="AE2251" s="26"/>
      <c r="AF2251" s="26"/>
      <c r="AJ2251" s="26"/>
    </row>
    <row r="2252" spans="29:36">
      <c r="AC2252" s="26"/>
      <c r="AE2252" s="26"/>
      <c r="AF2252" s="26"/>
      <c r="AJ2252" s="26"/>
    </row>
    <row r="2253" spans="29:36">
      <c r="AC2253" s="26"/>
      <c r="AE2253" s="26"/>
      <c r="AF2253" s="26"/>
      <c r="AJ2253" s="26"/>
    </row>
    <row r="2254" spans="29:36">
      <c r="AC2254" s="26"/>
      <c r="AE2254" s="26"/>
      <c r="AF2254" s="26"/>
      <c r="AJ2254" s="26"/>
    </row>
    <row r="2255" spans="29:36">
      <c r="AC2255" s="26"/>
      <c r="AE2255" s="26"/>
      <c r="AF2255" s="26"/>
      <c r="AJ2255" s="26"/>
    </row>
    <row r="2256" spans="29:36">
      <c r="AC2256" s="26"/>
      <c r="AE2256" s="26"/>
      <c r="AF2256" s="26"/>
      <c r="AJ2256" s="26"/>
    </row>
    <row r="2257" spans="29:36">
      <c r="AC2257" s="26"/>
      <c r="AE2257" s="26"/>
      <c r="AF2257" s="26"/>
      <c r="AJ2257" s="26"/>
    </row>
    <row r="2258" spans="29:36">
      <c r="AC2258" s="26"/>
      <c r="AE2258" s="26"/>
      <c r="AF2258" s="26"/>
      <c r="AJ2258" s="26"/>
    </row>
    <row r="2259" spans="29:36">
      <c r="AC2259" s="26"/>
      <c r="AE2259" s="26"/>
      <c r="AF2259" s="26"/>
      <c r="AJ2259" s="26"/>
    </row>
    <row r="2260" spans="29:36">
      <c r="AC2260" s="26"/>
      <c r="AE2260" s="26"/>
      <c r="AF2260" s="26"/>
      <c r="AJ2260" s="26"/>
    </row>
    <row r="2261" spans="29:36">
      <c r="AC2261" s="26"/>
      <c r="AE2261" s="26"/>
      <c r="AF2261" s="26"/>
      <c r="AJ2261" s="26"/>
    </row>
    <row r="2262" spans="29:36">
      <c r="AC2262" s="26"/>
      <c r="AE2262" s="26"/>
      <c r="AF2262" s="26"/>
      <c r="AJ2262" s="26"/>
    </row>
    <row r="2263" spans="29:36">
      <c r="AC2263" s="26"/>
      <c r="AE2263" s="26"/>
      <c r="AF2263" s="26"/>
      <c r="AJ2263" s="26"/>
    </row>
    <row r="2264" spans="29:36">
      <c r="AC2264" s="26"/>
      <c r="AE2264" s="26"/>
      <c r="AF2264" s="26"/>
      <c r="AJ2264" s="26"/>
    </row>
    <row r="2265" spans="29:36">
      <c r="AC2265" s="26"/>
      <c r="AE2265" s="26"/>
      <c r="AF2265" s="26"/>
      <c r="AJ2265" s="26"/>
    </row>
    <row r="2266" spans="29:36">
      <c r="AC2266" s="26"/>
      <c r="AE2266" s="26"/>
      <c r="AF2266" s="26"/>
      <c r="AJ2266" s="26"/>
    </row>
    <row r="2267" spans="29:36">
      <c r="AC2267" s="26"/>
      <c r="AE2267" s="26"/>
      <c r="AF2267" s="26"/>
      <c r="AJ2267" s="26"/>
    </row>
    <row r="2268" spans="29:36">
      <c r="AC2268" s="26"/>
      <c r="AE2268" s="26"/>
      <c r="AF2268" s="26"/>
      <c r="AJ2268" s="26"/>
    </row>
    <row r="2269" spans="29:36">
      <c r="AC2269" s="26"/>
      <c r="AE2269" s="26"/>
      <c r="AF2269" s="26"/>
      <c r="AJ2269" s="26"/>
    </row>
    <row r="2270" spans="29:36">
      <c r="AC2270" s="26"/>
      <c r="AE2270" s="26"/>
      <c r="AF2270" s="26"/>
      <c r="AJ2270" s="26"/>
    </row>
    <row r="2271" spans="29:36">
      <c r="AC2271" s="26"/>
      <c r="AE2271" s="26"/>
      <c r="AF2271" s="26"/>
      <c r="AJ2271" s="26"/>
    </row>
    <row r="2272" spans="29:36">
      <c r="AC2272" s="26"/>
      <c r="AE2272" s="26"/>
      <c r="AF2272" s="26"/>
      <c r="AJ2272" s="26"/>
    </row>
    <row r="2273" spans="29:36">
      <c r="AC2273" s="26"/>
      <c r="AE2273" s="26"/>
      <c r="AF2273" s="26"/>
      <c r="AJ2273" s="26"/>
    </row>
    <row r="2274" spans="29:36">
      <c r="AC2274" s="26"/>
      <c r="AE2274" s="26"/>
      <c r="AF2274" s="26"/>
      <c r="AJ2274" s="26"/>
    </row>
    <row r="2275" spans="29:36">
      <c r="AC2275" s="26"/>
      <c r="AE2275" s="26"/>
      <c r="AF2275" s="26"/>
      <c r="AJ2275" s="26"/>
    </row>
    <row r="2276" spans="29:36">
      <c r="AC2276" s="26"/>
      <c r="AE2276" s="26"/>
      <c r="AF2276" s="26"/>
      <c r="AJ2276" s="26"/>
    </row>
    <row r="2277" spans="29:36">
      <c r="AC2277" s="26"/>
      <c r="AE2277" s="26"/>
      <c r="AF2277" s="26"/>
      <c r="AJ2277" s="26"/>
    </row>
    <row r="2278" spans="29:36">
      <c r="AC2278" s="26"/>
      <c r="AE2278" s="26"/>
      <c r="AF2278" s="26"/>
      <c r="AJ2278" s="26"/>
    </row>
    <row r="2279" spans="29:36">
      <c r="AC2279" s="26"/>
      <c r="AE2279" s="26"/>
      <c r="AF2279" s="26"/>
      <c r="AJ2279" s="26"/>
    </row>
    <row r="2280" spans="29:36">
      <c r="AC2280" s="26"/>
      <c r="AE2280" s="26"/>
      <c r="AF2280" s="26"/>
      <c r="AJ2280" s="26"/>
    </row>
    <row r="2281" spans="29:36">
      <c r="AC2281" s="26"/>
      <c r="AE2281" s="26"/>
      <c r="AF2281" s="26"/>
      <c r="AJ2281" s="26"/>
    </row>
    <row r="2282" spans="29:36">
      <c r="AC2282" s="26"/>
      <c r="AE2282" s="26"/>
      <c r="AF2282" s="26"/>
      <c r="AJ2282" s="26"/>
    </row>
    <row r="2283" spans="29:36">
      <c r="AC2283" s="26"/>
      <c r="AE2283" s="26"/>
      <c r="AF2283" s="26"/>
      <c r="AJ2283" s="26"/>
    </row>
    <row r="2284" spans="29:36">
      <c r="AC2284" s="26"/>
      <c r="AE2284" s="26"/>
      <c r="AF2284" s="26"/>
      <c r="AJ2284" s="26"/>
    </row>
    <row r="2285" spans="29:36">
      <c r="AC2285" s="26"/>
      <c r="AE2285" s="26"/>
      <c r="AF2285" s="26"/>
      <c r="AJ2285" s="26"/>
    </row>
    <row r="2286" spans="29:36">
      <c r="AC2286" s="26"/>
      <c r="AE2286" s="26"/>
      <c r="AF2286" s="26"/>
      <c r="AJ2286" s="26"/>
    </row>
    <row r="2287" spans="29:36">
      <c r="AC2287" s="26"/>
      <c r="AE2287" s="26"/>
      <c r="AF2287" s="26"/>
      <c r="AJ2287" s="26"/>
    </row>
    <row r="2288" spans="29:36">
      <c r="AC2288" s="26"/>
      <c r="AE2288" s="26"/>
      <c r="AF2288" s="26"/>
      <c r="AJ2288" s="26"/>
    </row>
    <row r="2289" spans="29:36">
      <c r="AC2289" s="26"/>
      <c r="AE2289" s="26"/>
      <c r="AF2289" s="26"/>
      <c r="AJ2289" s="26"/>
    </row>
    <row r="2290" spans="29:36">
      <c r="AC2290" s="26"/>
      <c r="AE2290" s="26"/>
      <c r="AF2290" s="26"/>
      <c r="AJ2290" s="26"/>
    </row>
    <row r="2291" spans="29:36">
      <c r="AC2291" s="26"/>
      <c r="AE2291" s="26"/>
      <c r="AF2291" s="26"/>
      <c r="AJ2291" s="26"/>
    </row>
    <row r="2292" spans="29:36">
      <c r="AC2292" s="26"/>
      <c r="AE2292" s="26"/>
      <c r="AF2292" s="26"/>
      <c r="AJ2292" s="26"/>
    </row>
    <row r="2293" spans="29:36">
      <c r="AC2293" s="26"/>
      <c r="AE2293" s="26"/>
      <c r="AF2293" s="26"/>
      <c r="AJ2293" s="26"/>
    </row>
    <row r="2294" spans="29:36">
      <c r="AC2294" s="26"/>
      <c r="AE2294" s="26"/>
      <c r="AF2294" s="26"/>
      <c r="AJ2294" s="26"/>
    </row>
    <row r="2295" spans="29:36">
      <c r="AC2295" s="26"/>
      <c r="AE2295" s="26"/>
      <c r="AF2295" s="26"/>
      <c r="AJ2295" s="26"/>
    </row>
    <row r="2296" spans="29:36">
      <c r="AC2296" s="26"/>
      <c r="AE2296" s="26"/>
      <c r="AF2296" s="26"/>
      <c r="AJ2296" s="26"/>
    </row>
    <row r="2297" spans="29:36">
      <c r="AC2297" s="26"/>
      <c r="AE2297" s="26"/>
      <c r="AF2297" s="26"/>
      <c r="AJ2297" s="26"/>
    </row>
    <row r="2298" spans="29:36">
      <c r="AC2298" s="26"/>
      <c r="AE2298" s="26"/>
      <c r="AF2298" s="26"/>
      <c r="AJ2298" s="26"/>
    </row>
    <row r="2299" spans="29:36">
      <c r="AC2299" s="26"/>
      <c r="AE2299" s="26"/>
      <c r="AF2299" s="26"/>
      <c r="AJ2299" s="26"/>
    </row>
    <row r="2300" spans="29:36">
      <c r="AC2300" s="26"/>
      <c r="AE2300" s="26"/>
      <c r="AF2300" s="26"/>
      <c r="AJ2300" s="26"/>
    </row>
    <row r="2301" spans="29:36">
      <c r="AC2301" s="26"/>
      <c r="AE2301" s="26"/>
      <c r="AF2301" s="26"/>
      <c r="AJ2301" s="26"/>
    </row>
    <row r="2302" spans="29:36">
      <c r="AC2302" s="26"/>
      <c r="AE2302" s="26"/>
      <c r="AF2302" s="26"/>
      <c r="AJ2302" s="26"/>
    </row>
    <row r="2303" spans="29:36">
      <c r="AC2303" s="26"/>
      <c r="AE2303" s="26"/>
      <c r="AF2303" s="26"/>
      <c r="AJ2303" s="26"/>
    </row>
    <row r="2304" spans="29:36">
      <c r="AC2304" s="26"/>
      <c r="AE2304" s="26"/>
      <c r="AF2304" s="26"/>
      <c r="AJ2304" s="26"/>
    </row>
    <row r="2305" spans="29:36">
      <c r="AC2305" s="26"/>
      <c r="AE2305" s="26"/>
      <c r="AF2305" s="26"/>
      <c r="AJ2305" s="26"/>
    </row>
    <row r="2306" spans="29:36">
      <c r="AC2306" s="26"/>
      <c r="AE2306" s="26"/>
      <c r="AF2306" s="26"/>
      <c r="AJ2306" s="26"/>
    </row>
    <row r="2307" spans="29:36">
      <c r="AC2307" s="26"/>
      <c r="AE2307" s="26"/>
      <c r="AF2307" s="26"/>
      <c r="AJ2307" s="26"/>
    </row>
    <row r="2308" spans="29:36">
      <c r="AC2308" s="26"/>
      <c r="AE2308" s="26"/>
      <c r="AF2308" s="26"/>
      <c r="AJ2308" s="26"/>
    </row>
    <row r="2309" spans="29:36">
      <c r="AC2309" s="26"/>
      <c r="AE2309" s="26"/>
      <c r="AF2309" s="26"/>
      <c r="AJ2309" s="26"/>
    </row>
    <row r="2310" spans="29:36">
      <c r="AC2310" s="26"/>
      <c r="AE2310" s="26"/>
      <c r="AF2310" s="26"/>
      <c r="AJ2310" s="26"/>
    </row>
    <row r="2311" spans="29:36">
      <c r="AC2311" s="26"/>
      <c r="AE2311" s="26"/>
      <c r="AF2311" s="26"/>
      <c r="AJ2311" s="26"/>
    </row>
    <row r="2312" spans="29:36">
      <c r="AC2312" s="26"/>
      <c r="AE2312" s="26"/>
      <c r="AF2312" s="26"/>
      <c r="AJ2312" s="26"/>
    </row>
    <row r="2313" spans="29:36">
      <c r="AC2313" s="26"/>
      <c r="AE2313" s="26"/>
      <c r="AF2313" s="26"/>
      <c r="AJ2313" s="26"/>
    </row>
    <row r="2314" spans="29:36">
      <c r="AC2314" s="26"/>
      <c r="AE2314" s="26"/>
      <c r="AF2314" s="26"/>
      <c r="AJ2314" s="26"/>
    </row>
    <row r="2315" spans="29:36">
      <c r="AC2315" s="26"/>
      <c r="AE2315" s="26"/>
      <c r="AF2315" s="26"/>
      <c r="AJ2315" s="26"/>
    </row>
    <row r="2316" spans="29:36">
      <c r="AC2316" s="26"/>
      <c r="AE2316" s="26"/>
      <c r="AF2316" s="26"/>
      <c r="AJ2316" s="26"/>
    </row>
    <row r="2317" spans="29:36">
      <c r="AC2317" s="26"/>
      <c r="AE2317" s="26"/>
      <c r="AF2317" s="26"/>
      <c r="AJ2317" s="26"/>
    </row>
    <row r="2318" spans="29:36">
      <c r="AC2318" s="26"/>
      <c r="AE2318" s="26"/>
      <c r="AF2318" s="26"/>
      <c r="AJ2318" s="26"/>
    </row>
    <row r="2319" spans="29:36">
      <c r="AC2319" s="26"/>
      <c r="AE2319" s="26"/>
      <c r="AF2319" s="26"/>
      <c r="AJ2319" s="26"/>
    </row>
    <row r="2320" spans="29:36">
      <c r="AC2320" s="26"/>
      <c r="AE2320" s="26"/>
      <c r="AF2320" s="26"/>
      <c r="AJ2320" s="26"/>
    </row>
    <row r="2321" spans="29:36">
      <c r="AC2321" s="26"/>
      <c r="AE2321" s="26"/>
      <c r="AF2321" s="26"/>
      <c r="AJ2321" s="26"/>
    </row>
    <row r="2322" spans="29:36">
      <c r="AC2322" s="26"/>
      <c r="AE2322" s="26"/>
      <c r="AF2322" s="26"/>
      <c r="AJ2322" s="26"/>
    </row>
    <row r="2323" spans="29:36">
      <c r="AC2323" s="26"/>
      <c r="AE2323" s="26"/>
      <c r="AF2323" s="26"/>
      <c r="AJ2323" s="26"/>
    </row>
    <row r="2324" spans="29:36">
      <c r="AC2324" s="26"/>
      <c r="AE2324" s="26"/>
      <c r="AF2324" s="26"/>
      <c r="AJ2324" s="26"/>
    </row>
    <row r="2325" spans="29:36">
      <c r="AC2325" s="26"/>
      <c r="AE2325" s="26"/>
      <c r="AF2325" s="26"/>
      <c r="AJ2325" s="26"/>
    </row>
    <row r="2326" spans="29:36">
      <c r="AC2326" s="26"/>
      <c r="AE2326" s="26"/>
      <c r="AF2326" s="26"/>
      <c r="AJ2326" s="26"/>
    </row>
    <row r="2327" spans="29:36">
      <c r="AC2327" s="26"/>
      <c r="AE2327" s="26"/>
      <c r="AF2327" s="26"/>
      <c r="AJ2327" s="26"/>
    </row>
    <row r="2328" spans="29:36">
      <c r="AC2328" s="26"/>
      <c r="AE2328" s="26"/>
      <c r="AF2328" s="26"/>
      <c r="AJ2328" s="26"/>
    </row>
    <row r="2329" spans="29:36">
      <c r="AC2329" s="26"/>
      <c r="AE2329" s="26"/>
      <c r="AF2329" s="26"/>
      <c r="AJ2329" s="26"/>
    </row>
    <row r="2330" spans="29:36">
      <c r="AC2330" s="26"/>
      <c r="AE2330" s="26"/>
      <c r="AF2330" s="26"/>
      <c r="AJ2330" s="26"/>
    </row>
    <row r="2331" spans="29:36">
      <c r="AC2331" s="26"/>
      <c r="AE2331" s="26"/>
      <c r="AF2331" s="26"/>
      <c r="AJ2331" s="26"/>
    </row>
    <row r="2332" spans="29:36">
      <c r="AC2332" s="26"/>
      <c r="AE2332" s="26"/>
      <c r="AF2332" s="26"/>
      <c r="AJ2332" s="26"/>
    </row>
    <row r="2333" spans="29:36">
      <c r="AC2333" s="26"/>
      <c r="AE2333" s="26"/>
      <c r="AF2333" s="26"/>
      <c r="AJ2333" s="26"/>
    </row>
    <row r="2334" spans="29:36">
      <c r="AC2334" s="26"/>
      <c r="AE2334" s="26"/>
      <c r="AF2334" s="26"/>
      <c r="AJ2334" s="26"/>
    </row>
    <row r="2335" spans="29:36">
      <c r="AC2335" s="26"/>
      <c r="AE2335" s="26"/>
      <c r="AF2335" s="26"/>
      <c r="AJ2335" s="26"/>
    </row>
    <row r="2336" spans="29:36">
      <c r="AC2336" s="26"/>
      <c r="AE2336" s="26"/>
      <c r="AF2336" s="26"/>
      <c r="AJ2336" s="26"/>
    </row>
    <row r="2337" spans="29:36">
      <c r="AC2337" s="26"/>
      <c r="AE2337" s="26"/>
      <c r="AF2337" s="26"/>
      <c r="AJ2337" s="26"/>
    </row>
    <row r="2338" spans="29:36">
      <c r="AC2338" s="26"/>
      <c r="AE2338" s="26"/>
      <c r="AF2338" s="26"/>
      <c r="AJ2338" s="26"/>
    </row>
    <row r="2339" spans="29:36">
      <c r="AC2339" s="26"/>
      <c r="AE2339" s="26"/>
      <c r="AF2339" s="26"/>
      <c r="AJ2339" s="26"/>
    </row>
    <row r="2340" spans="29:36">
      <c r="AC2340" s="26"/>
      <c r="AE2340" s="26"/>
      <c r="AF2340" s="26"/>
      <c r="AJ2340" s="26"/>
    </row>
    <row r="2341" spans="29:36">
      <c r="AC2341" s="26"/>
      <c r="AE2341" s="26"/>
      <c r="AF2341" s="26"/>
      <c r="AJ2341" s="26"/>
    </row>
    <row r="2342" spans="29:36">
      <c r="AC2342" s="26"/>
      <c r="AE2342" s="26"/>
      <c r="AF2342" s="26"/>
      <c r="AJ2342" s="26"/>
    </row>
    <row r="2343" spans="29:36">
      <c r="AC2343" s="26"/>
      <c r="AE2343" s="26"/>
      <c r="AF2343" s="26"/>
      <c r="AJ2343" s="26"/>
    </row>
    <row r="2344" spans="29:36">
      <c r="AC2344" s="26"/>
      <c r="AE2344" s="26"/>
      <c r="AF2344" s="26"/>
      <c r="AJ2344" s="26"/>
    </row>
    <row r="2345" spans="29:36">
      <c r="AC2345" s="26"/>
      <c r="AE2345" s="26"/>
      <c r="AF2345" s="26"/>
      <c r="AJ2345" s="26"/>
    </row>
    <row r="2346" spans="29:36">
      <c r="AC2346" s="26"/>
      <c r="AE2346" s="26"/>
      <c r="AF2346" s="26"/>
      <c r="AJ2346" s="26"/>
    </row>
    <row r="2347" spans="29:36">
      <c r="AC2347" s="26"/>
      <c r="AE2347" s="26"/>
      <c r="AF2347" s="26"/>
      <c r="AJ2347" s="26"/>
    </row>
    <row r="2348" spans="29:36">
      <c r="AC2348" s="26"/>
      <c r="AE2348" s="26"/>
      <c r="AF2348" s="26"/>
      <c r="AJ2348" s="26"/>
    </row>
    <row r="2349" spans="29:36">
      <c r="AC2349" s="26"/>
      <c r="AE2349" s="26"/>
      <c r="AF2349" s="26"/>
      <c r="AJ2349" s="26"/>
    </row>
    <row r="2350" spans="29:36">
      <c r="AC2350" s="26"/>
      <c r="AE2350" s="26"/>
      <c r="AF2350" s="26"/>
      <c r="AJ2350" s="26"/>
    </row>
    <row r="2351" spans="29:36">
      <c r="AC2351" s="26"/>
      <c r="AE2351" s="26"/>
      <c r="AF2351" s="26"/>
      <c r="AJ2351" s="26"/>
    </row>
    <row r="2352" spans="29:36">
      <c r="AC2352" s="26"/>
      <c r="AE2352" s="26"/>
      <c r="AF2352" s="26"/>
      <c r="AJ2352" s="26"/>
    </row>
    <row r="2353" spans="29:36">
      <c r="AC2353" s="26"/>
      <c r="AE2353" s="26"/>
      <c r="AF2353" s="26"/>
      <c r="AJ2353" s="26"/>
    </row>
    <row r="2354" spans="29:36">
      <c r="AC2354" s="26"/>
      <c r="AE2354" s="26"/>
      <c r="AF2354" s="26"/>
      <c r="AJ2354" s="26"/>
    </row>
    <row r="2355" spans="29:36">
      <c r="AC2355" s="26"/>
      <c r="AE2355" s="26"/>
      <c r="AF2355" s="26"/>
      <c r="AJ2355" s="26"/>
    </row>
    <row r="2356" spans="29:36">
      <c r="AC2356" s="26"/>
      <c r="AE2356" s="26"/>
      <c r="AF2356" s="26"/>
      <c r="AJ2356" s="26"/>
    </row>
    <row r="2357" spans="29:36">
      <c r="AC2357" s="26"/>
      <c r="AE2357" s="26"/>
      <c r="AF2357" s="26"/>
      <c r="AJ2357" s="26"/>
    </row>
    <row r="2358" spans="29:36">
      <c r="AC2358" s="26"/>
      <c r="AE2358" s="26"/>
      <c r="AF2358" s="26"/>
      <c r="AJ2358" s="26"/>
    </row>
    <row r="2359" spans="29:36">
      <c r="AC2359" s="26"/>
      <c r="AE2359" s="26"/>
      <c r="AF2359" s="26"/>
      <c r="AJ2359" s="26"/>
    </row>
    <row r="2360" spans="29:36">
      <c r="AC2360" s="26"/>
      <c r="AE2360" s="26"/>
      <c r="AF2360" s="26"/>
      <c r="AJ2360" s="26"/>
    </row>
    <row r="2361" spans="29:36">
      <c r="AC2361" s="26"/>
      <c r="AE2361" s="26"/>
      <c r="AF2361" s="26"/>
      <c r="AJ2361" s="26"/>
    </row>
    <row r="2362" spans="29:36">
      <c r="AC2362" s="26"/>
      <c r="AE2362" s="26"/>
      <c r="AF2362" s="26"/>
      <c r="AJ2362" s="26"/>
    </row>
    <row r="2363" spans="29:36">
      <c r="AC2363" s="26"/>
      <c r="AE2363" s="26"/>
      <c r="AF2363" s="26"/>
      <c r="AJ2363" s="26"/>
    </row>
    <row r="2364" spans="29:36">
      <c r="AC2364" s="26"/>
      <c r="AE2364" s="26"/>
      <c r="AF2364" s="26"/>
      <c r="AJ2364" s="26"/>
    </row>
    <row r="2365" spans="29:36">
      <c r="AC2365" s="26"/>
      <c r="AE2365" s="26"/>
      <c r="AF2365" s="26"/>
      <c r="AJ2365" s="26"/>
    </row>
    <row r="2366" spans="29:36">
      <c r="AC2366" s="26"/>
      <c r="AE2366" s="26"/>
      <c r="AF2366" s="26"/>
      <c r="AJ2366" s="26"/>
    </row>
    <row r="2367" spans="29:36">
      <c r="AC2367" s="26"/>
      <c r="AE2367" s="26"/>
      <c r="AF2367" s="26"/>
      <c r="AJ2367" s="26"/>
    </row>
    <row r="2368" spans="29:36">
      <c r="AC2368" s="26"/>
      <c r="AE2368" s="26"/>
      <c r="AF2368" s="26"/>
      <c r="AJ2368" s="26"/>
    </row>
    <row r="2369" spans="29:36">
      <c r="AC2369" s="26"/>
      <c r="AE2369" s="26"/>
      <c r="AF2369" s="26"/>
      <c r="AJ2369" s="26"/>
    </row>
    <row r="2370" spans="29:36">
      <c r="AC2370" s="26"/>
      <c r="AE2370" s="26"/>
      <c r="AF2370" s="26"/>
      <c r="AJ2370" s="26"/>
    </row>
    <row r="2371" spans="29:36">
      <c r="AC2371" s="26"/>
      <c r="AE2371" s="26"/>
      <c r="AF2371" s="26"/>
      <c r="AJ2371" s="26"/>
    </row>
    <row r="2372" spans="29:36">
      <c r="AC2372" s="26"/>
      <c r="AE2372" s="26"/>
      <c r="AF2372" s="26"/>
      <c r="AJ2372" s="26"/>
    </row>
    <row r="2373" spans="29:36">
      <c r="AC2373" s="26"/>
      <c r="AE2373" s="26"/>
      <c r="AF2373" s="26"/>
      <c r="AJ2373" s="26"/>
    </row>
    <row r="2374" spans="29:36">
      <c r="AC2374" s="26"/>
      <c r="AE2374" s="26"/>
      <c r="AF2374" s="26"/>
      <c r="AJ2374" s="26"/>
    </row>
    <row r="2375" spans="29:36">
      <c r="AC2375" s="26"/>
      <c r="AE2375" s="26"/>
      <c r="AF2375" s="26"/>
      <c r="AJ2375" s="26"/>
    </row>
    <row r="2376" spans="29:36">
      <c r="AC2376" s="26"/>
      <c r="AE2376" s="26"/>
      <c r="AF2376" s="26"/>
      <c r="AJ2376" s="26"/>
    </row>
    <row r="2377" spans="29:36">
      <c r="AC2377" s="26"/>
      <c r="AE2377" s="26"/>
      <c r="AF2377" s="26"/>
      <c r="AJ2377" s="26"/>
    </row>
    <row r="2378" spans="29:36">
      <c r="AC2378" s="26"/>
      <c r="AE2378" s="26"/>
      <c r="AF2378" s="26"/>
      <c r="AJ2378" s="26"/>
    </row>
    <row r="2379" spans="29:36">
      <c r="AC2379" s="26"/>
      <c r="AE2379" s="26"/>
      <c r="AF2379" s="26"/>
      <c r="AJ2379" s="26"/>
    </row>
    <row r="2380" spans="29:36">
      <c r="AC2380" s="26"/>
      <c r="AE2380" s="26"/>
      <c r="AF2380" s="26"/>
      <c r="AJ2380" s="26"/>
    </row>
    <row r="2381" spans="29:36">
      <c r="AC2381" s="26"/>
      <c r="AE2381" s="26"/>
      <c r="AF2381" s="26"/>
      <c r="AJ2381" s="26"/>
    </row>
    <row r="2382" spans="29:36">
      <c r="AC2382" s="26"/>
      <c r="AE2382" s="26"/>
      <c r="AF2382" s="26"/>
      <c r="AJ2382" s="26"/>
    </row>
    <row r="2383" spans="29:36">
      <c r="AC2383" s="26"/>
      <c r="AE2383" s="26"/>
      <c r="AF2383" s="26"/>
      <c r="AJ2383" s="26"/>
    </row>
    <row r="2384" spans="29:36">
      <c r="AC2384" s="26"/>
      <c r="AE2384" s="26"/>
      <c r="AF2384" s="26"/>
      <c r="AJ2384" s="26"/>
    </row>
    <row r="2385" spans="29:36">
      <c r="AC2385" s="26"/>
      <c r="AE2385" s="26"/>
      <c r="AF2385" s="26"/>
      <c r="AJ2385" s="26"/>
    </row>
    <row r="2386" spans="29:36">
      <c r="AC2386" s="26"/>
      <c r="AE2386" s="26"/>
      <c r="AF2386" s="26"/>
      <c r="AJ2386" s="26"/>
    </row>
    <row r="2387" spans="29:36">
      <c r="AC2387" s="26"/>
      <c r="AE2387" s="26"/>
      <c r="AF2387" s="26"/>
      <c r="AJ2387" s="26"/>
    </row>
    <row r="2388" spans="29:36">
      <c r="AC2388" s="26"/>
      <c r="AE2388" s="26"/>
      <c r="AF2388" s="26"/>
      <c r="AJ2388" s="26"/>
    </row>
    <row r="2389" spans="29:36">
      <c r="AC2389" s="26"/>
      <c r="AE2389" s="26"/>
      <c r="AF2389" s="26"/>
      <c r="AJ2389" s="26"/>
    </row>
    <row r="2390" spans="29:36">
      <c r="AC2390" s="26"/>
      <c r="AE2390" s="26"/>
      <c r="AF2390" s="26"/>
      <c r="AJ2390" s="26"/>
    </row>
    <row r="2391" spans="29:36">
      <c r="AC2391" s="26"/>
      <c r="AE2391" s="26"/>
      <c r="AF2391" s="26"/>
      <c r="AJ2391" s="26"/>
    </row>
    <row r="2392" spans="29:36">
      <c r="AC2392" s="26"/>
      <c r="AE2392" s="26"/>
      <c r="AF2392" s="26"/>
      <c r="AJ2392" s="26"/>
    </row>
    <row r="2393" spans="29:36">
      <c r="AC2393" s="26"/>
      <c r="AE2393" s="26"/>
      <c r="AF2393" s="26"/>
      <c r="AJ2393" s="26"/>
    </row>
    <row r="2394" spans="29:36">
      <c r="AC2394" s="26"/>
      <c r="AE2394" s="26"/>
      <c r="AF2394" s="26"/>
      <c r="AJ2394" s="26"/>
    </row>
    <row r="2395" spans="29:36">
      <c r="AC2395" s="26"/>
      <c r="AE2395" s="26"/>
      <c r="AF2395" s="26"/>
      <c r="AJ2395" s="26"/>
    </row>
    <row r="2396" spans="29:36">
      <c r="AC2396" s="26"/>
      <c r="AE2396" s="26"/>
      <c r="AF2396" s="26"/>
      <c r="AJ2396" s="26"/>
    </row>
    <row r="2397" spans="29:36">
      <c r="AC2397" s="26"/>
      <c r="AE2397" s="26"/>
      <c r="AF2397" s="26"/>
      <c r="AJ2397" s="26"/>
    </row>
    <row r="2398" spans="29:36">
      <c r="AC2398" s="26"/>
      <c r="AE2398" s="26"/>
      <c r="AF2398" s="26"/>
      <c r="AJ2398" s="26"/>
    </row>
    <row r="2399" spans="29:36">
      <c r="AC2399" s="26"/>
      <c r="AE2399" s="26"/>
      <c r="AF2399" s="26"/>
      <c r="AJ2399" s="26"/>
    </row>
    <row r="2400" spans="29:36">
      <c r="AC2400" s="26"/>
      <c r="AE2400" s="26"/>
      <c r="AF2400" s="26"/>
      <c r="AJ2400" s="26"/>
    </row>
    <row r="2401" spans="29:36">
      <c r="AC2401" s="26"/>
      <c r="AE2401" s="26"/>
      <c r="AF2401" s="26"/>
      <c r="AJ2401" s="26"/>
    </row>
    <row r="2402" spans="29:36">
      <c r="AC2402" s="26"/>
      <c r="AE2402" s="26"/>
      <c r="AF2402" s="26"/>
      <c r="AJ2402" s="26"/>
    </row>
    <row r="2403" spans="29:36">
      <c r="AC2403" s="26"/>
      <c r="AE2403" s="26"/>
      <c r="AF2403" s="26"/>
      <c r="AJ2403" s="26"/>
    </row>
    <row r="2404" spans="29:36">
      <c r="AC2404" s="26"/>
      <c r="AE2404" s="26"/>
      <c r="AF2404" s="26"/>
      <c r="AJ2404" s="26"/>
    </row>
    <row r="2405" spans="29:36">
      <c r="AC2405" s="26"/>
      <c r="AE2405" s="26"/>
      <c r="AF2405" s="26"/>
      <c r="AJ2405" s="26"/>
    </row>
    <row r="2406" spans="29:36">
      <c r="AC2406" s="26"/>
      <c r="AE2406" s="26"/>
      <c r="AF2406" s="26"/>
      <c r="AJ2406" s="26"/>
    </row>
    <row r="2407" spans="29:36">
      <c r="AC2407" s="26"/>
      <c r="AE2407" s="26"/>
      <c r="AF2407" s="26"/>
      <c r="AJ2407" s="26"/>
    </row>
    <row r="2408" spans="29:36">
      <c r="AC2408" s="26"/>
      <c r="AE2408" s="26"/>
      <c r="AF2408" s="26"/>
      <c r="AJ2408" s="26"/>
    </row>
    <row r="2409" spans="29:36">
      <c r="AC2409" s="26"/>
      <c r="AE2409" s="26"/>
      <c r="AF2409" s="26"/>
      <c r="AJ2409" s="26"/>
    </row>
    <row r="2410" spans="29:36">
      <c r="AC2410" s="26"/>
      <c r="AE2410" s="26"/>
      <c r="AF2410" s="26"/>
      <c r="AJ2410" s="26"/>
    </row>
    <row r="2411" spans="29:36">
      <c r="AC2411" s="26"/>
      <c r="AE2411" s="26"/>
      <c r="AF2411" s="26"/>
      <c r="AJ2411" s="26"/>
    </row>
    <row r="2412" spans="29:36">
      <c r="AC2412" s="26"/>
      <c r="AE2412" s="26"/>
      <c r="AF2412" s="26"/>
      <c r="AJ2412" s="26"/>
    </row>
    <row r="2413" spans="29:36">
      <c r="AC2413" s="26"/>
      <c r="AE2413" s="26"/>
      <c r="AF2413" s="26"/>
      <c r="AJ2413" s="26"/>
    </row>
    <row r="2414" spans="29:36">
      <c r="AC2414" s="26"/>
      <c r="AE2414" s="26"/>
      <c r="AF2414" s="26"/>
      <c r="AJ2414" s="26"/>
    </row>
    <row r="2415" spans="29:36">
      <c r="AC2415" s="26"/>
      <c r="AE2415" s="26"/>
      <c r="AF2415" s="26"/>
      <c r="AJ2415" s="26"/>
    </row>
    <row r="2416" spans="29:36">
      <c r="AC2416" s="26"/>
      <c r="AE2416" s="26"/>
      <c r="AF2416" s="26"/>
      <c r="AJ2416" s="26"/>
    </row>
    <row r="2417" spans="29:36">
      <c r="AC2417" s="26"/>
      <c r="AE2417" s="26"/>
      <c r="AF2417" s="26"/>
      <c r="AJ2417" s="26"/>
    </row>
    <row r="2418" spans="29:36">
      <c r="AC2418" s="26"/>
      <c r="AE2418" s="26"/>
      <c r="AF2418" s="26"/>
      <c r="AJ2418" s="26"/>
    </row>
    <row r="2419" spans="29:36">
      <c r="AC2419" s="26"/>
      <c r="AE2419" s="26"/>
      <c r="AF2419" s="26"/>
      <c r="AJ2419" s="26"/>
    </row>
    <row r="2420" spans="29:36">
      <c r="AC2420" s="26"/>
      <c r="AE2420" s="26"/>
      <c r="AF2420" s="26"/>
      <c r="AJ2420" s="26"/>
    </row>
    <row r="2421" spans="29:36">
      <c r="AC2421" s="26"/>
      <c r="AE2421" s="26"/>
      <c r="AF2421" s="26"/>
      <c r="AJ2421" s="26"/>
    </row>
    <row r="2422" spans="29:36">
      <c r="AC2422" s="26"/>
      <c r="AE2422" s="26"/>
      <c r="AF2422" s="26"/>
      <c r="AJ2422" s="26"/>
    </row>
    <row r="2423" spans="29:36">
      <c r="AC2423" s="26"/>
      <c r="AE2423" s="26"/>
      <c r="AF2423" s="26"/>
      <c r="AJ2423" s="26"/>
    </row>
    <row r="2424" spans="29:36">
      <c r="AC2424" s="26"/>
      <c r="AE2424" s="26"/>
      <c r="AF2424" s="26"/>
      <c r="AJ2424" s="26"/>
    </row>
    <row r="2425" spans="29:36">
      <c r="AC2425" s="26"/>
      <c r="AE2425" s="26"/>
      <c r="AF2425" s="26"/>
      <c r="AJ2425" s="26"/>
    </row>
    <row r="2426" spans="29:36">
      <c r="AC2426" s="26"/>
      <c r="AE2426" s="26"/>
      <c r="AF2426" s="26"/>
      <c r="AJ2426" s="26"/>
    </row>
    <row r="2427" spans="29:36">
      <c r="AC2427" s="26"/>
      <c r="AE2427" s="26"/>
      <c r="AF2427" s="26"/>
      <c r="AJ2427" s="26"/>
    </row>
    <row r="2428" spans="29:36">
      <c r="AC2428" s="26"/>
      <c r="AE2428" s="26"/>
      <c r="AF2428" s="26"/>
      <c r="AJ2428" s="26"/>
    </row>
    <row r="2429" spans="29:36">
      <c r="AC2429" s="26"/>
      <c r="AE2429" s="26"/>
      <c r="AF2429" s="26"/>
      <c r="AJ2429" s="26"/>
    </row>
    <row r="2430" spans="29:36">
      <c r="AC2430" s="26"/>
      <c r="AE2430" s="26"/>
      <c r="AF2430" s="26"/>
      <c r="AJ2430" s="26"/>
    </row>
    <row r="2431" spans="29:36">
      <c r="AC2431" s="26"/>
      <c r="AE2431" s="26"/>
      <c r="AF2431" s="26"/>
      <c r="AJ2431" s="26"/>
    </row>
    <row r="2432" spans="29:36">
      <c r="AC2432" s="26"/>
      <c r="AE2432" s="26"/>
      <c r="AF2432" s="26"/>
      <c r="AJ2432" s="26"/>
    </row>
    <row r="2433" spans="29:36">
      <c r="AC2433" s="26"/>
      <c r="AE2433" s="26"/>
      <c r="AF2433" s="26"/>
      <c r="AJ2433" s="26"/>
    </row>
    <row r="2434" spans="29:36">
      <c r="AC2434" s="26"/>
      <c r="AE2434" s="26"/>
      <c r="AF2434" s="26"/>
      <c r="AJ2434" s="26"/>
    </row>
    <row r="2435" spans="29:36">
      <c r="AC2435" s="26"/>
      <c r="AE2435" s="26"/>
      <c r="AF2435" s="26"/>
      <c r="AJ2435" s="26"/>
    </row>
    <row r="2436" spans="29:36">
      <c r="AC2436" s="26"/>
      <c r="AE2436" s="26"/>
      <c r="AF2436" s="26"/>
      <c r="AJ2436" s="26"/>
    </row>
    <row r="2437" spans="29:36">
      <c r="AC2437" s="26"/>
      <c r="AE2437" s="26"/>
      <c r="AF2437" s="26"/>
      <c r="AJ2437" s="26"/>
    </row>
    <row r="2438" spans="29:36">
      <c r="AC2438" s="26"/>
      <c r="AE2438" s="26"/>
      <c r="AF2438" s="26"/>
      <c r="AJ2438" s="26"/>
    </row>
    <row r="2439" spans="29:36">
      <c r="AC2439" s="26"/>
      <c r="AE2439" s="26"/>
      <c r="AF2439" s="26"/>
      <c r="AJ2439" s="26"/>
    </row>
    <row r="2440" spans="29:36">
      <c r="AC2440" s="26"/>
      <c r="AE2440" s="26"/>
      <c r="AF2440" s="26"/>
      <c r="AJ2440" s="26"/>
    </row>
    <row r="2441" spans="29:36">
      <c r="AC2441" s="26"/>
      <c r="AE2441" s="26"/>
      <c r="AF2441" s="26"/>
      <c r="AJ2441" s="26"/>
    </row>
    <row r="2442" spans="29:36">
      <c r="AC2442" s="26"/>
      <c r="AE2442" s="26"/>
      <c r="AF2442" s="26"/>
      <c r="AJ2442" s="26"/>
    </row>
    <row r="2443" spans="29:36">
      <c r="AC2443" s="26"/>
      <c r="AE2443" s="26"/>
      <c r="AF2443" s="26"/>
      <c r="AJ2443" s="26"/>
    </row>
    <row r="2444" spans="29:36">
      <c r="AC2444" s="26"/>
      <c r="AE2444" s="26"/>
      <c r="AF2444" s="26"/>
      <c r="AJ2444" s="26"/>
    </row>
    <row r="2445" spans="29:36">
      <c r="AC2445" s="26"/>
      <c r="AE2445" s="26"/>
      <c r="AF2445" s="26"/>
      <c r="AJ2445" s="26"/>
    </row>
    <row r="2446" spans="29:36">
      <c r="AC2446" s="26"/>
      <c r="AE2446" s="26"/>
      <c r="AF2446" s="26"/>
      <c r="AJ2446" s="26"/>
    </row>
    <row r="2447" spans="29:36">
      <c r="AC2447" s="26"/>
      <c r="AE2447" s="26"/>
      <c r="AF2447" s="26"/>
      <c r="AJ2447" s="26"/>
    </row>
    <row r="2448" spans="29:36">
      <c r="AC2448" s="26"/>
      <c r="AE2448" s="26"/>
      <c r="AF2448" s="26"/>
      <c r="AJ2448" s="26"/>
    </row>
    <row r="2449" spans="29:36">
      <c r="AC2449" s="26"/>
      <c r="AE2449" s="26"/>
      <c r="AF2449" s="26"/>
      <c r="AJ2449" s="26"/>
    </row>
    <row r="2450" spans="29:36">
      <c r="AC2450" s="26"/>
      <c r="AE2450" s="26"/>
      <c r="AF2450" s="26"/>
      <c r="AJ2450" s="26"/>
    </row>
    <row r="2451" spans="29:36">
      <c r="AC2451" s="26"/>
      <c r="AE2451" s="26"/>
      <c r="AF2451" s="26"/>
      <c r="AJ2451" s="26"/>
    </row>
    <row r="2452" spans="29:36">
      <c r="AC2452" s="26"/>
      <c r="AE2452" s="26"/>
      <c r="AF2452" s="26"/>
      <c r="AJ2452" s="26"/>
    </row>
    <row r="2453" spans="29:36">
      <c r="AC2453" s="26"/>
      <c r="AE2453" s="26"/>
      <c r="AF2453" s="26"/>
      <c r="AJ2453" s="26"/>
    </row>
    <row r="2454" spans="29:36">
      <c r="AC2454" s="26"/>
      <c r="AE2454" s="26"/>
      <c r="AF2454" s="26"/>
      <c r="AJ2454" s="26"/>
    </row>
    <row r="2455" spans="29:36">
      <c r="AC2455" s="26"/>
      <c r="AE2455" s="26"/>
      <c r="AF2455" s="26"/>
      <c r="AJ2455" s="26"/>
    </row>
    <row r="2456" spans="29:36">
      <c r="AC2456" s="26"/>
      <c r="AE2456" s="26"/>
      <c r="AF2456" s="26"/>
      <c r="AJ2456" s="26"/>
    </row>
    <row r="2457" spans="29:36">
      <c r="AC2457" s="26"/>
      <c r="AE2457" s="26"/>
      <c r="AF2457" s="26"/>
      <c r="AJ2457" s="26"/>
    </row>
    <row r="2458" spans="29:36">
      <c r="AC2458" s="26"/>
      <c r="AE2458" s="26"/>
      <c r="AF2458" s="26"/>
      <c r="AJ2458" s="26"/>
    </row>
    <row r="2459" spans="29:36">
      <c r="AC2459" s="26"/>
      <c r="AE2459" s="26"/>
      <c r="AF2459" s="26"/>
      <c r="AJ2459" s="26"/>
    </row>
    <row r="2460" spans="29:36">
      <c r="AC2460" s="26"/>
      <c r="AE2460" s="26"/>
      <c r="AF2460" s="26"/>
      <c r="AJ2460" s="26"/>
    </row>
    <row r="2461" spans="29:36">
      <c r="AC2461" s="26"/>
      <c r="AE2461" s="26"/>
      <c r="AF2461" s="26"/>
      <c r="AJ2461" s="26"/>
    </row>
    <row r="2462" spans="29:36">
      <c r="AC2462" s="26"/>
      <c r="AE2462" s="26"/>
      <c r="AF2462" s="26"/>
      <c r="AJ2462" s="26"/>
    </row>
    <row r="2463" spans="29:36">
      <c r="AC2463" s="26"/>
      <c r="AE2463" s="26"/>
      <c r="AF2463" s="26"/>
      <c r="AJ2463" s="26"/>
    </row>
    <row r="2464" spans="29:36">
      <c r="AC2464" s="26"/>
      <c r="AE2464" s="26"/>
      <c r="AF2464" s="26"/>
      <c r="AJ2464" s="26"/>
    </row>
    <row r="2465" spans="29:36">
      <c r="AC2465" s="26"/>
      <c r="AE2465" s="26"/>
      <c r="AF2465" s="26"/>
      <c r="AJ2465" s="26"/>
    </row>
    <row r="2466" spans="29:36">
      <c r="AC2466" s="26"/>
      <c r="AE2466" s="26"/>
      <c r="AF2466" s="26"/>
      <c r="AJ2466" s="26"/>
    </row>
    <row r="2467" spans="29:36">
      <c r="AC2467" s="26"/>
      <c r="AE2467" s="26"/>
      <c r="AF2467" s="26"/>
      <c r="AJ2467" s="26"/>
    </row>
    <row r="2468" spans="29:36">
      <c r="AC2468" s="26"/>
      <c r="AE2468" s="26"/>
      <c r="AF2468" s="26"/>
      <c r="AJ2468" s="26"/>
    </row>
    <row r="2469" spans="29:36">
      <c r="AC2469" s="26"/>
      <c r="AE2469" s="26"/>
      <c r="AF2469" s="26"/>
      <c r="AJ2469" s="26"/>
    </row>
    <row r="2470" spans="29:36">
      <c r="AC2470" s="26"/>
      <c r="AE2470" s="26"/>
      <c r="AF2470" s="26"/>
      <c r="AJ2470" s="26"/>
    </row>
    <row r="2471" spans="29:36">
      <c r="AC2471" s="26"/>
      <c r="AE2471" s="26"/>
      <c r="AF2471" s="26"/>
      <c r="AJ2471" s="26"/>
    </row>
    <row r="2472" spans="29:36">
      <c r="AC2472" s="26"/>
      <c r="AE2472" s="26"/>
      <c r="AF2472" s="26"/>
      <c r="AJ2472" s="26"/>
    </row>
    <row r="2473" spans="29:36">
      <c r="AC2473" s="26"/>
      <c r="AE2473" s="26"/>
      <c r="AF2473" s="26"/>
      <c r="AJ2473" s="26"/>
    </row>
    <row r="2474" spans="29:36">
      <c r="AC2474" s="26"/>
      <c r="AE2474" s="26"/>
      <c r="AF2474" s="26"/>
      <c r="AJ2474" s="26"/>
    </row>
    <row r="2475" spans="29:36">
      <c r="AC2475" s="26"/>
      <c r="AE2475" s="26"/>
      <c r="AF2475" s="26"/>
      <c r="AJ2475" s="26"/>
    </row>
    <row r="2476" spans="29:36">
      <c r="AC2476" s="26"/>
      <c r="AE2476" s="26"/>
      <c r="AF2476" s="26"/>
      <c r="AJ2476" s="26"/>
    </row>
    <row r="2477" spans="29:36">
      <c r="AC2477" s="26"/>
      <c r="AE2477" s="26"/>
      <c r="AF2477" s="26"/>
      <c r="AJ2477" s="26"/>
    </row>
    <row r="2478" spans="29:36">
      <c r="AC2478" s="26"/>
      <c r="AE2478" s="26"/>
      <c r="AF2478" s="26"/>
      <c r="AJ2478" s="26"/>
    </row>
    <row r="2479" spans="29:36">
      <c r="AC2479" s="26"/>
      <c r="AE2479" s="26"/>
      <c r="AF2479" s="26"/>
      <c r="AJ2479" s="26"/>
    </row>
    <row r="2480" spans="29:36">
      <c r="AC2480" s="26"/>
      <c r="AE2480" s="26"/>
      <c r="AF2480" s="26"/>
      <c r="AJ2480" s="26"/>
    </row>
    <row r="2481" spans="29:36">
      <c r="AC2481" s="26"/>
      <c r="AE2481" s="26"/>
      <c r="AF2481" s="26"/>
      <c r="AJ2481" s="26"/>
    </row>
    <row r="2482" spans="29:36">
      <c r="AC2482" s="26"/>
      <c r="AE2482" s="26"/>
      <c r="AF2482" s="26"/>
      <c r="AJ2482" s="26"/>
    </row>
    <row r="2483" spans="29:36">
      <c r="AC2483" s="26"/>
      <c r="AE2483" s="26"/>
      <c r="AF2483" s="26"/>
      <c r="AJ2483" s="26"/>
    </row>
    <row r="2484" spans="29:36">
      <c r="AC2484" s="26"/>
      <c r="AE2484" s="26"/>
      <c r="AF2484" s="26"/>
      <c r="AJ2484" s="26"/>
    </row>
    <row r="2485" spans="29:36">
      <c r="AC2485" s="26"/>
      <c r="AE2485" s="26"/>
      <c r="AF2485" s="26"/>
      <c r="AJ2485" s="26"/>
    </row>
    <row r="2486" spans="29:36">
      <c r="AC2486" s="26"/>
      <c r="AE2486" s="26"/>
      <c r="AF2486" s="26"/>
      <c r="AJ2486" s="26"/>
    </row>
    <row r="2487" spans="29:36">
      <c r="AC2487" s="26"/>
      <c r="AE2487" s="26"/>
      <c r="AF2487" s="26"/>
      <c r="AJ2487" s="26"/>
    </row>
    <row r="2488" spans="29:36">
      <c r="AC2488" s="26"/>
      <c r="AE2488" s="26"/>
      <c r="AF2488" s="26"/>
      <c r="AJ2488" s="26"/>
    </row>
    <row r="2489" spans="29:36">
      <c r="AC2489" s="26"/>
      <c r="AE2489" s="26"/>
      <c r="AF2489" s="26"/>
      <c r="AJ2489" s="26"/>
    </row>
    <row r="2490" spans="29:36">
      <c r="AC2490" s="26"/>
      <c r="AE2490" s="26"/>
      <c r="AF2490" s="26"/>
      <c r="AJ2490" s="26"/>
    </row>
    <row r="2491" spans="29:36">
      <c r="AC2491" s="26"/>
      <c r="AE2491" s="26"/>
      <c r="AF2491" s="26"/>
      <c r="AJ2491" s="26"/>
    </row>
    <row r="2492" spans="29:36">
      <c r="AC2492" s="26"/>
      <c r="AE2492" s="26"/>
      <c r="AF2492" s="26"/>
      <c r="AJ2492" s="26"/>
    </row>
    <row r="2493" spans="29:36">
      <c r="AC2493" s="26"/>
      <c r="AE2493" s="26"/>
      <c r="AF2493" s="26"/>
      <c r="AJ2493" s="26"/>
    </row>
    <row r="2494" spans="29:36">
      <c r="AC2494" s="26"/>
      <c r="AE2494" s="26"/>
      <c r="AF2494" s="26"/>
      <c r="AJ2494" s="26"/>
    </row>
    <row r="2495" spans="29:36">
      <c r="AC2495" s="26"/>
      <c r="AE2495" s="26"/>
      <c r="AF2495" s="26"/>
      <c r="AJ2495" s="26"/>
    </row>
    <row r="2496" spans="29:36">
      <c r="AC2496" s="26"/>
      <c r="AE2496" s="26"/>
      <c r="AF2496" s="26"/>
      <c r="AJ2496" s="26"/>
    </row>
    <row r="2497" spans="29:36">
      <c r="AC2497" s="26"/>
      <c r="AE2497" s="26"/>
      <c r="AF2497" s="26"/>
      <c r="AJ2497" s="26"/>
    </row>
    <row r="2498" spans="29:36">
      <c r="AC2498" s="26"/>
      <c r="AE2498" s="26"/>
      <c r="AF2498" s="26"/>
      <c r="AJ2498" s="26"/>
    </row>
    <row r="2499" spans="29:36">
      <c r="AC2499" s="26"/>
      <c r="AE2499" s="26"/>
      <c r="AF2499" s="26"/>
      <c r="AJ2499" s="26"/>
    </row>
    <row r="2500" spans="29:36">
      <c r="AC2500" s="26"/>
      <c r="AE2500" s="26"/>
      <c r="AF2500" s="26"/>
      <c r="AJ2500" s="26"/>
    </row>
    <row r="2501" spans="29:36">
      <c r="AC2501" s="26"/>
      <c r="AE2501" s="26"/>
      <c r="AF2501" s="26"/>
      <c r="AJ2501" s="26"/>
    </row>
    <row r="2502" spans="29:36">
      <c r="AC2502" s="26"/>
      <c r="AE2502" s="26"/>
      <c r="AF2502" s="26"/>
      <c r="AJ2502" s="26"/>
    </row>
    <row r="2503" spans="29:36">
      <c r="AC2503" s="26"/>
      <c r="AE2503" s="26"/>
      <c r="AF2503" s="26"/>
      <c r="AJ2503" s="26"/>
    </row>
    <row r="2504" spans="29:36">
      <c r="AC2504" s="26"/>
      <c r="AE2504" s="26"/>
      <c r="AF2504" s="26"/>
      <c r="AJ2504" s="26"/>
    </row>
    <row r="2505" spans="29:36">
      <c r="AC2505" s="26"/>
      <c r="AE2505" s="26"/>
      <c r="AF2505" s="26"/>
      <c r="AJ2505" s="26"/>
    </row>
    <row r="2506" spans="29:36">
      <c r="AC2506" s="26"/>
      <c r="AE2506" s="26"/>
      <c r="AF2506" s="26"/>
      <c r="AJ2506" s="26"/>
    </row>
    <row r="2507" spans="29:36">
      <c r="AC2507" s="26"/>
      <c r="AE2507" s="26"/>
      <c r="AF2507" s="26"/>
      <c r="AJ2507" s="26"/>
    </row>
    <row r="2508" spans="29:36">
      <c r="AC2508" s="26"/>
      <c r="AE2508" s="26"/>
      <c r="AF2508" s="26"/>
      <c r="AJ2508" s="26"/>
    </row>
    <row r="2509" spans="29:36">
      <c r="AC2509" s="26"/>
      <c r="AE2509" s="26"/>
      <c r="AF2509" s="26"/>
      <c r="AJ2509" s="26"/>
    </row>
    <row r="2510" spans="29:36">
      <c r="AC2510" s="26"/>
      <c r="AE2510" s="26"/>
      <c r="AF2510" s="26"/>
      <c r="AJ2510" s="26"/>
    </row>
    <row r="2511" spans="29:36">
      <c r="AC2511" s="26"/>
      <c r="AE2511" s="26"/>
      <c r="AF2511" s="26"/>
      <c r="AJ2511" s="26"/>
    </row>
    <row r="2512" spans="29:36">
      <c r="AC2512" s="26"/>
      <c r="AE2512" s="26"/>
      <c r="AF2512" s="26"/>
      <c r="AJ2512" s="26"/>
    </row>
    <row r="2513" spans="29:36">
      <c r="AC2513" s="26"/>
      <c r="AE2513" s="26"/>
      <c r="AF2513" s="26"/>
      <c r="AJ2513" s="26"/>
    </row>
    <row r="2514" spans="29:36">
      <c r="AC2514" s="26"/>
      <c r="AE2514" s="26"/>
      <c r="AF2514" s="26"/>
      <c r="AJ2514" s="26"/>
    </row>
    <row r="2515" spans="29:36">
      <c r="AC2515" s="26"/>
      <c r="AE2515" s="26"/>
      <c r="AF2515" s="26"/>
      <c r="AJ2515" s="26"/>
    </row>
    <row r="2516" spans="29:36">
      <c r="AC2516" s="26"/>
      <c r="AE2516" s="26"/>
      <c r="AF2516" s="26"/>
      <c r="AJ2516" s="26"/>
    </row>
    <row r="2517" spans="29:36">
      <c r="AC2517" s="26"/>
      <c r="AE2517" s="26"/>
      <c r="AF2517" s="26"/>
      <c r="AJ2517" s="26"/>
    </row>
    <row r="2518" spans="29:36">
      <c r="AC2518" s="26"/>
      <c r="AE2518" s="26"/>
      <c r="AF2518" s="26"/>
      <c r="AJ2518" s="26"/>
    </row>
    <row r="2519" spans="29:36">
      <c r="AC2519" s="26"/>
      <c r="AE2519" s="26"/>
      <c r="AF2519" s="26"/>
      <c r="AJ2519" s="26"/>
    </row>
    <row r="2520" spans="29:36">
      <c r="AC2520" s="26"/>
      <c r="AE2520" s="26"/>
      <c r="AF2520" s="26"/>
      <c r="AJ2520" s="26"/>
    </row>
    <row r="2521" spans="29:36">
      <c r="AC2521" s="26"/>
      <c r="AE2521" s="26"/>
      <c r="AF2521" s="26"/>
      <c r="AJ2521" s="26"/>
    </row>
    <row r="2522" spans="29:36">
      <c r="AC2522" s="26"/>
      <c r="AE2522" s="26"/>
      <c r="AF2522" s="26"/>
      <c r="AJ2522" s="26"/>
    </row>
    <row r="2523" spans="29:36">
      <c r="AC2523" s="26"/>
      <c r="AE2523" s="26"/>
      <c r="AF2523" s="26"/>
      <c r="AJ2523" s="26"/>
    </row>
    <row r="2524" spans="29:36">
      <c r="AC2524" s="26"/>
      <c r="AE2524" s="26"/>
      <c r="AF2524" s="26"/>
      <c r="AJ2524" s="26"/>
    </row>
    <row r="2525" spans="29:36">
      <c r="AC2525" s="26"/>
      <c r="AE2525" s="26"/>
      <c r="AF2525" s="26"/>
      <c r="AJ2525" s="26"/>
    </row>
    <row r="2526" spans="29:36">
      <c r="AC2526" s="26"/>
      <c r="AE2526" s="26"/>
      <c r="AF2526" s="26"/>
      <c r="AJ2526" s="26"/>
    </row>
    <row r="2527" spans="29:36">
      <c r="AC2527" s="26"/>
      <c r="AE2527" s="26"/>
      <c r="AF2527" s="26"/>
      <c r="AJ2527" s="26"/>
    </row>
    <row r="2528" spans="29:36">
      <c r="AC2528" s="26"/>
      <c r="AE2528" s="26"/>
      <c r="AF2528" s="26"/>
      <c r="AJ2528" s="26"/>
    </row>
    <row r="2529" spans="29:36">
      <c r="AC2529" s="26"/>
      <c r="AE2529" s="26"/>
      <c r="AF2529" s="26"/>
      <c r="AJ2529" s="26"/>
    </row>
    <row r="2530" spans="29:36">
      <c r="AC2530" s="26"/>
      <c r="AE2530" s="26"/>
      <c r="AF2530" s="26"/>
      <c r="AJ2530" s="26"/>
    </row>
    <row r="2531" spans="29:36">
      <c r="AC2531" s="26"/>
      <c r="AE2531" s="26"/>
      <c r="AF2531" s="26"/>
      <c r="AJ2531" s="26"/>
    </row>
    <row r="2532" spans="29:36">
      <c r="AC2532" s="26"/>
      <c r="AE2532" s="26"/>
      <c r="AF2532" s="26"/>
      <c r="AJ2532" s="26"/>
    </row>
    <row r="2533" spans="29:36">
      <c r="AC2533" s="26"/>
      <c r="AE2533" s="26"/>
      <c r="AF2533" s="26"/>
      <c r="AJ2533" s="26"/>
    </row>
    <row r="2534" spans="29:36">
      <c r="AC2534" s="26"/>
      <c r="AE2534" s="26"/>
      <c r="AF2534" s="26"/>
      <c r="AJ2534" s="26"/>
    </row>
    <row r="2535" spans="29:36">
      <c r="AC2535" s="26"/>
      <c r="AE2535" s="26"/>
      <c r="AF2535" s="26"/>
      <c r="AJ2535" s="26"/>
    </row>
    <row r="2536" spans="29:36">
      <c r="AC2536" s="26"/>
      <c r="AE2536" s="26"/>
      <c r="AF2536" s="26"/>
      <c r="AJ2536" s="26"/>
    </row>
    <row r="2537" spans="29:36">
      <c r="AC2537" s="26"/>
      <c r="AE2537" s="26"/>
      <c r="AF2537" s="26"/>
      <c r="AJ2537" s="26"/>
    </row>
    <row r="2538" spans="29:36">
      <c r="AC2538" s="26"/>
      <c r="AE2538" s="26"/>
      <c r="AF2538" s="26"/>
      <c r="AJ2538" s="26"/>
    </row>
    <row r="2539" spans="29:36">
      <c r="AC2539" s="26"/>
      <c r="AE2539" s="26"/>
      <c r="AF2539" s="26"/>
      <c r="AJ2539" s="26"/>
    </row>
    <row r="2540" spans="29:36">
      <c r="AC2540" s="26"/>
      <c r="AE2540" s="26"/>
      <c r="AF2540" s="26"/>
      <c r="AJ2540" s="26"/>
    </row>
    <row r="2541" spans="29:36">
      <c r="AC2541" s="26"/>
      <c r="AE2541" s="26"/>
      <c r="AF2541" s="26"/>
      <c r="AJ2541" s="26"/>
    </row>
    <row r="2542" spans="29:36">
      <c r="AC2542" s="26"/>
      <c r="AE2542" s="26"/>
      <c r="AF2542" s="26"/>
      <c r="AJ2542" s="26"/>
    </row>
    <row r="2543" spans="29:36">
      <c r="AC2543" s="26"/>
      <c r="AE2543" s="26"/>
      <c r="AF2543" s="26"/>
      <c r="AJ2543" s="26"/>
    </row>
    <row r="2544" spans="29:36">
      <c r="AC2544" s="26"/>
      <c r="AE2544" s="26"/>
      <c r="AF2544" s="26"/>
      <c r="AJ2544" s="26"/>
    </row>
    <row r="2545" spans="29:36">
      <c r="AC2545" s="26"/>
      <c r="AE2545" s="26"/>
      <c r="AF2545" s="26"/>
      <c r="AJ2545" s="26"/>
    </row>
    <row r="2546" spans="29:36">
      <c r="AC2546" s="26"/>
      <c r="AE2546" s="26"/>
      <c r="AF2546" s="26"/>
      <c r="AJ2546" s="26"/>
    </row>
    <row r="2547" spans="29:36">
      <c r="AC2547" s="26"/>
      <c r="AE2547" s="26"/>
      <c r="AF2547" s="26"/>
      <c r="AJ2547" s="26"/>
    </row>
    <row r="2548" spans="29:36">
      <c r="AC2548" s="26"/>
      <c r="AE2548" s="26"/>
      <c r="AF2548" s="26"/>
      <c r="AJ2548" s="26"/>
    </row>
    <row r="2549" spans="29:36">
      <c r="AC2549" s="26"/>
      <c r="AE2549" s="26"/>
      <c r="AF2549" s="26"/>
      <c r="AJ2549" s="26"/>
    </row>
    <row r="2550" spans="29:36">
      <c r="AC2550" s="26"/>
      <c r="AE2550" s="26"/>
      <c r="AF2550" s="26"/>
      <c r="AJ2550" s="26"/>
    </row>
    <row r="2551" spans="29:36">
      <c r="AC2551" s="26"/>
      <c r="AE2551" s="26"/>
      <c r="AF2551" s="26"/>
      <c r="AJ2551" s="26"/>
    </row>
    <row r="2552" spans="29:36">
      <c r="AC2552" s="26"/>
      <c r="AE2552" s="26"/>
      <c r="AF2552" s="26"/>
      <c r="AJ2552" s="26"/>
    </row>
    <row r="2553" spans="29:36">
      <c r="AC2553" s="26"/>
      <c r="AE2553" s="26"/>
      <c r="AF2553" s="26"/>
      <c r="AJ2553" s="26"/>
    </row>
    <row r="2554" spans="29:36">
      <c r="AC2554" s="26"/>
      <c r="AE2554" s="26"/>
      <c r="AF2554" s="26"/>
      <c r="AJ2554" s="26"/>
    </row>
    <row r="2555" spans="29:36">
      <c r="AC2555" s="26"/>
      <c r="AE2555" s="26"/>
      <c r="AF2555" s="26"/>
      <c r="AJ2555" s="26"/>
    </row>
    <row r="2556" spans="29:36">
      <c r="AC2556" s="26"/>
      <c r="AE2556" s="26"/>
      <c r="AF2556" s="26"/>
      <c r="AJ2556" s="26"/>
    </row>
    <row r="2557" spans="29:36">
      <c r="AC2557" s="26"/>
      <c r="AE2557" s="26"/>
      <c r="AF2557" s="26"/>
      <c r="AJ2557" s="26"/>
    </row>
    <row r="2558" spans="29:36">
      <c r="AC2558" s="26"/>
      <c r="AE2558" s="26"/>
      <c r="AF2558" s="26"/>
      <c r="AJ2558" s="26"/>
    </row>
    <row r="2559" spans="29:36">
      <c r="AC2559" s="26"/>
      <c r="AE2559" s="26"/>
      <c r="AF2559" s="26"/>
      <c r="AJ2559" s="26"/>
    </row>
    <row r="2560" spans="29:36">
      <c r="AC2560" s="26"/>
      <c r="AE2560" s="26"/>
      <c r="AF2560" s="26"/>
      <c r="AJ2560" s="26"/>
    </row>
    <row r="2561" spans="29:36">
      <c r="AC2561" s="26"/>
      <c r="AE2561" s="26"/>
      <c r="AF2561" s="26"/>
      <c r="AJ2561" s="26"/>
    </row>
    <row r="2562" spans="29:36">
      <c r="AC2562" s="26"/>
      <c r="AE2562" s="26"/>
      <c r="AF2562" s="26"/>
      <c r="AJ2562" s="26"/>
    </row>
    <row r="2563" spans="29:36">
      <c r="AC2563" s="26"/>
      <c r="AE2563" s="26"/>
      <c r="AF2563" s="26"/>
      <c r="AJ2563" s="26"/>
    </row>
    <row r="2564" spans="29:36">
      <c r="AC2564" s="26"/>
      <c r="AE2564" s="26"/>
      <c r="AF2564" s="26"/>
      <c r="AJ2564" s="26"/>
    </row>
    <row r="2565" spans="29:36">
      <c r="AC2565" s="26"/>
      <c r="AE2565" s="26"/>
      <c r="AF2565" s="26"/>
      <c r="AJ2565" s="26"/>
    </row>
    <row r="2566" spans="29:36">
      <c r="AC2566" s="26"/>
      <c r="AE2566" s="26"/>
      <c r="AF2566" s="26"/>
      <c r="AJ2566" s="26"/>
    </row>
    <row r="2567" spans="29:36">
      <c r="AC2567" s="26"/>
      <c r="AE2567" s="26"/>
      <c r="AF2567" s="26"/>
      <c r="AJ2567" s="26"/>
    </row>
    <row r="2568" spans="29:36">
      <c r="AC2568" s="26"/>
      <c r="AE2568" s="26"/>
      <c r="AF2568" s="26"/>
      <c r="AJ2568" s="26"/>
    </row>
    <row r="2569" spans="29:36">
      <c r="AC2569" s="26"/>
      <c r="AE2569" s="26"/>
      <c r="AF2569" s="26"/>
      <c r="AJ2569" s="26"/>
    </row>
    <row r="2570" spans="29:36">
      <c r="AC2570" s="26"/>
      <c r="AE2570" s="26"/>
      <c r="AF2570" s="26"/>
      <c r="AJ2570" s="26"/>
    </row>
    <row r="2571" spans="29:36">
      <c r="AC2571" s="26"/>
      <c r="AE2571" s="26"/>
      <c r="AF2571" s="26"/>
      <c r="AJ2571" s="26"/>
    </row>
    <row r="2572" spans="29:36">
      <c r="AC2572" s="26"/>
      <c r="AE2572" s="26"/>
      <c r="AF2572" s="26"/>
      <c r="AJ2572" s="26"/>
    </row>
    <row r="2573" spans="29:36">
      <c r="AC2573" s="26"/>
      <c r="AE2573" s="26"/>
      <c r="AF2573" s="26"/>
      <c r="AJ2573" s="26"/>
    </row>
    <row r="2574" spans="29:36">
      <c r="AC2574" s="26"/>
      <c r="AE2574" s="26"/>
      <c r="AF2574" s="26"/>
      <c r="AJ2574" s="26"/>
    </row>
    <row r="2575" spans="29:36">
      <c r="AC2575" s="26"/>
      <c r="AE2575" s="26"/>
      <c r="AF2575" s="26"/>
      <c r="AJ2575" s="26"/>
    </row>
    <row r="2576" spans="29:36">
      <c r="AC2576" s="26"/>
      <c r="AE2576" s="26"/>
      <c r="AF2576" s="26"/>
      <c r="AJ2576" s="26"/>
    </row>
    <row r="2577" spans="29:36">
      <c r="AC2577" s="26"/>
      <c r="AE2577" s="26"/>
      <c r="AF2577" s="26"/>
      <c r="AJ2577" s="26"/>
    </row>
    <row r="2578" spans="29:36">
      <c r="AC2578" s="26"/>
      <c r="AE2578" s="26"/>
      <c r="AF2578" s="26"/>
      <c r="AJ2578" s="26"/>
    </row>
    <row r="2579" spans="29:36">
      <c r="AC2579" s="26"/>
      <c r="AE2579" s="26"/>
      <c r="AF2579" s="26"/>
      <c r="AJ2579" s="26"/>
    </row>
    <row r="2580" spans="29:36">
      <c r="AC2580" s="26"/>
      <c r="AE2580" s="26"/>
      <c r="AF2580" s="26"/>
      <c r="AJ2580" s="26"/>
    </row>
    <row r="2581" spans="29:36">
      <c r="AC2581" s="26"/>
      <c r="AE2581" s="26"/>
      <c r="AF2581" s="26"/>
      <c r="AJ2581" s="26"/>
    </row>
    <row r="2582" spans="29:36">
      <c r="AC2582" s="26"/>
      <c r="AE2582" s="26"/>
      <c r="AF2582" s="26"/>
      <c r="AJ2582" s="26"/>
    </row>
    <row r="2583" spans="29:36">
      <c r="AC2583" s="26"/>
      <c r="AE2583" s="26"/>
      <c r="AF2583" s="26"/>
      <c r="AJ2583" s="26"/>
    </row>
    <row r="2584" spans="29:36">
      <c r="AC2584" s="26"/>
      <c r="AE2584" s="26"/>
      <c r="AF2584" s="26"/>
      <c r="AJ2584" s="26"/>
    </row>
    <row r="2585" spans="29:36">
      <c r="AC2585" s="26"/>
      <c r="AE2585" s="26"/>
      <c r="AF2585" s="26"/>
      <c r="AJ2585" s="26"/>
    </row>
    <row r="2586" spans="29:36">
      <c r="AC2586" s="26"/>
      <c r="AE2586" s="26"/>
      <c r="AF2586" s="26"/>
      <c r="AJ2586" s="26"/>
    </row>
    <row r="2587" spans="29:36">
      <c r="AC2587" s="26"/>
      <c r="AE2587" s="26"/>
      <c r="AF2587" s="26"/>
      <c r="AJ2587" s="26"/>
    </row>
    <row r="2588" spans="29:36">
      <c r="AC2588" s="26"/>
      <c r="AE2588" s="26"/>
      <c r="AF2588" s="26"/>
      <c r="AJ2588" s="26"/>
    </row>
    <row r="2589" spans="29:36">
      <c r="AC2589" s="26"/>
      <c r="AE2589" s="26"/>
      <c r="AF2589" s="26"/>
      <c r="AJ2589" s="26"/>
    </row>
    <row r="2590" spans="29:36">
      <c r="AC2590" s="26"/>
      <c r="AE2590" s="26"/>
      <c r="AF2590" s="26"/>
      <c r="AJ2590" s="26"/>
    </row>
    <row r="2591" spans="29:36">
      <c r="AC2591" s="26"/>
      <c r="AE2591" s="26"/>
      <c r="AF2591" s="26"/>
      <c r="AJ2591" s="26"/>
    </row>
    <row r="2592" spans="29:36">
      <c r="AC2592" s="26"/>
      <c r="AE2592" s="26"/>
      <c r="AF2592" s="26"/>
      <c r="AJ2592" s="26"/>
    </row>
    <row r="2593" spans="29:36">
      <c r="AC2593" s="26"/>
      <c r="AE2593" s="26"/>
      <c r="AF2593" s="26"/>
      <c r="AJ2593" s="26"/>
    </row>
    <row r="2594" spans="29:36">
      <c r="AC2594" s="26"/>
      <c r="AE2594" s="26"/>
      <c r="AF2594" s="26"/>
      <c r="AJ2594" s="26"/>
    </row>
    <row r="2595" spans="29:36">
      <c r="AC2595" s="26"/>
      <c r="AE2595" s="26"/>
      <c r="AF2595" s="26"/>
      <c r="AJ2595" s="26"/>
    </row>
    <row r="2596" spans="29:36">
      <c r="AC2596" s="26"/>
      <c r="AE2596" s="26"/>
      <c r="AF2596" s="26"/>
      <c r="AJ2596" s="26"/>
    </row>
    <row r="2597" spans="29:36">
      <c r="AC2597" s="26"/>
      <c r="AE2597" s="26"/>
      <c r="AF2597" s="26"/>
      <c r="AJ2597" s="26"/>
    </row>
    <row r="2598" spans="29:36">
      <c r="AC2598" s="26"/>
      <c r="AE2598" s="26"/>
      <c r="AF2598" s="26"/>
      <c r="AJ2598" s="26"/>
    </row>
    <row r="2599" spans="29:36">
      <c r="AC2599" s="26"/>
      <c r="AE2599" s="26"/>
      <c r="AF2599" s="26"/>
      <c r="AJ2599" s="26"/>
    </row>
    <row r="2600" spans="29:36">
      <c r="AC2600" s="26"/>
      <c r="AE2600" s="26"/>
      <c r="AF2600" s="26"/>
      <c r="AJ2600" s="26"/>
    </row>
    <row r="2601" spans="29:36">
      <c r="AC2601" s="26"/>
      <c r="AE2601" s="26"/>
      <c r="AF2601" s="26"/>
      <c r="AJ2601" s="26"/>
    </row>
    <row r="2602" spans="29:36">
      <c r="AC2602" s="26"/>
      <c r="AE2602" s="26"/>
      <c r="AF2602" s="26"/>
      <c r="AJ2602" s="26"/>
    </row>
    <row r="2603" spans="29:36">
      <c r="AC2603" s="26"/>
      <c r="AE2603" s="26"/>
      <c r="AF2603" s="26"/>
      <c r="AJ2603" s="26"/>
    </row>
    <row r="2604" spans="29:36">
      <c r="AC2604" s="26"/>
      <c r="AE2604" s="26"/>
      <c r="AF2604" s="26"/>
      <c r="AJ2604" s="26"/>
    </row>
    <row r="2605" spans="29:36">
      <c r="AC2605" s="26"/>
      <c r="AE2605" s="26"/>
      <c r="AF2605" s="26"/>
      <c r="AJ2605" s="26"/>
    </row>
    <row r="2606" spans="29:36">
      <c r="AC2606" s="26"/>
      <c r="AE2606" s="26"/>
      <c r="AF2606" s="26"/>
      <c r="AJ2606" s="26"/>
    </row>
    <row r="2607" spans="29:36">
      <c r="AC2607" s="26"/>
      <c r="AE2607" s="26"/>
      <c r="AF2607" s="26"/>
      <c r="AJ2607" s="26"/>
    </row>
    <row r="2608" spans="29:36">
      <c r="AC2608" s="26"/>
      <c r="AE2608" s="26"/>
      <c r="AF2608" s="26"/>
      <c r="AJ2608" s="26"/>
    </row>
    <row r="2609" spans="29:36">
      <c r="AC2609" s="26"/>
      <c r="AE2609" s="26"/>
      <c r="AF2609" s="26"/>
      <c r="AJ2609" s="26"/>
    </row>
    <row r="2610" spans="29:36">
      <c r="AC2610" s="26"/>
      <c r="AE2610" s="26"/>
      <c r="AF2610" s="26"/>
      <c r="AJ2610" s="26"/>
    </row>
    <row r="2611" spans="29:36">
      <c r="AC2611" s="26"/>
      <c r="AE2611" s="26"/>
      <c r="AF2611" s="26"/>
      <c r="AJ2611" s="26"/>
    </row>
    <row r="2612" spans="29:36">
      <c r="AC2612" s="26"/>
      <c r="AE2612" s="26"/>
      <c r="AF2612" s="26"/>
      <c r="AJ2612" s="26"/>
    </row>
    <row r="2613" spans="29:36">
      <c r="AC2613" s="26"/>
      <c r="AE2613" s="26"/>
      <c r="AF2613" s="26"/>
      <c r="AJ2613" s="26"/>
    </row>
    <row r="2614" spans="29:36">
      <c r="AC2614" s="26"/>
      <c r="AE2614" s="26"/>
      <c r="AF2614" s="26"/>
      <c r="AJ2614" s="26"/>
    </row>
    <row r="2615" spans="29:36">
      <c r="AC2615" s="26"/>
      <c r="AE2615" s="26"/>
      <c r="AF2615" s="26"/>
      <c r="AJ2615" s="26"/>
    </row>
    <row r="2616" spans="29:36">
      <c r="AC2616" s="26"/>
      <c r="AE2616" s="26"/>
      <c r="AF2616" s="26"/>
      <c r="AJ2616" s="26"/>
    </row>
    <row r="2617" spans="29:36">
      <c r="AC2617" s="26"/>
      <c r="AE2617" s="26"/>
      <c r="AF2617" s="26"/>
      <c r="AJ2617" s="26"/>
    </row>
    <row r="2618" spans="29:36">
      <c r="AC2618" s="26"/>
      <c r="AE2618" s="26"/>
      <c r="AF2618" s="26"/>
      <c r="AJ2618" s="26"/>
    </row>
    <row r="2619" spans="29:36">
      <c r="AC2619" s="26"/>
      <c r="AE2619" s="26"/>
      <c r="AF2619" s="26"/>
      <c r="AJ2619" s="26"/>
    </row>
    <row r="2620" spans="29:36">
      <c r="AC2620" s="26"/>
      <c r="AE2620" s="26"/>
      <c r="AF2620" s="26"/>
      <c r="AJ2620" s="26"/>
    </row>
    <row r="2621" spans="29:36">
      <c r="AC2621" s="26"/>
      <c r="AE2621" s="26"/>
      <c r="AF2621" s="26"/>
      <c r="AJ2621" s="26"/>
    </row>
    <row r="2622" spans="29:36">
      <c r="AC2622" s="26"/>
      <c r="AE2622" s="26"/>
      <c r="AF2622" s="26"/>
      <c r="AJ2622" s="26"/>
    </row>
    <row r="2623" spans="29:36">
      <c r="AC2623" s="26"/>
      <c r="AE2623" s="26"/>
      <c r="AF2623" s="26"/>
      <c r="AJ2623" s="26"/>
    </row>
    <row r="2624" spans="29:36">
      <c r="AC2624" s="26"/>
      <c r="AE2624" s="26"/>
      <c r="AF2624" s="26"/>
      <c r="AJ2624" s="26"/>
    </row>
    <row r="2625" spans="29:36">
      <c r="AC2625" s="26"/>
      <c r="AE2625" s="26"/>
      <c r="AF2625" s="26"/>
      <c r="AJ2625" s="26"/>
    </row>
    <row r="2626" spans="29:36">
      <c r="AC2626" s="26"/>
      <c r="AE2626" s="26"/>
      <c r="AF2626" s="26"/>
      <c r="AJ2626" s="26"/>
    </row>
    <row r="2627" spans="29:36">
      <c r="AC2627" s="26"/>
      <c r="AE2627" s="26"/>
      <c r="AF2627" s="26"/>
      <c r="AJ2627" s="26"/>
    </row>
    <row r="2628" spans="29:36">
      <c r="AC2628" s="26"/>
      <c r="AE2628" s="26"/>
      <c r="AF2628" s="26"/>
      <c r="AJ2628" s="26"/>
    </row>
    <row r="2629" spans="29:36">
      <c r="AC2629" s="26"/>
      <c r="AE2629" s="26"/>
      <c r="AF2629" s="26"/>
      <c r="AJ2629" s="26"/>
    </row>
    <row r="2630" spans="29:36">
      <c r="AC2630" s="26"/>
      <c r="AE2630" s="26"/>
      <c r="AF2630" s="26"/>
      <c r="AJ2630" s="26"/>
    </row>
    <row r="2631" spans="29:36">
      <c r="AC2631" s="26"/>
      <c r="AE2631" s="26"/>
      <c r="AF2631" s="26"/>
      <c r="AJ2631" s="26"/>
    </row>
    <row r="2632" spans="29:36">
      <c r="AC2632" s="26"/>
      <c r="AE2632" s="26"/>
      <c r="AF2632" s="26"/>
      <c r="AJ2632" s="26"/>
    </row>
    <row r="2633" spans="29:36">
      <c r="AC2633" s="26"/>
      <c r="AE2633" s="26"/>
      <c r="AF2633" s="26"/>
      <c r="AJ2633" s="26"/>
    </row>
    <row r="2634" spans="29:36">
      <c r="AC2634" s="26"/>
      <c r="AE2634" s="26"/>
      <c r="AF2634" s="26"/>
      <c r="AJ2634" s="26"/>
    </row>
    <row r="2635" spans="29:36">
      <c r="AC2635" s="26"/>
      <c r="AE2635" s="26"/>
      <c r="AF2635" s="26"/>
      <c r="AJ2635" s="26"/>
    </row>
    <row r="2636" spans="29:36">
      <c r="AC2636" s="26"/>
      <c r="AE2636" s="26"/>
      <c r="AF2636" s="26"/>
      <c r="AJ2636" s="26"/>
    </row>
    <row r="2637" spans="29:36">
      <c r="AC2637" s="26"/>
      <c r="AE2637" s="26"/>
      <c r="AF2637" s="26"/>
      <c r="AJ2637" s="26"/>
    </row>
    <row r="2638" spans="29:36">
      <c r="AC2638" s="26"/>
      <c r="AE2638" s="26"/>
      <c r="AF2638" s="26"/>
      <c r="AJ2638" s="26"/>
    </row>
    <row r="2639" spans="29:36">
      <c r="AC2639" s="26"/>
      <c r="AE2639" s="26"/>
      <c r="AF2639" s="26"/>
      <c r="AJ2639" s="26"/>
    </row>
    <row r="2640" spans="29:36">
      <c r="AC2640" s="26"/>
      <c r="AE2640" s="26"/>
      <c r="AF2640" s="26"/>
      <c r="AJ2640" s="26"/>
    </row>
    <row r="2641" spans="29:36">
      <c r="AC2641" s="26"/>
      <c r="AE2641" s="26"/>
      <c r="AF2641" s="26"/>
      <c r="AJ2641" s="26"/>
    </row>
    <row r="2642" spans="29:36">
      <c r="AC2642" s="26"/>
      <c r="AE2642" s="26"/>
      <c r="AF2642" s="26"/>
      <c r="AJ2642" s="26"/>
    </row>
    <row r="2643" spans="29:36">
      <c r="AC2643" s="26"/>
      <c r="AE2643" s="26"/>
      <c r="AF2643" s="26"/>
      <c r="AJ2643" s="26"/>
    </row>
    <row r="2644" spans="29:36">
      <c r="AC2644" s="26"/>
      <c r="AE2644" s="26"/>
      <c r="AF2644" s="26"/>
      <c r="AJ2644" s="26"/>
    </row>
    <row r="2645" spans="29:36">
      <c r="AC2645" s="26"/>
      <c r="AE2645" s="26"/>
      <c r="AF2645" s="26"/>
      <c r="AJ2645" s="26"/>
    </row>
    <row r="2646" spans="29:36">
      <c r="AC2646" s="26"/>
      <c r="AE2646" s="26"/>
      <c r="AF2646" s="26"/>
      <c r="AJ2646" s="26"/>
    </row>
    <row r="2647" spans="29:36">
      <c r="AC2647" s="26"/>
      <c r="AE2647" s="26"/>
      <c r="AF2647" s="26"/>
      <c r="AJ2647" s="26"/>
    </row>
    <row r="2648" spans="29:36">
      <c r="AC2648" s="26"/>
      <c r="AE2648" s="26"/>
      <c r="AF2648" s="26"/>
      <c r="AJ2648" s="26"/>
    </row>
    <row r="2649" spans="29:36">
      <c r="AC2649" s="26"/>
      <c r="AE2649" s="26"/>
      <c r="AF2649" s="26"/>
      <c r="AJ2649" s="26"/>
    </row>
    <row r="2650" spans="29:36">
      <c r="AC2650" s="26"/>
      <c r="AE2650" s="26"/>
      <c r="AF2650" s="26"/>
      <c r="AJ2650" s="26"/>
    </row>
    <row r="2651" spans="29:36">
      <c r="AC2651" s="26"/>
      <c r="AE2651" s="26"/>
      <c r="AF2651" s="26"/>
      <c r="AJ2651" s="26"/>
    </row>
    <row r="2652" spans="29:36">
      <c r="AC2652" s="26"/>
      <c r="AE2652" s="26"/>
      <c r="AF2652" s="26"/>
      <c r="AJ2652" s="26"/>
    </row>
    <row r="2653" spans="29:36">
      <c r="AC2653" s="26"/>
      <c r="AE2653" s="26"/>
      <c r="AF2653" s="26"/>
      <c r="AJ2653" s="26"/>
    </row>
    <row r="2654" spans="29:36">
      <c r="AC2654" s="26"/>
      <c r="AE2654" s="26"/>
      <c r="AF2654" s="26"/>
      <c r="AJ2654" s="26"/>
    </row>
    <row r="2655" spans="29:36">
      <c r="AC2655" s="26"/>
      <c r="AE2655" s="26"/>
      <c r="AF2655" s="26"/>
      <c r="AJ2655" s="26"/>
    </row>
    <row r="2656" spans="29:36">
      <c r="AC2656" s="26"/>
      <c r="AE2656" s="26"/>
      <c r="AF2656" s="26"/>
      <c r="AJ2656" s="26"/>
    </row>
    <row r="2657" spans="29:36">
      <c r="AC2657" s="26"/>
      <c r="AE2657" s="26"/>
      <c r="AF2657" s="26"/>
      <c r="AJ2657" s="26"/>
    </row>
    <row r="2658" spans="29:36">
      <c r="AC2658" s="26"/>
      <c r="AE2658" s="26"/>
      <c r="AF2658" s="26"/>
      <c r="AJ2658" s="26"/>
    </row>
    <row r="2659" spans="29:36">
      <c r="AC2659" s="26"/>
      <c r="AE2659" s="26"/>
      <c r="AF2659" s="26"/>
      <c r="AJ2659" s="26"/>
    </row>
    <row r="2660" spans="29:36">
      <c r="AC2660" s="26"/>
      <c r="AE2660" s="26"/>
      <c r="AF2660" s="26"/>
      <c r="AJ2660" s="26"/>
    </row>
    <row r="2661" spans="29:36">
      <c r="AC2661" s="26"/>
      <c r="AE2661" s="26"/>
      <c r="AF2661" s="26"/>
      <c r="AJ2661" s="26"/>
    </row>
    <row r="2662" spans="29:36">
      <c r="AC2662" s="26"/>
      <c r="AE2662" s="26"/>
      <c r="AF2662" s="26"/>
      <c r="AJ2662" s="26"/>
    </row>
    <row r="2663" spans="29:36">
      <c r="AC2663" s="26"/>
      <c r="AE2663" s="26"/>
      <c r="AF2663" s="26"/>
      <c r="AJ2663" s="26"/>
    </row>
    <row r="2664" spans="29:36">
      <c r="AC2664" s="26"/>
      <c r="AE2664" s="26"/>
      <c r="AF2664" s="26"/>
      <c r="AJ2664" s="26"/>
    </row>
    <row r="2665" spans="29:36">
      <c r="AC2665" s="26"/>
      <c r="AE2665" s="26"/>
      <c r="AF2665" s="26"/>
      <c r="AJ2665" s="26"/>
    </row>
    <row r="2666" spans="29:36">
      <c r="AC2666" s="26"/>
      <c r="AE2666" s="26"/>
      <c r="AF2666" s="26"/>
      <c r="AJ2666" s="26"/>
    </row>
    <row r="2667" spans="29:36">
      <c r="AC2667" s="26"/>
      <c r="AE2667" s="26"/>
      <c r="AF2667" s="26"/>
      <c r="AJ2667" s="26"/>
    </row>
    <row r="2668" spans="29:36">
      <c r="AC2668" s="26"/>
      <c r="AE2668" s="26"/>
      <c r="AF2668" s="26"/>
      <c r="AJ2668" s="26"/>
    </row>
    <row r="2669" spans="29:36">
      <c r="AC2669" s="26"/>
      <c r="AE2669" s="26"/>
      <c r="AF2669" s="26"/>
      <c r="AJ2669" s="26"/>
    </row>
    <row r="2670" spans="29:36">
      <c r="AC2670" s="26"/>
      <c r="AE2670" s="26"/>
      <c r="AF2670" s="26"/>
      <c r="AJ2670" s="26"/>
    </row>
    <row r="2671" spans="29:36">
      <c r="AC2671" s="26"/>
      <c r="AE2671" s="26"/>
      <c r="AF2671" s="26"/>
      <c r="AJ2671" s="26"/>
    </row>
    <row r="2672" spans="29:36">
      <c r="AC2672" s="26"/>
      <c r="AE2672" s="26"/>
      <c r="AF2672" s="26"/>
      <c r="AJ2672" s="26"/>
    </row>
    <row r="2673" spans="29:36">
      <c r="AC2673" s="26"/>
      <c r="AE2673" s="26"/>
      <c r="AF2673" s="26"/>
      <c r="AJ2673" s="26"/>
    </row>
    <row r="2674" spans="29:36">
      <c r="AC2674" s="26"/>
      <c r="AE2674" s="26"/>
      <c r="AF2674" s="26"/>
      <c r="AJ2674" s="26"/>
    </row>
    <row r="2675" spans="29:36">
      <c r="AC2675" s="26"/>
      <c r="AE2675" s="26"/>
      <c r="AF2675" s="26"/>
      <c r="AJ2675" s="26"/>
    </row>
    <row r="2676" spans="29:36">
      <c r="AC2676" s="26"/>
      <c r="AE2676" s="26"/>
      <c r="AF2676" s="26"/>
      <c r="AJ2676" s="26"/>
    </row>
    <row r="2677" spans="29:36">
      <c r="AC2677" s="26"/>
      <c r="AE2677" s="26"/>
      <c r="AF2677" s="26"/>
      <c r="AJ2677" s="26"/>
    </row>
    <row r="2678" spans="29:36">
      <c r="AC2678" s="26"/>
      <c r="AE2678" s="26"/>
      <c r="AF2678" s="26"/>
      <c r="AJ2678" s="26"/>
    </row>
    <row r="2679" spans="29:36">
      <c r="AC2679" s="26"/>
      <c r="AE2679" s="26"/>
      <c r="AF2679" s="26"/>
      <c r="AJ2679" s="26"/>
    </row>
    <row r="2680" spans="29:36">
      <c r="AC2680" s="26"/>
      <c r="AE2680" s="26"/>
      <c r="AF2680" s="26"/>
      <c r="AJ2680" s="26"/>
    </row>
    <row r="2681" spans="29:36">
      <c r="AC2681" s="26"/>
      <c r="AE2681" s="26"/>
      <c r="AF2681" s="26"/>
      <c r="AJ2681" s="26"/>
    </row>
    <row r="2682" spans="29:36">
      <c r="AC2682" s="26"/>
      <c r="AE2682" s="26"/>
      <c r="AF2682" s="26"/>
      <c r="AJ2682" s="26"/>
    </row>
    <row r="2683" spans="29:36">
      <c r="AC2683" s="26"/>
      <c r="AE2683" s="26"/>
      <c r="AF2683" s="26"/>
      <c r="AJ2683" s="26"/>
    </row>
    <row r="2684" spans="29:36">
      <c r="AC2684" s="26"/>
      <c r="AE2684" s="26"/>
      <c r="AF2684" s="26"/>
      <c r="AJ2684" s="26"/>
    </row>
    <row r="2685" spans="29:36">
      <c r="AC2685" s="26"/>
      <c r="AE2685" s="26"/>
      <c r="AF2685" s="26"/>
      <c r="AJ2685" s="26"/>
    </row>
    <row r="2686" spans="29:36">
      <c r="AC2686" s="26"/>
      <c r="AE2686" s="26"/>
      <c r="AF2686" s="26"/>
      <c r="AJ2686" s="26"/>
    </row>
    <row r="2687" spans="29:36">
      <c r="AC2687" s="26"/>
      <c r="AE2687" s="26"/>
      <c r="AF2687" s="26"/>
      <c r="AJ2687" s="26"/>
    </row>
    <row r="2688" spans="29:36">
      <c r="AC2688" s="26"/>
      <c r="AE2688" s="26"/>
      <c r="AF2688" s="26"/>
      <c r="AJ2688" s="26"/>
    </row>
    <row r="2689" spans="29:36">
      <c r="AC2689" s="26"/>
      <c r="AE2689" s="26"/>
      <c r="AF2689" s="26"/>
      <c r="AJ2689" s="26"/>
    </row>
    <row r="2690" spans="29:36">
      <c r="AC2690" s="26"/>
      <c r="AE2690" s="26"/>
      <c r="AF2690" s="26"/>
      <c r="AJ2690" s="26"/>
    </row>
    <row r="2691" spans="29:36">
      <c r="AC2691" s="26"/>
      <c r="AE2691" s="26"/>
      <c r="AF2691" s="26"/>
      <c r="AJ2691" s="26"/>
    </row>
    <row r="2692" spans="29:36">
      <c r="AC2692" s="26"/>
      <c r="AE2692" s="26"/>
      <c r="AF2692" s="26"/>
      <c r="AJ2692" s="26"/>
    </row>
    <row r="2693" spans="29:36">
      <c r="AC2693" s="26"/>
      <c r="AE2693" s="26"/>
      <c r="AF2693" s="26"/>
      <c r="AJ2693" s="26"/>
    </row>
    <row r="2694" spans="29:36">
      <c r="AC2694" s="26"/>
      <c r="AE2694" s="26"/>
      <c r="AF2694" s="26"/>
      <c r="AJ2694" s="26"/>
    </row>
    <row r="2695" spans="29:36">
      <c r="AC2695" s="26"/>
      <c r="AE2695" s="26"/>
      <c r="AF2695" s="26"/>
      <c r="AJ2695" s="26"/>
    </row>
    <row r="2696" spans="29:36">
      <c r="AC2696" s="26"/>
      <c r="AE2696" s="26"/>
      <c r="AF2696" s="26"/>
      <c r="AJ2696" s="26"/>
    </row>
    <row r="2697" spans="29:36">
      <c r="AC2697" s="26"/>
      <c r="AE2697" s="26"/>
      <c r="AF2697" s="26"/>
      <c r="AJ2697" s="26"/>
    </row>
    <row r="2698" spans="29:36">
      <c r="AC2698" s="26"/>
      <c r="AE2698" s="26"/>
      <c r="AF2698" s="26"/>
      <c r="AJ2698" s="26"/>
    </row>
    <row r="2699" spans="29:36">
      <c r="AC2699" s="26"/>
      <c r="AE2699" s="26"/>
      <c r="AF2699" s="26"/>
      <c r="AJ2699" s="26"/>
    </row>
    <row r="2700" spans="29:36">
      <c r="AC2700" s="26"/>
      <c r="AE2700" s="26"/>
      <c r="AF2700" s="26"/>
      <c r="AJ2700" s="26"/>
    </row>
    <row r="2701" spans="29:36">
      <c r="AC2701" s="26"/>
      <c r="AE2701" s="26"/>
      <c r="AF2701" s="26"/>
      <c r="AJ2701" s="26"/>
    </row>
    <row r="2702" spans="29:36">
      <c r="AC2702" s="26"/>
      <c r="AE2702" s="26"/>
      <c r="AF2702" s="26"/>
      <c r="AJ2702" s="26"/>
    </row>
    <row r="2703" spans="29:36">
      <c r="AC2703" s="26"/>
      <c r="AE2703" s="26"/>
      <c r="AF2703" s="26"/>
      <c r="AJ2703" s="26"/>
    </row>
    <row r="2704" spans="29:36">
      <c r="AC2704" s="26"/>
      <c r="AE2704" s="26"/>
      <c r="AF2704" s="26"/>
      <c r="AJ2704" s="26"/>
    </row>
    <row r="2705" spans="29:36">
      <c r="AC2705" s="26"/>
      <c r="AE2705" s="26"/>
      <c r="AF2705" s="26"/>
      <c r="AJ2705" s="26"/>
    </row>
    <row r="2706" spans="29:36">
      <c r="AC2706" s="26"/>
      <c r="AE2706" s="26"/>
      <c r="AF2706" s="26"/>
      <c r="AJ2706" s="26"/>
    </row>
    <row r="2707" spans="29:36">
      <c r="AC2707" s="26"/>
      <c r="AE2707" s="26"/>
      <c r="AF2707" s="26"/>
      <c r="AJ2707" s="26"/>
    </row>
    <row r="2708" spans="29:36">
      <c r="AC2708" s="26"/>
      <c r="AE2708" s="26"/>
      <c r="AF2708" s="26"/>
      <c r="AJ2708" s="26"/>
    </row>
    <row r="2709" spans="29:36">
      <c r="AC2709" s="26"/>
      <c r="AE2709" s="26"/>
      <c r="AF2709" s="26"/>
      <c r="AJ2709" s="26"/>
    </row>
    <row r="2710" spans="29:36">
      <c r="AC2710" s="26"/>
      <c r="AE2710" s="26"/>
      <c r="AF2710" s="26"/>
      <c r="AJ2710" s="26"/>
    </row>
    <row r="2711" spans="29:36">
      <c r="AC2711" s="26"/>
      <c r="AE2711" s="26"/>
      <c r="AF2711" s="26"/>
      <c r="AJ2711" s="26"/>
    </row>
    <row r="2712" spans="29:36">
      <c r="AC2712" s="26"/>
      <c r="AE2712" s="26"/>
      <c r="AF2712" s="26"/>
      <c r="AJ2712" s="26"/>
    </row>
    <row r="2713" spans="29:36">
      <c r="AC2713" s="26"/>
      <c r="AE2713" s="26"/>
      <c r="AF2713" s="26"/>
      <c r="AJ2713" s="26"/>
    </row>
    <row r="2714" spans="29:36">
      <c r="AC2714" s="26"/>
      <c r="AE2714" s="26"/>
      <c r="AF2714" s="26"/>
      <c r="AJ2714" s="26"/>
    </row>
    <row r="2715" spans="29:36">
      <c r="AC2715" s="26"/>
      <c r="AE2715" s="26"/>
      <c r="AF2715" s="26"/>
      <c r="AJ2715" s="26"/>
    </row>
    <row r="2716" spans="29:36">
      <c r="AC2716" s="26"/>
      <c r="AE2716" s="26"/>
      <c r="AF2716" s="26"/>
      <c r="AJ2716" s="26"/>
    </row>
    <row r="2717" spans="29:36">
      <c r="AC2717" s="26"/>
      <c r="AE2717" s="26"/>
      <c r="AF2717" s="26"/>
      <c r="AJ2717" s="26"/>
    </row>
    <row r="2718" spans="29:36">
      <c r="AC2718" s="26"/>
      <c r="AE2718" s="26"/>
      <c r="AF2718" s="26"/>
      <c r="AJ2718" s="26"/>
    </row>
    <row r="2719" spans="29:36">
      <c r="AC2719" s="26"/>
      <c r="AE2719" s="26"/>
      <c r="AF2719" s="26"/>
      <c r="AJ2719" s="26"/>
    </row>
    <row r="2720" spans="29:36">
      <c r="AC2720" s="26"/>
      <c r="AE2720" s="26"/>
      <c r="AF2720" s="26"/>
      <c r="AJ2720" s="26"/>
    </row>
    <row r="2721" spans="29:36">
      <c r="AC2721" s="26"/>
      <c r="AE2721" s="26"/>
      <c r="AF2721" s="26"/>
      <c r="AJ2721" s="26"/>
    </row>
    <row r="2722" spans="29:36">
      <c r="AC2722" s="26"/>
      <c r="AE2722" s="26"/>
      <c r="AF2722" s="26"/>
      <c r="AJ2722" s="26"/>
    </row>
    <row r="2723" spans="29:36">
      <c r="AC2723" s="26"/>
      <c r="AE2723" s="26"/>
      <c r="AF2723" s="26"/>
      <c r="AJ2723" s="26"/>
    </row>
    <row r="2724" spans="29:36">
      <c r="AC2724" s="26"/>
      <c r="AE2724" s="26"/>
      <c r="AF2724" s="26"/>
      <c r="AJ2724" s="26"/>
    </row>
    <row r="2725" spans="29:36">
      <c r="AC2725" s="26"/>
      <c r="AE2725" s="26"/>
      <c r="AF2725" s="26"/>
      <c r="AJ2725" s="26"/>
    </row>
    <row r="2726" spans="29:36">
      <c r="AC2726" s="26"/>
      <c r="AE2726" s="26"/>
      <c r="AF2726" s="26"/>
      <c r="AJ2726" s="26"/>
    </row>
    <row r="2727" spans="29:36">
      <c r="AC2727" s="26"/>
      <c r="AE2727" s="26"/>
      <c r="AF2727" s="26"/>
      <c r="AJ2727" s="26"/>
    </row>
    <row r="2728" spans="29:36">
      <c r="AC2728" s="26"/>
      <c r="AE2728" s="26"/>
      <c r="AF2728" s="26"/>
      <c r="AJ2728" s="26"/>
    </row>
    <row r="2729" spans="29:36">
      <c r="AC2729" s="26"/>
      <c r="AE2729" s="26"/>
      <c r="AF2729" s="26"/>
      <c r="AJ2729" s="26"/>
    </row>
    <row r="2730" spans="29:36">
      <c r="AC2730" s="26"/>
      <c r="AE2730" s="26"/>
      <c r="AF2730" s="26"/>
      <c r="AJ2730" s="26"/>
    </row>
    <row r="2731" spans="29:36">
      <c r="AC2731" s="26"/>
      <c r="AE2731" s="26"/>
      <c r="AF2731" s="26"/>
      <c r="AJ2731" s="26"/>
    </row>
    <row r="2732" spans="29:36">
      <c r="AC2732" s="26"/>
      <c r="AE2732" s="26"/>
      <c r="AF2732" s="26"/>
      <c r="AJ2732" s="26"/>
    </row>
    <row r="2733" spans="29:36">
      <c r="AC2733" s="26"/>
      <c r="AE2733" s="26"/>
      <c r="AF2733" s="26"/>
      <c r="AJ2733" s="26"/>
    </row>
    <row r="2734" spans="29:36">
      <c r="AC2734" s="26"/>
      <c r="AE2734" s="26"/>
      <c r="AF2734" s="26"/>
      <c r="AJ2734" s="26"/>
    </row>
    <row r="2735" spans="29:36">
      <c r="AC2735" s="26"/>
      <c r="AE2735" s="26"/>
      <c r="AF2735" s="26"/>
      <c r="AJ2735" s="26"/>
    </row>
    <row r="2736" spans="29:36">
      <c r="AC2736" s="26"/>
      <c r="AE2736" s="26"/>
      <c r="AF2736" s="26"/>
      <c r="AJ2736" s="26"/>
    </row>
    <row r="2737" spans="29:36">
      <c r="AC2737" s="26"/>
      <c r="AE2737" s="26"/>
      <c r="AF2737" s="26"/>
      <c r="AJ2737" s="26"/>
    </row>
    <row r="2738" spans="29:36">
      <c r="AC2738" s="26"/>
      <c r="AE2738" s="26"/>
      <c r="AF2738" s="26"/>
      <c r="AJ2738" s="26"/>
    </row>
    <row r="2739" spans="29:36">
      <c r="AC2739" s="26"/>
      <c r="AE2739" s="26"/>
      <c r="AF2739" s="26"/>
      <c r="AJ2739" s="26"/>
    </row>
    <row r="2740" spans="29:36">
      <c r="AC2740" s="26"/>
      <c r="AE2740" s="26"/>
      <c r="AF2740" s="26"/>
      <c r="AJ2740" s="26"/>
    </row>
    <row r="2741" spans="29:36">
      <c r="AC2741" s="26"/>
      <c r="AE2741" s="26"/>
      <c r="AF2741" s="26"/>
      <c r="AJ2741" s="26"/>
    </row>
    <row r="2742" spans="29:36">
      <c r="AC2742" s="26"/>
      <c r="AE2742" s="26"/>
      <c r="AF2742" s="26"/>
      <c r="AJ2742" s="26"/>
    </row>
    <row r="2743" spans="29:36">
      <c r="AC2743" s="26"/>
      <c r="AE2743" s="26"/>
      <c r="AF2743" s="26"/>
      <c r="AJ2743" s="26"/>
    </row>
    <row r="2744" spans="29:36">
      <c r="AC2744" s="26"/>
      <c r="AE2744" s="26"/>
      <c r="AF2744" s="26"/>
      <c r="AJ2744" s="26"/>
    </row>
    <row r="2745" spans="29:36">
      <c r="AC2745" s="26"/>
      <c r="AE2745" s="26"/>
      <c r="AF2745" s="26"/>
      <c r="AJ2745" s="26"/>
    </row>
    <row r="2746" spans="29:36">
      <c r="AC2746" s="26"/>
      <c r="AE2746" s="26"/>
      <c r="AF2746" s="26"/>
      <c r="AJ2746" s="26"/>
    </row>
    <row r="2747" spans="29:36">
      <c r="AC2747" s="26"/>
      <c r="AE2747" s="26"/>
      <c r="AF2747" s="26"/>
      <c r="AJ2747" s="26"/>
    </row>
    <row r="2748" spans="29:36">
      <c r="AC2748" s="26"/>
      <c r="AE2748" s="26"/>
      <c r="AF2748" s="26"/>
      <c r="AJ2748" s="26"/>
    </row>
    <row r="2749" spans="29:36">
      <c r="AC2749" s="26"/>
      <c r="AE2749" s="26"/>
      <c r="AF2749" s="26"/>
      <c r="AJ2749" s="26"/>
    </row>
    <row r="2750" spans="29:36">
      <c r="AC2750" s="26"/>
      <c r="AE2750" s="26"/>
      <c r="AF2750" s="26"/>
      <c r="AJ2750" s="26"/>
    </row>
    <row r="2751" spans="29:36">
      <c r="AC2751" s="26"/>
      <c r="AE2751" s="26"/>
      <c r="AF2751" s="26"/>
      <c r="AJ2751" s="26"/>
    </row>
    <row r="2752" spans="29:36">
      <c r="AC2752" s="26"/>
      <c r="AE2752" s="26"/>
      <c r="AF2752" s="26"/>
      <c r="AJ2752" s="26"/>
    </row>
    <row r="2753" spans="29:36">
      <c r="AC2753" s="26"/>
      <c r="AE2753" s="26"/>
      <c r="AF2753" s="26"/>
      <c r="AJ2753" s="26"/>
    </row>
    <row r="2754" spans="29:36">
      <c r="AC2754" s="26"/>
      <c r="AE2754" s="26"/>
      <c r="AF2754" s="26"/>
      <c r="AJ2754" s="26"/>
    </row>
    <row r="2755" spans="29:36">
      <c r="AC2755" s="26"/>
      <c r="AE2755" s="26"/>
      <c r="AF2755" s="26"/>
      <c r="AJ2755" s="26"/>
    </row>
    <row r="2756" spans="29:36">
      <c r="AC2756" s="26"/>
      <c r="AE2756" s="26"/>
      <c r="AF2756" s="26"/>
      <c r="AJ2756" s="26"/>
    </row>
    <row r="2757" spans="29:36">
      <c r="AC2757" s="26"/>
      <c r="AE2757" s="26"/>
      <c r="AF2757" s="26"/>
      <c r="AJ2757" s="26"/>
    </row>
    <row r="2758" spans="29:36">
      <c r="AC2758" s="26"/>
      <c r="AE2758" s="26"/>
      <c r="AF2758" s="26"/>
      <c r="AJ2758" s="26"/>
    </row>
    <row r="2759" spans="29:36">
      <c r="AC2759" s="26"/>
      <c r="AE2759" s="26"/>
      <c r="AF2759" s="26"/>
      <c r="AJ2759" s="26"/>
    </row>
    <row r="2760" spans="29:36">
      <c r="AC2760" s="26"/>
      <c r="AE2760" s="26"/>
      <c r="AF2760" s="26"/>
      <c r="AJ2760" s="26"/>
    </row>
    <row r="2761" spans="29:36">
      <c r="AC2761" s="26"/>
      <c r="AE2761" s="26"/>
      <c r="AF2761" s="26"/>
      <c r="AJ2761" s="26"/>
    </row>
    <row r="2762" spans="29:36">
      <c r="AC2762" s="26"/>
      <c r="AE2762" s="26"/>
      <c r="AF2762" s="26"/>
      <c r="AJ2762" s="26"/>
    </row>
    <row r="2763" spans="29:36">
      <c r="AC2763" s="26"/>
      <c r="AE2763" s="26"/>
      <c r="AF2763" s="26"/>
      <c r="AJ2763" s="26"/>
    </row>
    <row r="2764" spans="29:36">
      <c r="AC2764" s="26"/>
      <c r="AE2764" s="26"/>
      <c r="AF2764" s="26"/>
      <c r="AJ2764" s="26"/>
    </row>
    <row r="2765" spans="29:36">
      <c r="AC2765" s="26"/>
      <c r="AE2765" s="26"/>
      <c r="AF2765" s="26"/>
      <c r="AJ2765" s="26"/>
    </row>
    <row r="2766" spans="29:36">
      <c r="AC2766" s="26"/>
      <c r="AE2766" s="26"/>
      <c r="AF2766" s="26"/>
      <c r="AJ2766" s="26"/>
    </row>
    <row r="2767" spans="29:36">
      <c r="AC2767" s="26"/>
      <c r="AE2767" s="26"/>
      <c r="AF2767" s="26"/>
      <c r="AJ2767" s="26"/>
    </row>
    <row r="2768" spans="29:36">
      <c r="AC2768" s="26"/>
      <c r="AE2768" s="26"/>
      <c r="AF2768" s="26"/>
      <c r="AJ2768" s="26"/>
    </row>
    <row r="2769" spans="29:36">
      <c r="AC2769" s="26"/>
      <c r="AE2769" s="26"/>
      <c r="AF2769" s="26"/>
      <c r="AJ2769" s="26"/>
    </row>
    <row r="2770" spans="29:36">
      <c r="AC2770" s="26"/>
      <c r="AE2770" s="26"/>
      <c r="AF2770" s="26"/>
      <c r="AJ2770" s="26"/>
    </row>
    <row r="2771" spans="29:36">
      <c r="AC2771" s="26"/>
      <c r="AE2771" s="26"/>
      <c r="AF2771" s="26"/>
      <c r="AJ2771" s="26"/>
    </row>
    <row r="2772" spans="29:36">
      <c r="AC2772" s="26"/>
      <c r="AE2772" s="26"/>
      <c r="AF2772" s="26"/>
      <c r="AJ2772" s="26"/>
    </row>
    <row r="2773" spans="29:36">
      <c r="AC2773" s="26"/>
      <c r="AE2773" s="26"/>
      <c r="AF2773" s="26"/>
      <c r="AJ2773" s="26"/>
    </row>
    <row r="2774" spans="29:36">
      <c r="AC2774" s="26"/>
      <c r="AE2774" s="26"/>
      <c r="AF2774" s="26"/>
      <c r="AJ2774" s="26"/>
    </row>
    <row r="2775" spans="29:36">
      <c r="AC2775" s="26"/>
      <c r="AE2775" s="26"/>
      <c r="AF2775" s="26"/>
      <c r="AJ2775" s="26"/>
    </row>
    <row r="2776" spans="29:36">
      <c r="AC2776" s="26"/>
      <c r="AE2776" s="26"/>
      <c r="AF2776" s="26"/>
      <c r="AJ2776" s="26"/>
    </row>
    <row r="2777" spans="29:36">
      <c r="AC2777" s="26"/>
      <c r="AE2777" s="26"/>
      <c r="AF2777" s="26"/>
      <c r="AJ2777" s="26"/>
    </row>
    <row r="2778" spans="29:36">
      <c r="AC2778" s="26"/>
      <c r="AE2778" s="26"/>
      <c r="AF2778" s="26"/>
      <c r="AJ2778" s="26"/>
    </row>
    <row r="2779" spans="29:36">
      <c r="AC2779" s="26"/>
      <c r="AE2779" s="26"/>
      <c r="AF2779" s="26"/>
      <c r="AJ2779" s="26"/>
    </row>
    <row r="2780" spans="29:36">
      <c r="AC2780" s="26"/>
      <c r="AE2780" s="26"/>
      <c r="AF2780" s="26"/>
      <c r="AJ2780" s="26"/>
    </row>
    <row r="2781" spans="29:36">
      <c r="AC2781" s="26"/>
      <c r="AE2781" s="26"/>
      <c r="AF2781" s="26"/>
      <c r="AJ2781" s="26"/>
    </row>
    <row r="2782" spans="29:36">
      <c r="AC2782" s="26"/>
      <c r="AE2782" s="26"/>
      <c r="AF2782" s="26"/>
      <c r="AJ2782" s="26"/>
    </row>
    <row r="2783" spans="29:36">
      <c r="AC2783" s="26"/>
      <c r="AE2783" s="26"/>
      <c r="AF2783" s="26"/>
      <c r="AJ2783" s="26"/>
    </row>
    <row r="2784" spans="29:36">
      <c r="AC2784" s="26"/>
      <c r="AE2784" s="26"/>
      <c r="AF2784" s="26"/>
      <c r="AJ2784" s="26"/>
    </row>
    <row r="2785" spans="29:36">
      <c r="AC2785" s="26"/>
      <c r="AE2785" s="26"/>
      <c r="AF2785" s="26"/>
      <c r="AJ2785" s="26"/>
    </row>
    <row r="2786" spans="29:36">
      <c r="AC2786" s="26"/>
      <c r="AE2786" s="26"/>
      <c r="AF2786" s="26"/>
      <c r="AJ2786" s="26"/>
    </row>
    <row r="2787" spans="29:36">
      <c r="AC2787" s="26"/>
      <c r="AE2787" s="26"/>
      <c r="AF2787" s="26"/>
      <c r="AJ2787" s="26"/>
    </row>
    <row r="2788" spans="29:36">
      <c r="AC2788" s="26"/>
      <c r="AE2788" s="26"/>
      <c r="AF2788" s="26"/>
      <c r="AJ2788" s="26"/>
    </row>
    <row r="2789" spans="29:36">
      <c r="AC2789" s="26"/>
      <c r="AE2789" s="26"/>
      <c r="AF2789" s="26"/>
      <c r="AJ2789" s="26"/>
    </row>
    <row r="2790" spans="29:36">
      <c r="AC2790" s="26"/>
      <c r="AE2790" s="26"/>
      <c r="AF2790" s="26"/>
      <c r="AJ2790" s="26"/>
    </row>
    <row r="2791" spans="29:36">
      <c r="AC2791" s="26"/>
      <c r="AE2791" s="26"/>
      <c r="AF2791" s="26"/>
      <c r="AJ2791" s="26"/>
    </row>
    <row r="2792" spans="29:36">
      <c r="AC2792" s="26"/>
      <c r="AE2792" s="26"/>
      <c r="AF2792" s="26"/>
      <c r="AJ2792" s="26"/>
    </row>
    <row r="2793" spans="29:36">
      <c r="AC2793" s="26"/>
      <c r="AE2793" s="26"/>
      <c r="AF2793" s="26"/>
      <c r="AJ2793" s="26"/>
    </row>
    <row r="2794" spans="29:36">
      <c r="AC2794" s="26"/>
      <c r="AE2794" s="26"/>
      <c r="AF2794" s="26"/>
      <c r="AJ2794" s="26"/>
    </row>
    <row r="2795" spans="29:36">
      <c r="AC2795" s="26"/>
      <c r="AE2795" s="26"/>
      <c r="AF2795" s="26"/>
      <c r="AJ2795" s="26"/>
    </row>
    <row r="2796" spans="29:36">
      <c r="AC2796" s="26"/>
      <c r="AE2796" s="26"/>
      <c r="AF2796" s="26"/>
      <c r="AJ2796" s="26"/>
    </row>
    <row r="2797" spans="29:36">
      <c r="AC2797" s="26"/>
      <c r="AE2797" s="26"/>
      <c r="AF2797" s="26"/>
      <c r="AJ2797" s="26"/>
    </row>
    <row r="2798" spans="29:36">
      <c r="AC2798" s="26"/>
      <c r="AE2798" s="26"/>
      <c r="AF2798" s="26"/>
      <c r="AJ2798" s="26"/>
    </row>
    <row r="2799" spans="29:36">
      <c r="AC2799" s="26"/>
      <c r="AE2799" s="26"/>
      <c r="AF2799" s="26"/>
      <c r="AJ2799" s="26"/>
    </row>
    <row r="2800" spans="29:36">
      <c r="AC2800" s="26"/>
      <c r="AE2800" s="26"/>
      <c r="AF2800" s="26"/>
      <c r="AJ2800" s="26"/>
    </row>
    <row r="2801" spans="29:36">
      <c r="AC2801" s="26"/>
      <c r="AE2801" s="26"/>
      <c r="AF2801" s="26"/>
      <c r="AJ2801" s="26"/>
    </row>
    <row r="2802" spans="29:36">
      <c r="AC2802" s="26"/>
      <c r="AE2802" s="26"/>
      <c r="AF2802" s="26"/>
      <c r="AJ2802" s="26"/>
    </row>
    <row r="2803" spans="29:36">
      <c r="AC2803" s="26"/>
      <c r="AE2803" s="26"/>
      <c r="AF2803" s="26"/>
      <c r="AJ2803" s="26"/>
    </row>
    <row r="2804" spans="29:36">
      <c r="AC2804" s="26"/>
      <c r="AE2804" s="26"/>
      <c r="AF2804" s="26"/>
      <c r="AJ2804" s="26"/>
    </row>
    <row r="2805" spans="29:36">
      <c r="AC2805" s="26"/>
      <c r="AE2805" s="26"/>
      <c r="AF2805" s="26"/>
      <c r="AJ2805" s="26"/>
    </row>
    <row r="2806" spans="29:36">
      <c r="AC2806" s="26"/>
      <c r="AE2806" s="26"/>
      <c r="AF2806" s="26"/>
      <c r="AJ2806" s="26"/>
    </row>
    <row r="2807" spans="29:36">
      <c r="AC2807" s="26"/>
      <c r="AE2807" s="26"/>
      <c r="AF2807" s="26"/>
      <c r="AJ2807" s="26"/>
    </row>
    <row r="2808" spans="29:36">
      <c r="AC2808" s="26"/>
      <c r="AE2808" s="26"/>
      <c r="AF2808" s="26"/>
      <c r="AJ2808" s="26"/>
    </row>
    <row r="2809" spans="29:36">
      <c r="AC2809" s="26"/>
      <c r="AE2809" s="26"/>
      <c r="AF2809" s="26"/>
      <c r="AJ2809" s="26"/>
    </row>
    <row r="2810" spans="29:36">
      <c r="AC2810" s="26"/>
      <c r="AE2810" s="26"/>
      <c r="AF2810" s="26"/>
      <c r="AJ2810" s="26"/>
    </row>
    <row r="2811" spans="29:36">
      <c r="AC2811" s="26"/>
      <c r="AE2811" s="26"/>
      <c r="AF2811" s="26"/>
      <c r="AJ2811" s="26"/>
    </row>
    <row r="2812" spans="29:36">
      <c r="AC2812" s="26"/>
      <c r="AE2812" s="26"/>
      <c r="AF2812" s="26"/>
      <c r="AJ2812" s="26"/>
    </row>
    <row r="2813" spans="29:36">
      <c r="AC2813" s="26"/>
      <c r="AE2813" s="26"/>
      <c r="AF2813" s="26"/>
      <c r="AJ2813" s="26"/>
    </row>
    <row r="2814" spans="29:36">
      <c r="AC2814" s="26"/>
      <c r="AE2814" s="26"/>
      <c r="AF2814" s="26"/>
      <c r="AJ2814" s="26"/>
    </row>
    <row r="2815" spans="29:36">
      <c r="AC2815" s="26"/>
      <c r="AE2815" s="26"/>
      <c r="AF2815" s="26"/>
      <c r="AJ2815" s="26"/>
    </row>
    <row r="2816" spans="29:36">
      <c r="AC2816" s="26"/>
      <c r="AE2816" s="26"/>
      <c r="AF2816" s="26"/>
      <c r="AJ2816" s="26"/>
    </row>
    <row r="2817" spans="29:36">
      <c r="AC2817" s="26"/>
      <c r="AE2817" s="26"/>
      <c r="AF2817" s="26"/>
      <c r="AJ2817" s="26"/>
    </row>
    <row r="2818" spans="29:36">
      <c r="AC2818" s="26"/>
      <c r="AE2818" s="26"/>
      <c r="AF2818" s="26"/>
      <c r="AJ2818" s="26"/>
    </row>
    <row r="2819" spans="29:36">
      <c r="AC2819" s="26"/>
      <c r="AE2819" s="26"/>
      <c r="AF2819" s="26"/>
      <c r="AJ2819" s="26"/>
    </row>
    <row r="2820" spans="29:36">
      <c r="AC2820" s="26"/>
      <c r="AE2820" s="26"/>
      <c r="AF2820" s="26"/>
      <c r="AJ2820" s="26"/>
    </row>
    <row r="2821" spans="29:36">
      <c r="AC2821" s="26"/>
      <c r="AE2821" s="26"/>
      <c r="AF2821" s="26"/>
      <c r="AJ2821" s="26"/>
    </row>
    <row r="2822" spans="29:36">
      <c r="AC2822" s="26"/>
      <c r="AE2822" s="26"/>
      <c r="AF2822" s="26"/>
      <c r="AJ2822" s="26"/>
    </row>
    <row r="2823" spans="29:36">
      <c r="AC2823" s="26"/>
      <c r="AE2823" s="26"/>
      <c r="AF2823" s="26"/>
      <c r="AJ2823" s="26"/>
    </row>
    <row r="2824" spans="29:36">
      <c r="AC2824" s="26"/>
      <c r="AE2824" s="26"/>
      <c r="AF2824" s="26"/>
      <c r="AJ2824" s="26"/>
    </row>
    <row r="2825" spans="29:36">
      <c r="AC2825" s="26"/>
      <c r="AE2825" s="26"/>
      <c r="AF2825" s="26"/>
      <c r="AJ2825" s="26"/>
    </row>
    <row r="2826" spans="29:36">
      <c r="AC2826" s="26"/>
      <c r="AE2826" s="26"/>
      <c r="AF2826" s="26"/>
      <c r="AJ2826" s="26"/>
    </row>
    <row r="2827" spans="29:36">
      <c r="AC2827" s="26"/>
      <c r="AE2827" s="26"/>
      <c r="AF2827" s="26"/>
      <c r="AJ2827" s="26"/>
    </row>
    <row r="2828" spans="29:36">
      <c r="AC2828" s="26"/>
      <c r="AE2828" s="26"/>
      <c r="AF2828" s="26"/>
      <c r="AJ2828" s="26"/>
    </row>
    <row r="2829" spans="29:36">
      <c r="AC2829" s="26"/>
      <c r="AE2829" s="26"/>
      <c r="AF2829" s="26"/>
      <c r="AJ2829" s="26"/>
    </row>
    <row r="2830" spans="29:36">
      <c r="AC2830" s="26"/>
      <c r="AE2830" s="26"/>
      <c r="AF2830" s="26"/>
      <c r="AJ2830" s="26"/>
    </row>
    <row r="2831" spans="29:36">
      <c r="AC2831" s="26"/>
      <c r="AE2831" s="26"/>
      <c r="AF2831" s="26"/>
      <c r="AJ2831" s="26"/>
    </row>
    <row r="2832" spans="29:36">
      <c r="AC2832" s="26"/>
      <c r="AE2832" s="26"/>
      <c r="AF2832" s="26"/>
      <c r="AJ2832" s="26"/>
    </row>
    <row r="2833" spans="29:36">
      <c r="AC2833" s="26"/>
      <c r="AE2833" s="26"/>
      <c r="AF2833" s="26"/>
      <c r="AJ2833" s="26"/>
    </row>
    <row r="2834" spans="29:36">
      <c r="AC2834" s="26"/>
      <c r="AE2834" s="26"/>
      <c r="AF2834" s="26"/>
      <c r="AJ2834" s="26"/>
    </row>
    <row r="2835" spans="29:36">
      <c r="AC2835" s="26"/>
      <c r="AE2835" s="26"/>
      <c r="AF2835" s="26"/>
      <c r="AJ2835" s="26"/>
    </row>
    <row r="2836" spans="29:36">
      <c r="AC2836" s="26"/>
      <c r="AE2836" s="26"/>
      <c r="AF2836" s="26"/>
      <c r="AJ2836" s="26"/>
    </row>
    <row r="2837" spans="29:36">
      <c r="AC2837" s="26"/>
      <c r="AE2837" s="26"/>
      <c r="AF2837" s="26"/>
      <c r="AJ2837" s="26"/>
    </row>
    <row r="2838" spans="29:36">
      <c r="AC2838" s="26"/>
      <c r="AE2838" s="26"/>
      <c r="AF2838" s="26"/>
      <c r="AJ2838" s="26"/>
    </row>
    <row r="2839" spans="29:36">
      <c r="AC2839" s="26"/>
      <c r="AE2839" s="26"/>
      <c r="AF2839" s="26"/>
      <c r="AJ2839" s="26"/>
    </row>
    <row r="2840" spans="29:36">
      <c r="AC2840" s="26"/>
      <c r="AE2840" s="26"/>
      <c r="AF2840" s="26"/>
      <c r="AJ2840" s="26"/>
    </row>
    <row r="2841" spans="29:36">
      <c r="AC2841" s="26"/>
      <c r="AE2841" s="26"/>
      <c r="AF2841" s="26"/>
      <c r="AJ2841" s="26"/>
    </row>
    <row r="2842" spans="29:36">
      <c r="AC2842" s="26"/>
      <c r="AE2842" s="26"/>
      <c r="AF2842" s="26"/>
      <c r="AJ2842" s="26"/>
    </row>
    <row r="2843" spans="29:36">
      <c r="AC2843" s="26"/>
      <c r="AE2843" s="26"/>
      <c r="AF2843" s="26"/>
      <c r="AJ2843" s="26"/>
    </row>
    <row r="2844" spans="29:36">
      <c r="AC2844" s="26"/>
      <c r="AE2844" s="26"/>
      <c r="AF2844" s="26"/>
      <c r="AJ2844" s="26"/>
    </row>
    <row r="2845" spans="29:36">
      <c r="AC2845" s="26"/>
      <c r="AE2845" s="26"/>
      <c r="AF2845" s="26"/>
      <c r="AJ2845" s="26"/>
    </row>
    <row r="2846" spans="29:36">
      <c r="AC2846" s="26"/>
      <c r="AE2846" s="26"/>
      <c r="AF2846" s="26"/>
      <c r="AJ2846" s="26"/>
    </row>
    <row r="2847" spans="29:36">
      <c r="AC2847" s="26"/>
      <c r="AE2847" s="26"/>
      <c r="AF2847" s="26"/>
      <c r="AJ2847" s="26"/>
    </row>
    <row r="2848" spans="29:36">
      <c r="AC2848" s="26"/>
      <c r="AE2848" s="26"/>
      <c r="AF2848" s="26"/>
      <c r="AJ2848" s="26"/>
    </row>
    <row r="2849" spans="29:36">
      <c r="AC2849" s="26"/>
      <c r="AE2849" s="26"/>
      <c r="AF2849" s="26"/>
      <c r="AJ2849" s="26"/>
    </row>
    <row r="2850" spans="29:36">
      <c r="AC2850" s="26"/>
      <c r="AE2850" s="26"/>
      <c r="AF2850" s="26"/>
      <c r="AJ2850" s="26"/>
    </row>
    <row r="2851" spans="29:36">
      <c r="AC2851" s="26"/>
      <c r="AE2851" s="26"/>
      <c r="AF2851" s="26"/>
      <c r="AJ2851" s="26"/>
    </row>
    <row r="2852" spans="29:36">
      <c r="AC2852" s="26"/>
      <c r="AE2852" s="26"/>
      <c r="AF2852" s="26"/>
      <c r="AJ2852" s="26"/>
    </row>
    <row r="2853" spans="29:36">
      <c r="AC2853" s="26"/>
      <c r="AE2853" s="26"/>
      <c r="AF2853" s="26"/>
      <c r="AJ2853" s="26"/>
    </row>
    <row r="2854" spans="29:36">
      <c r="AC2854" s="26"/>
      <c r="AE2854" s="26"/>
      <c r="AF2854" s="26"/>
      <c r="AJ2854" s="26"/>
    </row>
    <row r="2855" spans="29:36">
      <c r="AC2855" s="26"/>
      <c r="AE2855" s="26"/>
      <c r="AF2855" s="26"/>
      <c r="AJ2855" s="26"/>
    </row>
    <row r="2856" spans="29:36">
      <c r="AC2856" s="26"/>
      <c r="AE2856" s="26"/>
      <c r="AF2856" s="26"/>
      <c r="AJ2856" s="26"/>
    </row>
    <row r="2857" spans="29:36">
      <c r="AC2857" s="26"/>
      <c r="AE2857" s="26"/>
      <c r="AF2857" s="26"/>
      <c r="AJ2857" s="26"/>
    </row>
    <row r="2858" spans="29:36">
      <c r="AC2858" s="26"/>
      <c r="AE2858" s="26"/>
      <c r="AF2858" s="26"/>
      <c r="AJ2858" s="26"/>
    </row>
    <row r="2859" spans="29:36">
      <c r="AC2859" s="26"/>
      <c r="AE2859" s="26"/>
      <c r="AF2859" s="26"/>
      <c r="AJ2859" s="26"/>
    </row>
    <row r="2860" spans="29:36">
      <c r="AC2860" s="26"/>
      <c r="AE2860" s="26"/>
      <c r="AF2860" s="26"/>
      <c r="AJ2860" s="26"/>
    </row>
    <row r="2861" spans="29:36">
      <c r="AC2861" s="26"/>
      <c r="AE2861" s="26"/>
      <c r="AF2861" s="26"/>
      <c r="AJ2861" s="26"/>
    </row>
    <row r="2862" spans="29:36">
      <c r="AC2862" s="26"/>
      <c r="AE2862" s="26"/>
      <c r="AF2862" s="26"/>
      <c r="AJ2862" s="26"/>
    </row>
    <row r="2863" spans="29:36">
      <c r="AC2863" s="26"/>
      <c r="AE2863" s="26"/>
      <c r="AF2863" s="26"/>
      <c r="AJ2863" s="26"/>
    </row>
    <row r="2864" spans="29:36">
      <c r="AC2864" s="26"/>
      <c r="AE2864" s="26"/>
      <c r="AF2864" s="26"/>
      <c r="AJ2864" s="26"/>
    </row>
    <row r="2865" spans="29:36">
      <c r="AC2865" s="26"/>
      <c r="AE2865" s="26"/>
      <c r="AF2865" s="26"/>
      <c r="AJ2865" s="26"/>
    </row>
    <row r="2866" spans="29:36">
      <c r="AC2866" s="26"/>
      <c r="AE2866" s="26"/>
      <c r="AF2866" s="26"/>
      <c r="AJ2866" s="26"/>
    </row>
    <row r="2867" spans="29:36">
      <c r="AC2867" s="26"/>
      <c r="AE2867" s="26"/>
      <c r="AF2867" s="26"/>
      <c r="AJ2867" s="26"/>
    </row>
    <row r="2868" spans="29:36">
      <c r="AC2868" s="26"/>
      <c r="AE2868" s="26"/>
      <c r="AF2868" s="26"/>
      <c r="AJ2868" s="26"/>
    </row>
    <row r="2869" spans="29:36">
      <c r="AC2869" s="26"/>
      <c r="AE2869" s="26"/>
      <c r="AF2869" s="26"/>
      <c r="AJ2869" s="26"/>
    </row>
    <row r="2870" spans="29:36">
      <c r="AC2870" s="26"/>
      <c r="AE2870" s="26"/>
      <c r="AF2870" s="26"/>
      <c r="AJ2870" s="26"/>
    </row>
    <row r="2871" spans="29:36">
      <c r="AC2871" s="26"/>
      <c r="AE2871" s="26"/>
      <c r="AF2871" s="26"/>
      <c r="AJ2871" s="26"/>
    </row>
    <row r="2872" spans="29:36">
      <c r="AC2872" s="26"/>
      <c r="AE2872" s="26"/>
      <c r="AF2872" s="26"/>
      <c r="AJ2872" s="26"/>
    </row>
    <row r="2873" spans="29:36">
      <c r="AC2873" s="26"/>
      <c r="AE2873" s="26"/>
      <c r="AF2873" s="26"/>
      <c r="AJ2873" s="26"/>
    </row>
    <row r="2874" spans="29:36">
      <c r="AC2874" s="26"/>
      <c r="AE2874" s="26"/>
      <c r="AF2874" s="26"/>
      <c r="AJ2874" s="26"/>
    </row>
    <row r="2875" spans="29:36">
      <c r="AC2875" s="26"/>
      <c r="AE2875" s="26"/>
      <c r="AF2875" s="26"/>
      <c r="AJ2875" s="26"/>
    </row>
    <row r="2876" spans="29:36">
      <c r="AC2876" s="26"/>
      <c r="AE2876" s="26"/>
      <c r="AF2876" s="26"/>
      <c r="AJ2876" s="26"/>
    </row>
    <row r="2877" spans="29:36">
      <c r="AC2877" s="26"/>
      <c r="AE2877" s="26"/>
      <c r="AF2877" s="26"/>
      <c r="AJ2877" s="26"/>
    </row>
    <row r="2878" spans="29:36">
      <c r="AC2878" s="26"/>
      <c r="AE2878" s="26"/>
      <c r="AF2878" s="26"/>
      <c r="AJ2878" s="26"/>
    </row>
    <row r="2879" spans="29:36">
      <c r="AC2879" s="26"/>
      <c r="AE2879" s="26"/>
      <c r="AF2879" s="26"/>
      <c r="AJ2879" s="26"/>
    </row>
    <row r="2880" spans="29:36">
      <c r="AC2880" s="26"/>
      <c r="AE2880" s="26"/>
      <c r="AF2880" s="26"/>
      <c r="AJ2880" s="26"/>
    </row>
    <row r="2881" spans="29:36">
      <c r="AC2881" s="26"/>
      <c r="AE2881" s="26"/>
      <c r="AF2881" s="26"/>
      <c r="AJ2881" s="26"/>
    </row>
    <row r="2882" spans="29:36">
      <c r="AC2882" s="26"/>
      <c r="AE2882" s="26"/>
      <c r="AF2882" s="26"/>
      <c r="AJ2882" s="26"/>
    </row>
    <row r="2883" spans="29:36">
      <c r="AC2883" s="26"/>
      <c r="AE2883" s="26"/>
      <c r="AF2883" s="26"/>
      <c r="AJ2883" s="26"/>
    </row>
    <row r="2884" spans="29:36">
      <c r="AC2884" s="26"/>
      <c r="AE2884" s="26"/>
      <c r="AF2884" s="26"/>
      <c r="AJ2884" s="26"/>
    </row>
    <row r="2885" spans="29:36">
      <c r="AC2885" s="26"/>
      <c r="AE2885" s="26"/>
      <c r="AF2885" s="26"/>
      <c r="AJ2885" s="26"/>
    </row>
    <row r="2886" spans="29:36">
      <c r="AC2886" s="26"/>
      <c r="AE2886" s="26"/>
      <c r="AF2886" s="26"/>
      <c r="AJ2886" s="26"/>
    </row>
    <row r="2887" spans="29:36">
      <c r="AC2887" s="26"/>
      <c r="AE2887" s="26"/>
      <c r="AF2887" s="26"/>
      <c r="AJ2887" s="26"/>
    </row>
    <row r="2888" spans="29:36">
      <c r="AC2888" s="26"/>
      <c r="AE2888" s="26"/>
      <c r="AF2888" s="26"/>
      <c r="AJ2888" s="26"/>
    </row>
    <row r="2889" spans="29:36">
      <c r="AC2889" s="26"/>
      <c r="AE2889" s="26"/>
      <c r="AF2889" s="26"/>
      <c r="AJ2889" s="26"/>
    </row>
    <row r="2890" spans="29:36">
      <c r="AC2890" s="26"/>
      <c r="AE2890" s="26"/>
      <c r="AF2890" s="26"/>
      <c r="AJ2890" s="26"/>
    </row>
    <row r="2891" spans="29:36">
      <c r="AC2891" s="26"/>
      <c r="AE2891" s="26"/>
      <c r="AF2891" s="26"/>
      <c r="AJ2891" s="26"/>
    </row>
    <row r="2892" spans="29:36">
      <c r="AC2892" s="26"/>
      <c r="AE2892" s="26"/>
      <c r="AF2892" s="26"/>
      <c r="AJ2892" s="26"/>
    </row>
    <row r="2893" spans="29:36">
      <c r="AC2893" s="26"/>
      <c r="AE2893" s="26"/>
      <c r="AF2893" s="26"/>
      <c r="AJ2893" s="26"/>
    </row>
    <row r="2894" spans="29:36">
      <c r="AC2894" s="26"/>
      <c r="AE2894" s="26"/>
      <c r="AF2894" s="26"/>
      <c r="AJ2894" s="26"/>
    </row>
    <row r="2895" spans="29:36">
      <c r="AC2895" s="26"/>
      <c r="AE2895" s="26"/>
      <c r="AF2895" s="26"/>
      <c r="AJ2895" s="26"/>
    </row>
    <row r="2896" spans="29:36">
      <c r="AC2896" s="26"/>
      <c r="AE2896" s="26"/>
      <c r="AF2896" s="26"/>
      <c r="AJ2896" s="26"/>
    </row>
    <row r="2897" spans="29:36">
      <c r="AC2897" s="26"/>
      <c r="AE2897" s="26"/>
      <c r="AF2897" s="26"/>
      <c r="AJ2897" s="26"/>
    </row>
    <row r="2898" spans="29:36">
      <c r="AC2898" s="26"/>
      <c r="AE2898" s="26"/>
      <c r="AF2898" s="26"/>
      <c r="AJ2898" s="26"/>
    </row>
    <row r="2899" spans="29:36">
      <c r="AC2899" s="26"/>
      <c r="AE2899" s="26"/>
      <c r="AF2899" s="26"/>
      <c r="AJ2899" s="26"/>
    </row>
    <row r="2900" spans="29:36">
      <c r="AC2900" s="26"/>
      <c r="AE2900" s="26"/>
      <c r="AF2900" s="26"/>
      <c r="AJ2900" s="26"/>
    </row>
    <row r="2901" spans="29:36">
      <c r="AC2901" s="26"/>
      <c r="AE2901" s="26"/>
      <c r="AF2901" s="26"/>
      <c r="AJ2901" s="26"/>
    </row>
    <row r="2902" spans="29:36">
      <c r="AC2902" s="26"/>
      <c r="AE2902" s="26"/>
      <c r="AF2902" s="26"/>
      <c r="AJ2902" s="26"/>
    </row>
    <row r="2903" spans="29:36">
      <c r="AC2903" s="26"/>
      <c r="AE2903" s="26"/>
      <c r="AF2903" s="26"/>
      <c r="AJ2903" s="26"/>
    </row>
    <row r="2904" spans="29:36">
      <c r="AC2904" s="26"/>
      <c r="AE2904" s="26"/>
      <c r="AF2904" s="26"/>
      <c r="AJ2904" s="26"/>
    </row>
    <row r="2905" spans="29:36">
      <c r="AC2905" s="26"/>
      <c r="AE2905" s="26"/>
      <c r="AF2905" s="26"/>
      <c r="AJ2905" s="26"/>
    </row>
    <row r="2906" spans="29:36">
      <c r="AC2906" s="26"/>
      <c r="AE2906" s="26"/>
      <c r="AF2906" s="26"/>
      <c r="AJ2906" s="26"/>
    </row>
    <row r="2907" spans="29:36">
      <c r="AC2907" s="26"/>
      <c r="AE2907" s="26"/>
      <c r="AF2907" s="26"/>
      <c r="AJ2907" s="26"/>
    </row>
    <row r="2908" spans="29:36">
      <c r="AC2908" s="26"/>
      <c r="AE2908" s="26"/>
      <c r="AF2908" s="26"/>
      <c r="AJ2908" s="26"/>
    </row>
    <row r="2909" spans="29:36">
      <c r="AC2909" s="26"/>
      <c r="AE2909" s="26"/>
      <c r="AF2909" s="26"/>
      <c r="AJ2909" s="26"/>
    </row>
    <row r="2910" spans="29:36">
      <c r="AC2910" s="26"/>
      <c r="AE2910" s="26"/>
      <c r="AF2910" s="26"/>
      <c r="AJ2910" s="26"/>
    </row>
    <row r="2911" spans="29:36">
      <c r="AC2911" s="26"/>
      <c r="AE2911" s="26"/>
      <c r="AF2911" s="26"/>
      <c r="AJ2911" s="26"/>
    </row>
    <row r="2912" spans="29:36">
      <c r="AC2912" s="26"/>
      <c r="AE2912" s="26"/>
      <c r="AF2912" s="26"/>
      <c r="AJ2912" s="26"/>
    </row>
    <row r="2913" spans="29:36">
      <c r="AC2913" s="26"/>
      <c r="AE2913" s="26"/>
      <c r="AF2913" s="26"/>
      <c r="AJ2913" s="26"/>
    </row>
    <row r="2914" spans="29:36">
      <c r="AC2914" s="26"/>
      <c r="AE2914" s="26"/>
      <c r="AF2914" s="26"/>
      <c r="AJ2914" s="26"/>
    </row>
    <row r="2915" spans="29:36">
      <c r="AC2915" s="26"/>
      <c r="AE2915" s="26"/>
      <c r="AF2915" s="26"/>
      <c r="AJ2915" s="26"/>
    </row>
    <row r="2916" spans="29:36">
      <c r="AC2916" s="26"/>
      <c r="AE2916" s="26"/>
      <c r="AF2916" s="26"/>
      <c r="AJ2916" s="26"/>
    </row>
    <row r="2917" spans="29:36">
      <c r="AC2917" s="26"/>
      <c r="AE2917" s="26"/>
      <c r="AF2917" s="26"/>
      <c r="AJ2917" s="26"/>
    </row>
    <row r="2918" spans="29:36">
      <c r="AC2918" s="26"/>
      <c r="AE2918" s="26"/>
      <c r="AF2918" s="26"/>
      <c r="AJ2918" s="26"/>
    </row>
    <row r="2919" spans="29:36">
      <c r="AC2919" s="26"/>
      <c r="AE2919" s="26"/>
      <c r="AF2919" s="26"/>
      <c r="AJ2919" s="26"/>
    </row>
    <row r="2920" spans="29:36">
      <c r="AC2920" s="26"/>
      <c r="AE2920" s="26"/>
      <c r="AF2920" s="26"/>
      <c r="AJ2920" s="26"/>
    </row>
    <row r="2921" spans="29:36">
      <c r="AC2921" s="26"/>
      <c r="AE2921" s="26"/>
      <c r="AF2921" s="26"/>
      <c r="AJ2921" s="26"/>
    </row>
    <row r="2922" spans="29:36">
      <c r="AC2922" s="26"/>
      <c r="AE2922" s="26"/>
      <c r="AF2922" s="26"/>
      <c r="AJ2922" s="26"/>
    </row>
    <row r="2923" spans="29:36">
      <c r="AC2923" s="26"/>
      <c r="AE2923" s="26"/>
      <c r="AF2923" s="26"/>
      <c r="AJ2923" s="26"/>
    </row>
    <row r="2924" spans="29:36">
      <c r="AC2924" s="26"/>
      <c r="AE2924" s="26"/>
      <c r="AF2924" s="26"/>
      <c r="AJ2924" s="26"/>
    </row>
    <row r="2925" spans="29:36">
      <c r="AC2925" s="26"/>
      <c r="AE2925" s="26"/>
      <c r="AF2925" s="26"/>
      <c r="AJ2925" s="26"/>
    </row>
    <row r="2926" spans="29:36">
      <c r="AC2926" s="26"/>
      <c r="AE2926" s="26"/>
      <c r="AF2926" s="26"/>
      <c r="AJ2926" s="26"/>
    </row>
    <row r="2927" spans="29:36">
      <c r="AC2927" s="26"/>
      <c r="AE2927" s="26"/>
      <c r="AF2927" s="26"/>
      <c r="AJ2927" s="26"/>
    </row>
    <row r="2928" spans="29:36">
      <c r="AC2928" s="26"/>
      <c r="AE2928" s="26"/>
      <c r="AF2928" s="26"/>
      <c r="AJ2928" s="26"/>
    </row>
    <row r="2929" spans="29:36">
      <c r="AC2929" s="26"/>
      <c r="AE2929" s="26"/>
      <c r="AF2929" s="26"/>
      <c r="AJ2929" s="26"/>
    </row>
    <row r="2930" spans="29:36">
      <c r="AC2930" s="26"/>
      <c r="AE2930" s="26"/>
      <c r="AF2930" s="26"/>
      <c r="AJ2930" s="26"/>
    </row>
    <row r="2931" spans="29:36">
      <c r="AC2931" s="26"/>
      <c r="AE2931" s="26"/>
      <c r="AF2931" s="26"/>
      <c r="AJ2931" s="26"/>
    </row>
    <row r="2932" spans="29:36">
      <c r="AC2932" s="26"/>
      <c r="AE2932" s="26"/>
      <c r="AF2932" s="26"/>
      <c r="AJ2932" s="26"/>
    </row>
    <row r="2933" spans="29:36">
      <c r="AC2933" s="26"/>
      <c r="AE2933" s="26"/>
      <c r="AF2933" s="26"/>
      <c r="AJ2933" s="26"/>
    </row>
    <row r="2934" spans="29:36">
      <c r="AC2934" s="26"/>
      <c r="AE2934" s="26"/>
      <c r="AF2934" s="26"/>
      <c r="AJ2934" s="26"/>
    </row>
    <row r="2935" spans="29:36">
      <c r="AC2935" s="26"/>
      <c r="AE2935" s="26"/>
      <c r="AF2935" s="26"/>
      <c r="AJ2935" s="26"/>
    </row>
    <row r="2936" spans="29:36">
      <c r="AC2936" s="26"/>
      <c r="AE2936" s="26"/>
      <c r="AF2936" s="26"/>
      <c r="AJ2936" s="26"/>
    </row>
    <row r="2937" spans="29:36">
      <c r="AC2937" s="26"/>
      <c r="AE2937" s="26"/>
      <c r="AF2937" s="26"/>
      <c r="AJ2937" s="26"/>
    </row>
    <row r="2938" spans="29:36">
      <c r="AC2938" s="26"/>
      <c r="AE2938" s="26"/>
      <c r="AF2938" s="26"/>
      <c r="AJ2938" s="26"/>
    </row>
    <row r="2939" spans="29:36">
      <c r="AC2939" s="26"/>
      <c r="AE2939" s="26"/>
      <c r="AF2939" s="26"/>
      <c r="AJ2939" s="26"/>
    </row>
    <row r="2940" spans="29:36">
      <c r="AC2940" s="26"/>
      <c r="AE2940" s="26"/>
      <c r="AF2940" s="26"/>
      <c r="AJ2940" s="26"/>
    </row>
    <row r="2941" spans="29:36">
      <c r="AC2941" s="26"/>
      <c r="AE2941" s="26"/>
      <c r="AF2941" s="26"/>
      <c r="AJ2941" s="26"/>
    </row>
    <row r="2942" spans="29:36">
      <c r="AC2942" s="26"/>
      <c r="AE2942" s="26"/>
      <c r="AF2942" s="26"/>
      <c r="AJ2942" s="26"/>
    </row>
    <row r="2943" spans="29:36">
      <c r="AC2943" s="26"/>
      <c r="AE2943" s="26"/>
      <c r="AF2943" s="26"/>
      <c r="AJ2943" s="26"/>
    </row>
    <row r="2944" spans="29:36">
      <c r="AC2944" s="26"/>
      <c r="AE2944" s="26"/>
      <c r="AF2944" s="26"/>
      <c r="AJ2944" s="26"/>
    </row>
    <row r="2945" spans="29:36">
      <c r="AC2945" s="26"/>
      <c r="AE2945" s="26"/>
      <c r="AF2945" s="26"/>
      <c r="AJ2945" s="26"/>
    </row>
    <row r="2946" spans="29:36">
      <c r="AC2946" s="26"/>
      <c r="AE2946" s="26"/>
      <c r="AF2946" s="26"/>
      <c r="AJ2946" s="26"/>
    </row>
    <row r="2947" spans="29:36">
      <c r="AC2947" s="26"/>
      <c r="AE2947" s="26"/>
      <c r="AF2947" s="26"/>
      <c r="AJ2947" s="26"/>
    </row>
    <row r="2948" spans="29:36">
      <c r="AC2948" s="26"/>
      <c r="AE2948" s="26"/>
      <c r="AF2948" s="26"/>
      <c r="AJ2948" s="26"/>
    </row>
    <row r="2949" spans="29:36">
      <c r="AC2949" s="26"/>
      <c r="AE2949" s="26"/>
      <c r="AF2949" s="26"/>
      <c r="AJ2949" s="26"/>
    </row>
    <row r="2950" spans="29:36">
      <c r="AC2950" s="26"/>
      <c r="AE2950" s="26"/>
      <c r="AF2950" s="26"/>
      <c r="AJ2950" s="26"/>
    </row>
    <row r="2951" spans="29:36">
      <c r="AC2951" s="26"/>
      <c r="AE2951" s="26"/>
      <c r="AF2951" s="26"/>
      <c r="AJ2951" s="26"/>
    </row>
    <row r="2952" spans="29:36">
      <c r="AC2952" s="26"/>
      <c r="AE2952" s="26"/>
      <c r="AF2952" s="26"/>
      <c r="AJ2952" s="26"/>
    </row>
    <row r="2953" spans="29:36">
      <c r="AC2953" s="26"/>
      <c r="AE2953" s="26"/>
      <c r="AF2953" s="26"/>
      <c r="AJ2953" s="26"/>
    </row>
    <row r="2954" spans="29:36">
      <c r="AC2954" s="26"/>
      <c r="AE2954" s="26"/>
      <c r="AF2954" s="26"/>
      <c r="AJ2954" s="26"/>
    </row>
    <row r="2955" spans="29:36">
      <c r="AC2955" s="26"/>
      <c r="AE2955" s="26"/>
      <c r="AF2955" s="26"/>
      <c r="AJ2955" s="26"/>
    </row>
    <row r="2956" spans="29:36">
      <c r="AC2956" s="26"/>
      <c r="AE2956" s="26"/>
      <c r="AF2956" s="26"/>
      <c r="AJ2956" s="26"/>
    </row>
    <row r="2957" spans="29:36">
      <c r="AC2957" s="26"/>
      <c r="AE2957" s="26"/>
      <c r="AF2957" s="26"/>
      <c r="AJ2957" s="26"/>
    </row>
    <row r="2958" spans="29:36">
      <c r="AC2958" s="26"/>
      <c r="AE2958" s="26"/>
      <c r="AF2958" s="26"/>
      <c r="AJ2958" s="26"/>
    </row>
    <row r="2959" spans="29:36">
      <c r="AC2959" s="26"/>
      <c r="AE2959" s="26"/>
      <c r="AF2959" s="26"/>
      <c r="AJ2959" s="26"/>
    </row>
    <row r="2960" spans="29:36">
      <c r="AC2960" s="26"/>
      <c r="AE2960" s="26"/>
      <c r="AF2960" s="26"/>
      <c r="AJ2960" s="26"/>
    </row>
    <row r="2961" spans="29:36">
      <c r="AC2961" s="26"/>
      <c r="AE2961" s="26"/>
      <c r="AF2961" s="26"/>
      <c r="AJ2961" s="26"/>
    </row>
    <row r="2962" spans="29:36">
      <c r="AC2962" s="26"/>
      <c r="AE2962" s="26"/>
      <c r="AF2962" s="26"/>
      <c r="AJ2962" s="26"/>
    </row>
    <row r="2963" spans="29:36">
      <c r="AC2963" s="26"/>
      <c r="AE2963" s="26"/>
      <c r="AF2963" s="26"/>
      <c r="AJ2963" s="26"/>
    </row>
    <row r="2964" spans="29:36">
      <c r="AC2964" s="26"/>
      <c r="AE2964" s="26"/>
      <c r="AF2964" s="26"/>
      <c r="AJ2964" s="26"/>
    </row>
    <row r="2965" spans="29:36">
      <c r="AC2965" s="26"/>
      <c r="AE2965" s="26"/>
      <c r="AF2965" s="26"/>
      <c r="AJ2965" s="26"/>
    </row>
    <row r="2966" spans="29:36">
      <c r="AC2966" s="26"/>
      <c r="AE2966" s="26"/>
      <c r="AF2966" s="26"/>
      <c r="AJ2966" s="26"/>
    </row>
    <row r="2967" spans="29:36">
      <c r="AC2967" s="26"/>
      <c r="AE2967" s="26"/>
      <c r="AF2967" s="26"/>
      <c r="AJ2967" s="26"/>
    </row>
    <row r="2968" spans="29:36">
      <c r="AC2968" s="26"/>
      <c r="AE2968" s="26"/>
      <c r="AF2968" s="26"/>
      <c r="AJ2968" s="26"/>
    </row>
    <row r="2969" spans="29:36">
      <c r="AC2969" s="26"/>
      <c r="AE2969" s="26"/>
      <c r="AF2969" s="26"/>
      <c r="AJ2969" s="26"/>
    </row>
    <row r="2970" spans="29:36">
      <c r="AC2970" s="26"/>
      <c r="AE2970" s="26"/>
      <c r="AF2970" s="26"/>
      <c r="AJ2970" s="26"/>
    </row>
    <row r="2971" spans="29:36">
      <c r="AC2971" s="26"/>
      <c r="AE2971" s="26"/>
      <c r="AF2971" s="26"/>
      <c r="AJ2971" s="26"/>
    </row>
    <row r="2972" spans="29:36">
      <c r="AC2972" s="26"/>
      <c r="AE2972" s="26"/>
      <c r="AF2972" s="26"/>
      <c r="AJ2972" s="26"/>
    </row>
    <row r="2973" spans="29:36">
      <c r="AC2973" s="26"/>
      <c r="AE2973" s="26"/>
      <c r="AF2973" s="26"/>
      <c r="AJ2973" s="26"/>
    </row>
    <row r="2974" spans="29:36">
      <c r="AC2974" s="26"/>
      <c r="AE2974" s="26"/>
      <c r="AF2974" s="26"/>
      <c r="AJ2974" s="26"/>
    </row>
    <row r="2975" spans="29:36">
      <c r="AC2975" s="26"/>
      <c r="AE2975" s="26"/>
      <c r="AF2975" s="26"/>
      <c r="AJ2975" s="26"/>
    </row>
    <row r="2976" spans="29:36">
      <c r="AC2976" s="26"/>
      <c r="AE2976" s="26"/>
      <c r="AF2976" s="26"/>
      <c r="AJ2976" s="26"/>
    </row>
    <row r="2977" spans="29:36">
      <c r="AC2977" s="26"/>
      <c r="AE2977" s="26"/>
      <c r="AF2977" s="26"/>
      <c r="AJ2977" s="26"/>
    </row>
    <row r="2978" spans="29:36">
      <c r="AC2978" s="26"/>
      <c r="AE2978" s="26"/>
      <c r="AF2978" s="26"/>
      <c r="AJ2978" s="26"/>
    </row>
    <row r="2979" spans="29:36">
      <c r="AC2979" s="26"/>
      <c r="AE2979" s="26"/>
      <c r="AF2979" s="26"/>
      <c r="AJ2979" s="26"/>
    </row>
    <row r="2980" spans="29:36">
      <c r="AC2980" s="26"/>
      <c r="AE2980" s="26"/>
      <c r="AF2980" s="26"/>
      <c r="AJ2980" s="26"/>
    </row>
    <row r="2981" spans="29:36">
      <c r="AC2981" s="26"/>
      <c r="AE2981" s="26"/>
      <c r="AF2981" s="26"/>
      <c r="AJ2981" s="26"/>
    </row>
    <row r="2982" spans="29:36">
      <c r="AC2982" s="26"/>
      <c r="AE2982" s="26"/>
      <c r="AF2982" s="26"/>
      <c r="AJ2982" s="26"/>
    </row>
    <row r="2983" spans="29:36">
      <c r="AC2983" s="26"/>
      <c r="AE2983" s="26"/>
      <c r="AF2983" s="26"/>
      <c r="AJ2983" s="26"/>
    </row>
    <row r="2984" spans="29:36">
      <c r="AC2984" s="26"/>
      <c r="AE2984" s="26"/>
      <c r="AF2984" s="26"/>
      <c r="AJ2984" s="26"/>
    </row>
    <row r="2985" spans="29:36">
      <c r="AC2985" s="26"/>
      <c r="AE2985" s="26"/>
      <c r="AF2985" s="26"/>
      <c r="AJ2985" s="26"/>
    </row>
    <row r="2986" spans="29:36">
      <c r="AC2986" s="26"/>
      <c r="AE2986" s="26"/>
      <c r="AF2986" s="26"/>
      <c r="AJ2986" s="26"/>
    </row>
    <row r="2987" spans="29:36">
      <c r="AC2987" s="26"/>
      <c r="AE2987" s="26"/>
      <c r="AF2987" s="26"/>
      <c r="AJ2987" s="26"/>
    </row>
    <row r="2988" spans="29:36">
      <c r="AC2988" s="26"/>
      <c r="AE2988" s="26"/>
      <c r="AF2988" s="26"/>
      <c r="AJ2988" s="26"/>
    </row>
    <row r="2989" spans="29:36">
      <c r="AC2989" s="26"/>
      <c r="AE2989" s="26"/>
      <c r="AF2989" s="26"/>
      <c r="AJ2989" s="26"/>
    </row>
    <row r="2990" spans="29:36">
      <c r="AC2990" s="26"/>
      <c r="AE2990" s="26"/>
      <c r="AF2990" s="26"/>
      <c r="AJ2990" s="26"/>
    </row>
    <row r="2991" spans="29:36">
      <c r="AC2991" s="26"/>
      <c r="AE2991" s="26"/>
      <c r="AF2991" s="26"/>
      <c r="AJ2991" s="26"/>
    </row>
    <row r="2992" spans="29:36">
      <c r="AC2992" s="26"/>
      <c r="AE2992" s="26"/>
      <c r="AF2992" s="26"/>
      <c r="AJ2992" s="26"/>
    </row>
    <row r="2993" spans="29:36">
      <c r="AC2993" s="26"/>
      <c r="AE2993" s="26"/>
      <c r="AF2993" s="26"/>
      <c r="AJ2993" s="26"/>
    </row>
    <row r="2994" spans="29:36">
      <c r="AC2994" s="26"/>
      <c r="AE2994" s="26"/>
      <c r="AF2994" s="26"/>
      <c r="AJ2994" s="26"/>
    </row>
    <row r="2995" spans="29:36">
      <c r="AC2995" s="26"/>
      <c r="AE2995" s="26"/>
      <c r="AF2995" s="26"/>
      <c r="AJ2995" s="26"/>
    </row>
    <row r="2996" spans="29:36">
      <c r="AC2996" s="26"/>
      <c r="AE2996" s="26"/>
      <c r="AF2996" s="26"/>
      <c r="AJ2996" s="26"/>
    </row>
    <row r="2997" spans="29:36">
      <c r="AC2997" s="26"/>
      <c r="AE2997" s="26"/>
      <c r="AF2997" s="26"/>
      <c r="AJ2997" s="26"/>
    </row>
    <row r="2998" spans="29:36">
      <c r="AC2998" s="26"/>
      <c r="AE2998" s="26"/>
      <c r="AF2998" s="26"/>
      <c r="AJ2998" s="26"/>
    </row>
    <row r="2999" spans="29:36">
      <c r="AC2999" s="26"/>
      <c r="AE2999" s="26"/>
      <c r="AF2999" s="26"/>
      <c r="AJ2999" s="26"/>
    </row>
    <row r="3000" spans="29:36">
      <c r="AC3000" s="26"/>
      <c r="AE3000" s="26"/>
      <c r="AF3000" s="26"/>
      <c r="AJ3000" s="26"/>
    </row>
    <row r="3001" spans="29:36">
      <c r="AC3001" s="26"/>
      <c r="AE3001" s="26"/>
      <c r="AF3001" s="26"/>
      <c r="AJ3001" s="26"/>
    </row>
    <row r="3002" spans="29:36">
      <c r="AC3002" s="26"/>
      <c r="AE3002" s="26"/>
      <c r="AF3002" s="26"/>
      <c r="AJ3002" s="26"/>
    </row>
    <row r="3003" spans="29:36">
      <c r="AC3003" s="26"/>
      <c r="AE3003" s="26"/>
      <c r="AF3003" s="26"/>
      <c r="AJ3003" s="26"/>
    </row>
    <row r="3004" spans="29:36">
      <c r="AC3004" s="26"/>
      <c r="AE3004" s="26"/>
      <c r="AF3004" s="26"/>
      <c r="AJ3004" s="26"/>
    </row>
    <row r="3005" spans="29:36">
      <c r="AC3005" s="26"/>
      <c r="AE3005" s="26"/>
      <c r="AF3005" s="26"/>
      <c r="AJ3005" s="26"/>
    </row>
    <row r="3006" spans="29:36">
      <c r="AC3006" s="26"/>
      <c r="AE3006" s="26"/>
      <c r="AF3006" s="26"/>
      <c r="AJ3006" s="26"/>
    </row>
    <row r="3007" spans="29:36">
      <c r="AC3007" s="26"/>
      <c r="AE3007" s="26"/>
      <c r="AF3007" s="26"/>
      <c r="AJ3007" s="26"/>
    </row>
    <row r="3008" spans="29:36">
      <c r="AC3008" s="26"/>
      <c r="AE3008" s="26"/>
      <c r="AF3008" s="26"/>
      <c r="AJ3008" s="26"/>
    </row>
    <row r="3009" spans="29:36">
      <c r="AC3009" s="26"/>
      <c r="AE3009" s="26"/>
      <c r="AF3009" s="26"/>
      <c r="AJ3009" s="26"/>
    </row>
    <row r="3010" spans="29:36">
      <c r="AC3010" s="26"/>
      <c r="AE3010" s="26"/>
      <c r="AF3010" s="26"/>
      <c r="AJ3010" s="26"/>
    </row>
    <row r="3011" spans="29:36">
      <c r="AC3011" s="26"/>
      <c r="AE3011" s="26"/>
      <c r="AF3011" s="26"/>
      <c r="AJ3011" s="26"/>
    </row>
    <row r="3012" spans="29:36">
      <c r="AC3012" s="26"/>
      <c r="AE3012" s="26"/>
      <c r="AF3012" s="26"/>
      <c r="AJ3012" s="26"/>
    </row>
    <row r="3013" spans="29:36">
      <c r="AC3013" s="26"/>
      <c r="AE3013" s="26"/>
      <c r="AF3013" s="26"/>
      <c r="AJ3013" s="26"/>
    </row>
    <row r="3014" spans="29:36">
      <c r="AC3014" s="26"/>
      <c r="AE3014" s="26"/>
      <c r="AF3014" s="26"/>
      <c r="AJ3014" s="26"/>
    </row>
    <row r="3015" spans="29:36">
      <c r="AC3015" s="26"/>
      <c r="AE3015" s="26"/>
      <c r="AF3015" s="26"/>
      <c r="AJ3015" s="26"/>
    </row>
    <row r="3016" spans="29:36">
      <c r="AC3016" s="26"/>
      <c r="AE3016" s="26"/>
      <c r="AF3016" s="26"/>
      <c r="AJ3016" s="26"/>
    </row>
    <row r="3017" spans="29:36">
      <c r="AC3017" s="26"/>
      <c r="AE3017" s="26"/>
      <c r="AF3017" s="26"/>
      <c r="AJ3017" s="26"/>
    </row>
    <row r="3018" spans="29:36">
      <c r="AC3018" s="26"/>
      <c r="AE3018" s="26"/>
      <c r="AF3018" s="26"/>
      <c r="AJ3018" s="26"/>
    </row>
    <row r="3019" spans="29:36">
      <c r="AC3019" s="26"/>
      <c r="AE3019" s="26"/>
      <c r="AF3019" s="26"/>
      <c r="AJ3019" s="26"/>
    </row>
    <row r="3020" spans="29:36">
      <c r="AC3020" s="26"/>
      <c r="AE3020" s="26"/>
      <c r="AF3020" s="26"/>
      <c r="AJ3020" s="26"/>
    </row>
    <row r="3021" spans="29:36">
      <c r="AC3021" s="26"/>
      <c r="AE3021" s="26"/>
      <c r="AF3021" s="26"/>
      <c r="AJ3021" s="26"/>
    </row>
    <row r="3022" spans="29:36">
      <c r="AC3022" s="26"/>
      <c r="AE3022" s="26"/>
      <c r="AF3022" s="26"/>
      <c r="AJ3022" s="26"/>
    </row>
    <row r="3023" spans="29:36">
      <c r="AC3023" s="26"/>
      <c r="AE3023" s="26"/>
      <c r="AF3023" s="26"/>
      <c r="AJ3023" s="26"/>
    </row>
    <row r="3024" spans="29:36">
      <c r="AC3024" s="26"/>
      <c r="AE3024" s="26"/>
      <c r="AF3024" s="26"/>
      <c r="AJ3024" s="26"/>
    </row>
    <row r="3025" spans="29:36">
      <c r="AC3025" s="26"/>
      <c r="AE3025" s="26"/>
      <c r="AF3025" s="26"/>
      <c r="AJ3025" s="26"/>
    </row>
    <row r="3026" spans="29:36">
      <c r="AC3026" s="26"/>
      <c r="AE3026" s="26"/>
      <c r="AF3026" s="26"/>
      <c r="AJ3026" s="26"/>
    </row>
    <row r="3027" spans="29:36">
      <c r="AC3027" s="26"/>
      <c r="AE3027" s="26"/>
      <c r="AF3027" s="26"/>
      <c r="AJ3027" s="26"/>
    </row>
    <row r="3028" spans="29:36">
      <c r="AC3028" s="26"/>
      <c r="AE3028" s="26"/>
      <c r="AF3028" s="26"/>
      <c r="AJ3028" s="26"/>
    </row>
    <row r="3029" spans="29:36">
      <c r="AC3029" s="26"/>
      <c r="AE3029" s="26"/>
      <c r="AF3029" s="26"/>
      <c r="AJ3029" s="26"/>
    </row>
    <row r="3030" spans="29:36">
      <c r="AC3030" s="26"/>
      <c r="AE3030" s="26"/>
      <c r="AF3030" s="26"/>
      <c r="AJ3030" s="26"/>
    </row>
    <row r="3031" spans="29:36">
      <c r="AC3031" s="26"/>
      <c r="AE3031" s="26"/>
      <c r="AF3031" s="26"/>
      <c r="AJ3031" s="26"/>
    </row>
    <row r="3032" spans="29:36">
      <c r="AC3032" s="26"/>
      <c r="AE3032" s="26"/>
      <c r="AF3032" s="26"/>
      <c r="AJ3032" s="26"/>
    </row>
    <row r="3033" spans="29:36">
      <c r="AC3033" s="26"/>
      <c r="AE3033" s="26"/>
      <c r="AF3033" s="26"/>
      <c r="AJ3033" s="26"/>
    </row>
    <row r="3034" spans="29:36">
      <c r="AC3034" s="26"/>
      <c r="AE3034" s="26"/>
      <c r="AF3034" s="26"/>
      <c r="AJ3034" s="26"/>
    </row>
    <row r="3035" spans="29:36">
      <c r="AC3035" s="26"/>
      <c r="AE3035" s="26"/>
      <c r="AF3035" s="26"/>
      <c r="AJ3035" s="26"/>
    </row>
    <row r="3036" spans="29:36">
      <c r="AC3036" s="26"/>
      <c r="AE3036" s="26"/>
      <c r="AF3036" s="26"/>
      <c r="AJ3036" s="26"/>
    </row>
    <row r="3037" spans="29:36">
      <c r="AC3037" s="26"/>
      <c r="AE3037" s="26"/>
      <c r="AF3037" s="26"/>
      <c r="AJ3037" s="26"/>
    </row>
    <row r="3038" spans="29:36">
      <c r="AC3038" s="26"/>
      <c r="AE3038" s="26"/>
      <c r="AF3038" s="26"/>
      <c r="AJ3038" s="26"/>
    </row>
    <row r="3039" spans="29:36">
      <c r="AC3039" s="26"/>
      <c r="AE3039" s="26"/>
      <c r="AF3039" s="26"/>
      <c r="AJ3039" s="26"/>
    </row>
    <row r="3040" spans="29:36">
      <c r="AC3040" s="26"/>
      <c r="AE3040" s="26"/>
      <c r="AF3040" s="26"/>
      <c r="AJ3040" s="26"/>
    </row>
    <row r="3041" spans="29:36">
      <c r="AC3041" s="26"/>
      <c r="AE3041" s="26"/>
      <c r="AF3041" s="26"/>
      <c r="AJ3041" s="26"/>
    </row>
    <row r="3042" spans="29:36">
      <c r="AC3042" s="26"/>
      <c r="AE3042" s="26"/>
      <c r="AF3042" s="26"/>
      <c r="AJ3042" s="26"/>
    </row>
    <row r="3043" spans="29:36">
      <c r="AC3043" s="26"/>
      <c r="AE3043" s="26"/>
      <c r="AF3043" s="26"/>
      <c r="AJ3043" s="26"/>
    </row>
    <row r="3044" spans="29:36">
      <c r="AC3044" s="26"/>
      <c r="AE3044" s="26"/>
      <c r="AF3044" s="26"/>
      <c r="AJ3044" s="26"/>
    </row>
    <row r="3045" spans="29:36">
      <c r="AC3045" s="26"/>
      <c r="AE3045" s="26"/>
      <c r="AF3045" s="26"/>
      <c r="AJ3045" s="26"/>
    </row>
    <row r="3046" spans="29:36">
      <c r="AC3046" s="26"/>
      <c r="AE3046" s="26"/>
      <c r="AF3046" s="26"/>
      <c r="AJ3046" s="26"/>
    </row>
    <row r="3047" spans="29:36">
      <c r="AC3047" s="26"/>
      <c r="AE3047" s="26"/>
      <c r="AF3047" s="26"/>
      <c r="AJ3047" s="26"/>
    </row>
    <row r="3048" spans="29:36">
      <c r="AC3048" s="26"/>
      <c r="AE3048" s="26"/>
      <c r="AF3048" s="26"/>
      <c r="AJ3048" s="26"/>
    </row>
    <row r="3049" spans="29:36">
      <c r="AC3049" s="26"/>
      <c r="AE3049" s="26"/>
      <c r="AF3049" s="26"/>
      <c r="AJ3049" s="26"/>
    </row>
    <row r="3050" spans="29:36">
      <c r="AC3050" s="26"/>
      <c r="AE3050" s="26"/>
      <c r="AF3050" s="26"/>
      <c r="AJ3050" s="26"/>
    </row>
    <row r="3051" spans="29:36">
      <c r="AC3051" s="26"/>
      <c r="AE3051" s="26"/>
      <c r="AF3051" s="26"/>
      <c r="AJ3051" s="26"/>
    </row>
    <row r="3052" spans="29:36">
      <c r="AC3052" s="26"/>
      <c r="AE3052" s="26"/>
      <c r="AF3052" s="26"/>
      <c r="AJ3052" s="26"/>
    </row>
    <row r="3053" spans="29:36">
      <c r="AC3053" s="26"/>
      <c r="AE3053" s="26"/>
      <c r="AF3053" s="26"/>
      <c r="AJ3053" s="26"/>
    </row>
    <row r="3054" spans="29:36">
      <c r="AC3054" s="26"/>
      <c r="AE3054" s="26"/>
      <c r="AF3054" s="26"/>
      <c r="AJ3054" s="26"/>
    </row>
    <row r="3055" spans="29:36">
      <c r="AC3055" s="26"/>
      <c r="AE3055" s="26"/>
      <c r="AF3055" s="26"/>
      <c r="AJ3055" s="26"/>
    </row>
    <row r="3056" spans="29:36">
      <c r="AC3056" s="26"/>
      <c r="AE3056" s="26"/>
      <c r="AF3056" s="26"/>
      <c r="AJ3056" s="26"/>
    </row>
    <row r="3057" spans="29:36">
      <c r="AC3057" s="26"/>
      <c r="AE3057" s="26"/>
      <c r="AF3057" s="26"/>
      <c r="AJ3057" s="26"/>
    </row>
    <row r="3058" spans="29:36">
      <c r="AC3058" s="26"/>
      <c r="AE3058" s="26"/>
      <c r="AF3058" s="26"/>
      <c r="AJ3058" s="26"/>
    </row>
    <row r="3059" spans="29:36">
      <c r="AC3059" s="26"/>
      <c r="AE3059" s="26"/>
      <c r="AF3059" s="26"/>
      <c r="AJ3059" s="26"/>
    </row>
    <row r="3060" spans="29:36">
      <c r="AC3060" s="26"/>
      <c r="AE3060" s="26"/>
      <c r="AF3060" s="26"/>
      <c r="AJ3060" s="26"/>
    </row>
    <row r="3061" spans="29:36">
      <c r="AC3061" s="26"/>
      <c r="AE3061" s="26"/>
      <c r="AF3061" s="26"/>
      <c r="AJ3061" s="26"/>
    </row>
    <row r="3062" spans="29:36">
      <c r="AC3062" s="26"/>
      <c r="AE3062" s="26"/>
      <c r="AF3062" s="26"/>
      <c r="AJ3062" s="26"/>
    </row>
    <row r="3063" spans="29:36">
      <c r="AC3063" s="26"/>
      <c r="AE3063" s="26"/>
      <c r="AF3063" s="26"/>
      <c r="AJ3063" s="26"/>
    </row>
    <row r="3064" spans="29:36">
      <c r="AC3064" s="26"/>
      <c r="AE3064" s="26"/>
      <c r="AF3064" s="26"/>
      <c r="AJ3064" s="26"/>
    </row>
    <row r="3065" spans="29:36">
      <c r="AC3065" s="26"/>
      <c r="AE3065" s="26"/>
      <c r="AF3065" s="26"/>
      <c r="AJ3065" s="26"/>
    </row>
    <row r="3066" spans="29:36">
      <c r="AC3066" s="26"/>
      <c r="AE3066" s="26"/>
      <c r="AF3066" s="26"/>
      <c r="AJ3066" s="26"/>
    </row>
    <row r="3067" spans="29:36">
      <c r="AC3067" s="26"/>
      <c r="AE3067" s="26"/>
      <c r="AF3067" s="26"/>
      <c r="AJ3067" s="26"/>
    </row>
    <row r="3068" spans="29:36">
      <c r="AC3068" s="26"/>
      <c r="AE3068" s="26"/>
      <c r="AF3068" s="26"/>
      <c r="AJ3068" s="26"/>
    </row>
    <row r="3069" spans="29:36">
      <c r="AC3069" s="26"/>
      <c r="AE3069" s="26"/>
      <c r="AF3069" s="26"/>
      <c r="AJ3069" s="26"/>
    </row>
    <row r="3070" spans="29:36">
      <c r="AC3070" s="26"/>
      <c r="AE3070" s="26"/>
      <c r="AF3070" s="26"/>
      <c r="AJ3070" s="26"/>
    </row>
    <row r="3071" spans="29:36">
      <c r="AC3071" s="26"/>
      <c r="AE3071" s="26"/>
      <c r="AF3071" s="26"/>
      <c r="AJ3071" s="26"/>
    </row>
    <row r="3072" spans="29:36">
      <c r="AC3072" s="26"/>
      <c r="AE3072" s="26"/>
      <c r="AF3072" s="26"/>
      <c r="AJ3072" s="26"/>
    </row>
    <row r="3073" spans="29:36">
      <c r="AC3073" s="26"/>
      <c r="AE3073" s="26"/>
      <c r="AF3073" s="26"/>
      <c r="AJ3073" s="26"/>
    </row>
    <row r="3074" spans="29:36">
      <c r="AC3074" s="26"/>
      <c r="AE3074" s="26"/>
      <c r="AF3074" s="26"/>
      <c r="AJ3074" s="26"/>
    </row>
    <row r="3075" spans="29:36">
      <c r="AC3075" s="26"/>
      <c r="AE3075" s="26"/>
      <c r="AF3075" s="26"/>
      <c r="AJ3075" s="26"/>
    </row>
    <row r="3076" spans="29:36">
      <c r="AC3076" s="26"/>
      <c r="AE3076" s="26"/>
      <c r="AF3076" s="26"/>
      <c r="AJ3076" s="26"/>
    </row>
    <row r="3077" spans="29:36">
      <c r="AC3077" s="26"/>
      <c r="AE3077" s="26"/>
      <c r="AF3077" s="26"/>
      <c r="AJ3077" s="26"/>
    </row>
    <row r="3078" spans="29:36">
      <c r="AC3078" s="26"/>
      <c r="AE3078" s="26"/>
      <c r="AF3078" s="26"/>
      <c r="AJ3078" s="26"/>
    </row>
    <row r="3079" spans="29:36">
      <c r="AC3079" s="26"/>
      <c r="AE3079" s="26"/>
      <c r="AF3079" s="26"/>
      <c r="AJ3079" s="26"/>
    </row>
    <row r="3080" spans="29:36">
      <c r="AC3080" s="26"/>
      <c r="AE3080" s="26"/>
      <c r="AF3080" s="26"/>
      <c r="AJ3080" s="26"/>
    </row>
    <row r="3081" spans="29:36">
      <c r="AC3081" s="26"/>
      <c r="AE3081" s="26"/>
      <c r="AF3081" s="26"/>
      <c r="AJ3081" s="26"/>
    </row>
    <row r="3082" spans="29:36">
      <c r="AC3082" s="26"/>
      <c r="AE3082" s="26"/>
      <c r="AF3082" s="26"/>
      <c r="AJ3082" s="26"/>
    </row>
    <row r="3083" spans="29:36">
      <c r="AC3083" s="26"/>
      <c r="AE3083" s="26"/>
      <c r="AF3083" s="26"/>
      <c r="AJ3083" s="26"/>
    </row>
    <row r="3084" spans="29:36">
      <c r="AC3084" s="26"/>
      <c r="AE3084" s="26"/>
      <c r="AF3084" s="26"/>
      <c r="AJ3084" s="26"/>
    </row>
    <row r="3085" spans="29:36">
      <c r="AC3085" s="26"/>
      <c r="AE3085" s="26"/>
      <c r="AF3085" s="26"/>
      <c r="AJ3085" s="26"/>
    </row>
    <row r="3086" spans="29:36">
      <c r="AC3086" s="26"/>
      <c r="AE3086" s="26"/>
      <c r="AF3086" s="26"/>
      <c r="AJ3086" s="26"/>
    </row>
    <row r="3087" spans="29:36">
      <c r="AC3087" s="26"/>
      <c r="AE3087" s="26"/>
      <c r="AF3087" s="26"/>
      <c r="AJ3087" s="26"/>
    </row>
    <row r="3088" spans="29:36">
      <c r="AC3088" s="26"/>
      <c r="AE3088" s="26"/>
      <c r="AF3088" s="26"/>
      <c r="AJ3088" s="26"/>
    </row>
    <row r="3089" spans="29:36">
      <c r="AC3089" s="26"/>
      <c r="AE3089" s="26"/>
      <c r="AF3089" s="26"/>
      <c r="AJ3089" s="26"/>
    </row>
    <row r="3090" spans="29:36">
      <c r="AC3090" s="26"/>
      <c r="AE3090" s="26"/>
      <c r="AF3090" s="26"/>
      <c r="AJ3090" s="26"/>
    </row>
    <row r="3091" spans="29:36">
      <c r="AC3091" s="26"/>
      <c r="AE3091" s="26"/>
      <c r="AF3091" s="26"/>
      <c r="AJ3091" s="26"/>
    </row>
    <row r="3092" spans="29:36">
      <c r="AC3092" s="26"/>
      <c r="AE3092" s="26"/>
      <c r="AF3092" s="26"/>
      <c r="AJ3092" s="26"/>
    </row>
    <row r="3093" spans="29:36">
      <c r="AC3093" s="26"/>
      <c r="AE3093" s="26"/>
      <c r="AF3093" s="26"/>
      <c r="AJ3093" s="26"/>
    </row>
    <row r="3094" spans="29:36">
      <c r="AC3094" s="26"/>
      <c r="AE3094" s="26"/>
      <c r="AF3094" s="26"/>
      <c r="AJ3094" s="26"/>
    </row>
    <row r="3095" spans="29:36">
      <c r="AC3095" s="26"/>
      <c r="AE3095" s="26"/>
      <c r="AF3095" s="26"/>
      <c r="AJ3095" s="26"/>
    </row>
    <row r="3096" spans="29:36">
      <c r="AC3096" s="26"/>
      <c r="AE3096" s="26"/>
      <c r="AF3096" s="26"/>
      <c r="AJ3096" s="26"/>
    </row>
    <row r="3097" spans="29:36">
      <c r="AC3097" s="26"/>
      <c r="AE3097" s="26"/>
      <c r="AF3097" s="26"/>
      <c r="AJ3097" s="26"/>
    </row>
    <row r="3098" spans="29:36">
      <c r="AC3098" s="26"/>
      <c r="AE3098" s="26"/>
      <c r="AF3098" s="26"/>
      <c r="AJ3098" s="26"/>
    </row>
    <row r="3099" spans="29:36">
      <c r="AC3099" s="26"/>
      <c r="AE3099" s="26"/>
      <c r="AF3099" s="26"/>
      <c r="AJ3099" s="26"/>
    </row>
    <row r="3100" spans="29:36">
      <c r="AC3100" s="26"/>
      <c r="AE3100" s="26"/>
      <c r="AF3100" s="26"/>
      <c r="AJ3100" s="26"/>
    </row>
    <row r="3101" spans="29:36">
      <c r="AC3101" s="26"/>
      <c r="AE3101" s="26"/>
      <c r="AF3101" s="26"/>
      <c r="AJ3101" s="26"/>
    </row>
    <row r="3102" spans="29:36">
      <c r="AC3102" s="26"/>
      <c r="AE3102" s="26"/>
      <c r="AF3102" s="26"/>
      <c r="AJ3102" s="26"/>
    </row>
    <row r="3103" spans="29:36">
      <c r="AC3103" s="26"/>
      <c r="AE3103" s="26"/>
      <c r="AF3103" s="26"/>
      <c r="AJ3103" s="26"/>
    </row>
    <row r="3104" spans="29:36">
      <c r="AC3104" s="26"/>
      <c r="AE3104" s="26"/>
      <c r="AF3104" s="26"/>
      <c r="AJ3104" s="26"/>
    </row>
    <row r="3105" spans="29:36">
      <c r="AC3105" s="26"/>
      <c r="AE3105" s="26"/>
      <c r="AF3105" s="26"/>
      <c r="AJ3105" s="26"/>
    </row>
    <row r="3106" spans="29:36">
      <c r="AC3106" s="26"/>
      <c r="AE3106" s="26"/>
      <c r="AF3106" s="26"/>
      <c r="AJ3106" s="26"/>
    </row>
    <row r="3107" spans="29:36">
      <c r="AC3107" s="26"/>
      <c r="AE3107" s="26"/>
      <c r="AF3107" s="26"/>
      <c r="AJ3107" s="26"/>
    </row>
    <row r="3108" spans="29:36">
      <c r="AC3108" s="26"/>
      <c r="AE3108" s="26"/>
      <c r="AF3108" s="26"/>
      <c r="AJ3108" s="26"/>
    </row>
    <row r="3109" spans="29:36">
      <c r="AC3109" s="26"/>
      <c r="AE3109" s="26"/>
      <c r="AF3109" s="26"/>
      <c r="AJ3109" s="26"/>
    </row>
    <row r="3110" spans="29:36">
      <c r="AC3110" s="26"/>
      <c r="AE3110" s="26"/>
      <c r="AF3110" s="26"/>
      <c r="AJ3110" s="26"/>
    </row>
    <row r="3111" spans="29:36">
      <c r="AC3111" s="26"/>
      <c r="AE3111" s="26"/>
      <c r="AF3111" s="26"/>
      <c r="AJ3111" s="26"/>
    </row>
    <row r="3112" spans="29:36">
      <c r="AC3112" s="26"/>
      <c r="AE3112" s="26"/>
      <c r="AF3112" s="26"/>
      <c r="AJ3112" s="26"/>
    </row>
    <row r="3113" spans="29:36">
      <c r="AC3113" s="26"/>
      <c r="AE3113" s="26"/>
      <c r="AF3113" s="26"/>
      <c r="AJ3113" s="26"/>
    </row>
    <row r="3114" spans="29:36">
      <c r="AC3114" s="26"/>
      <c r="AE3114" s="26"/>
      <c r="AF3114" s="26"/>
      <c r="AJ3114" s="26"/>
    </row>
    <row r="3115" spans="29:36">
      <c r="AC3115" s="26"/>
      <c r="AE3115" s="26"/>
      <c r="AF3115" s="26"/>
      <c r="AJ3115" s="26"/>
    </row>
    <row r="3116" spans="29:36">
      <c r="AC3116" s="26"/>
      <c r="AE3116" s="26"/>
      <c r="AF3116" s="26"/>
      <c r="AJ3116" s="26"/>
    </row>
    <row r="3117" spans="29:36">
      <c r="AC3117" s="26"/>
      <c r="AE3117" s="26"/>
      <c r="AF3117" s="26"/>
      <c r="AJ3117" s="26"/>
    </row>
    <row r="3118" spans="29:36">
      <c r="AC3118" s="26"/>
      <c r="AE3118" s="26"/>
      <c r="AF3118" s="26"/>
      <c r="AJ3118" s="26"/>
    </row>
    <row r="3119" spans="29:36">
      <c r="AC3119" s="26"/>
      <c r="AE3119" s="26"/>
      <c r="AF3119" s="26"/>
      <c r="AJ3119" s="26"/>
    </row>
    <row r="3120" spans="29:36">
      <c r="AC3120" s="26"/>
      <c r="AE3120" s="26"/>
      <c r="AF3120" s="26"/>
      <c r="AJ3120" s="26"/>
    </row>
    <row r="3121" spans="29:36">
      <c r="AC3121" s="26"/>
      <c r="AE3121" s="26"/>
      <c r="AF3121" s="26"/>
      <c r="AJ3121" s="26"/>
    </row>
    <row r="3122" spans="29:36">
      <c r="AC3122" s="26"/>
      <c r="AE3122" s="26"/>
      <c r="AF3122" s="26"/>
      <c r="AJ3122" s="26"/>
    </row>
    <row r="3123" spans="29:36">
      <c r="AC3123" s="26"/>
      <c r="AE3123" s="26"/>
      <c r="AF3123" s="26"/>
      <c r="AJ3123" s="26"/>
    </row>
    <row r="3124" spans="29:36">
      <c r="AC3124" s="26"/>
      <c r="AE3124" s="26"/>
      <c r="AF3124" s="26"/>
      <c r="AJ3124" s="26"/>
    </row>
    <row r="3125" spans="29:36">
      <c r="AC3125" s="26"/>
      <c r="AE3125" s="26"/>
      <c r="AF3125" s="26"/>
      <c r="AJ3125" s="26"/>
    </row>
    <row r="3126" spans="29:36">
      <c r="AC3126" s="26"/>
      <c r="AE3126" s="26"/>
      <c r="AF3126" s="26"/>
      <c r="AJ3126" s="26"/>
    </row>
    <row r="3127" spans="29:36">
      <c r="AC3127" s="26"/>
      <c r="AE3127" s="26"/>
      <c r="AF3127" s="26"/>
      <c r="AJ3127" s="26"/>
    </row>
    <row r="3128" spans="29:36">
      <c r="AC3128" s="26"/>
      <c r="AE3128" s="26"/>
      <c r="AF3128" s="26"/>
      <c r="AJ3128" s="26"/>
    </row>
    <row r="3129" spans="29:36">
      <c r="AC3129" s="26"/>
      <c r="AE3129" s="26"/>
      <c r="AF3129" s="26"/>
      <c r="AJ3129" s="26"/>
    </row>
    <row r="3130" spans="29:36">
      <c r="AC3130" s="26"/>
      <c r="AE3130" s="26"/>
      <c r="AF3130" s="26"/>
      <c r="AJ3130" s="26"/>
    </row>
    <row r="3131" spans="29:36">
      <c r="AC3131" s="26"/>
      <c r="AE3131" s="26"/>
      <c r="AF3131" s="26"/>
      <c r="AJ3131" s="26"/>
    </row>
    <row r="3132" spans="29:36">
      <c r="AC3132" s="26"/>
      <c r="AE3132" s="26"/>
      <c r="AF3132" s="26"/>
      <c r="AJ3132" s="26"/>
    </row>
    <row r="3133" spans="29:36">
      <c r="AC3133" s="26"/>
      <c r="AE3133" s="26"/>
      <c r="AF3133" s="26"/>
      <c r="AJ3133" s="26"/>
    </row>
    <row r="3134" spans="29:36">
      <c r="AC3134" s="26"/>
      <c r="AE3134" s="26"/>
      <c r="AF3134" s="26"/>
      <c r="AJ3134" s="26"/>
    </row>
    <row r="3135" spans="29:36">
      <c r="AC3135" s="26"/>
      <c r="AE3135" s="26"/>
      <c r="AF3135" s="26"/>
      <c r="AJ3135" s="26"/>
    </row>
    <row r="3136" spans="29:36">
      <c r="AC3136" s="26"/>
      <c r="AE3136" s="26"/>
      <c r="AF3136" s="26"/>
      <c r="AJ3136" s="26"/>
    </row>
    <row r="3137" spans="29:36">
      <c r="AC3137" s="26"/>
      <c r="AE3137" s="26"/>
      <c r="AF3137" s="26"/>
      <c r="AJ3137" s="26"/>
    </row>
    <row r="3138" spans="29:36">
      <c r="AC3138" s="26"/>
      <c r="AE3138" s="26"/>
      <c r="AF3138" s="26"/>
      <c r="AJ3138" s="26"/>
    </row>
    <row r="3139" spans="29:36">
      <c r="AC3139" s="26"/>
      <c r="AE3139" s="26"/>
      <c r="AF3139" s="26"/>
      <c r="AJ3139" s="26"/>
    </row>
    <row r="3140" spans="29:36">
      <c r="AC3140" s="26"/>
      <c r="AE3140" s="26"/>
      <c r="AF3140" s="26"/>
      <c r="AJ3140" s="26"/>
    </row>
    <row r="3141" spans="29:36">
      <c r="AC3141" s="26"/>
      <c r="AE3141" s="26"/>
      <c r="AF3141" s="26"/>
      <c r="AJ3141" s="26"/>
    </row>
    <row r="3142" spans="29:36">
      <c r="AC3142" s="26"/>
      <c r="AE3142" s="26"/>
      <c r="AF3142" s="26"/>
      <c r="AJ3142" s="26"/>
    </row>
    <row r="3143" spans="29:36">
      <c r="AC3143" s="26"/>
      <c r="AE3143" s="26"/>
      <c r="AF3143" s="26"/>
      <c r="AJ3143" s="26"/>
    </row>
    <row r="3144" spans="29:36">
      <c r="AC3144" s="26"/>
      <c r="AE3144" s="26"/>
      <c r="AF3144" s="26"/>
      <c r="AJ3144" s="26"/>
    </row>
    <row r="3145" spans="29:36">
      <c r="AC3145" s="26"/>
      <c r="AE3145" s="26"/>
      <c r="AF3145" s="26"/>
      <c r="AJ3145" s="26"/>
    </row>
    <row r="3146" spans="29:36">
      <c r="AC3146" s="26"/>
      <c r="AE3146" s="26"/>
      <c r="AF3146" s="26"/>
      <c r="AJ3146" s="26"/>
    </row>
    <row r="3147" spans="29:36">
      <c r="AC3147" s="26"/>
      <c r="AE3147" s="26"/>
      <c r="AF3147" s="26"/>
      <c r="AJ3147" s="26"/>
    </row>
    <row r="3148" spans="29:36">
      <c r="AC3148" s="26"/>
      <c r="AE3148" s="26"/>
      <c r="AF3148" s="26"/>
      <c r="AJ3148" s="26"/>
    </row>
    <row r="3149" spans="29:36">
      <c r="AC3149" s="26"/>
      <c r="AE3149" s="26"/>
      <c r="AF3149" s="26"/>
      <c r="AJ3149" s="26"/>
    </row>
    <row r="3150" spans="29:36">
      <c r="AC3150" s="26"/>
      <c r="AE3150" s="26"/>
      <c r="AF3150" s="26"/>
      <c r="AJ3150" s="26"/>
    </row>
    <row r="3151" spans="29:36">
      <c r="AC3151" s="26"/>
      <c r="AE3151" s="26"/>
      <c r="AF3151" s="26"/>
      <c r="AJ3151" s="26"/>
    </row>
    <row r="3152" spans="29:36">
      <c r="AC3152" s="26"/>
      <c r="AE3152" s="26"/>
      <c r="AF3152" s="26"/>
      <c r="AJ3152" s="26"/>
    </row>
    <row r="3153" spans="29:36">
      <c r="AC3153" s="26"/>
      <c r="AE3153" s="26"/>
      <c r="AF3153" s="26"/>
      <c r="AJ3153" s="26"/>
    </row>
    <row r="3154" spans="29:36">
      <c r="AC3154" s="26"/>
      <c r="AE3154" s="26"/>
      <c r="AF3154" s="26"/>
      <c r="AJ3154" s="26"/>
    </row>
    <row r="3155" spans="29:36">
      <c r="AC3155" s="26"/>
      <c r="AE3155" s="26"/>
      <c r="AF3155" s="26"/>
      <c r="AJ3155" s="26"/>
    </row>
    <row r="3156" spans="29:36">
      <c r="AC3156" s="26"/>
      <c r="AE3156" s="26"/>
      <c r="AF3156" s="26"/>
      <c r="AJ3156" s="26"/>
    </row>
    <row r="3157" spans="29:36">
      <c r="AC3157" s="26"/>
      <c r="AE3157" s="26"/>
      <c r="AF3157" s="26"/>
      <c r="AJ3157" s="26"/>
    </row>
    <row r="3158" spans="29:36">
      <c r="AC3158" s="26"/>
      <c r="AE3158" s="26"/>
      <c r="AF3158" s="26"/>
      <c r="AJ3158" s="26"/>
    </row>
    <row r="3159" spans="29:36">
      <c r="AC3159" s="26"/>
      <c r="AE3159" s="26"/>
      <c r="AF3159" s="26"/>
      <c r="AJ3159" s="26"/>
    </row>
    <row r="3160" spans="29:36">
      <c r="AC3160" s="26"/>
      <c r="AE3160" s="26"/>
      <c r="AF3160" s="26"/>
      <c r="AJ3160" s="26"/>
    </row>
    <row r="3161" spans="29:36">
      <c r="AC3161" s="26"/>
      <c r="AE3161" s="26"/>
      <c r="AF3161" s="26"/>
      <c r="AJ3161" s="26"/>
    </row>
    <row r="3162" spans="29:36">
      <c r="AC3162" s="26"/>
      <c r="AE3162" s="26"/>
      <c r="AF3162" s="26"/>
      <c r="AJ3162" s="26"/>
    </row>
    <row r="3163" spans="29:36">
      <c r="AC3163" s="26"/>
      <c r="AE3163" s="26"/>
      <c r="AF3163" s="26"/>
      <c r="AJ3163" s="26"/>
    </row>
    <row r="3164" spans="29:36">
      <c r="AC3164" s="26"/>
      <c r="AE3164" s="26"/>
      <c r="AF3164" s="26"/>
      <c r="AJ3164" s="26"/>
    </row>
    <row r="3165" spans="29:36">
      <c r="AC3165" s="26"/>
      <c r="AE3165" s="26"/>
      <c r="AF3165" s="26"/>
      <c r="AJ3165" s="26"/>
    </row>
    <row r="3166" spans="29:36">
      <c r="AC3166" s="26"/>
      <c r="AE3166" s="26"/>
      <c r="AF3166" s="26"/>
      <c r="AJ3166" s="26"/>
    </row>
    <row r="3167" spans="29:36">
      <c r="AC3167" s="26"/>
      <c r="AE3167" s="26"/>
      <c r="AF3167" s="26"/>
      <c r="AJ3167" s="26"/>
    </row>
    <row r="3168" spans="29:36">
      <c r="AC3168" s="26"/>
      <c r="AE3168" s="26"/>
      <c r="AF3168" s="26"/>
      <c r="AJ3168" s="26"/>
    </row>
    <row r="3169" spans="29:36">
      <c r="AC3169" s="26"/>
      <c r="AE3169" s="26"/>
      <c r="AF3169" s="26"/>
      <c r="AJ3169" s="26"/>
    </row>
    <row r="3170" spans="29:36">
      <c r="AC3170" s="26"/>
      <c r="AE3170" s="26"/>
      <c r="AF3170" s="26"/>
      <c r="AJ3170" s="26"/>
    </row>
    <row r="3171" spans="29:36">
      <c r="AC3171" s="26"/>
      <c r="AE3171" s="26"/>
      <c r="AF3171" s="26"/>
      <c r="AJ3171" s="26"/>
    </row>
    <row r="3172" spans="29:36">
      <c r="AC3172" s="26"/>
      <c r="AE3172" s="26"/>
      <c r="AF3172" s="26"/>
      <c r="AJ3172" s="26"/>
    </row>
    <row r="3173" spans="29:36">
      <c r="AC3173" s="26"/>
      <c r="AE3173" s="26"/>
      <c r="AF3173" s="26"/>
      <c r="AJ3173" s="26"/>
    </row>
    <row r="3174" spans="29:36">
      <c r="AC3174" s="26"/>
      <c r="AE3174" s="26"/>
      <c r="AF3174" s="26"/>
      <c r="AJ3174" s="26"/>
    </row>
    <row r="3175" spans="29:36">
      <c r="AC3175" s="26"/>
      <c r="AE3175" s="26"/>
      <c r="AF3175" s="26"/>
      <c r="AJ3175" s="26"/>
    </row>
    <row r="3176" spans="29:36">
      <c r="AC3176" s="26"/>
      <c r="AE3176" s="26"/>
      <c r="AF3176" s="26"/>
      <c r="AJ3176" s="26"/>
    </row>
    <row r="3177" spans="29:36">
      <c r="AC3177" s="26"/>
      <c r="AE3177" s="26"/>
      <c r="AF3177" s="26"/>
      <c r="AJ3177" s="26"/>
    </row>
    <row r="3178" spans="29:36">
      <c r="AC3178" s="26"/>
      <c r="AE3178" s="26"/>
      <c r="AF3178" s="26"/>
      <c r="AJ3178" s="26"/>
    </row>
    <row r="3179" spans="29:36">
      <c r="AC3179" s="26"/>
      <c r="AE3179" s="26"/>
      <c r="AF3179" s="26"/>
      <c r="AJ3179" s="26"/>
    </row>
    <row r="3180" spans="29:36">
      <c r="AC3180" s="26"/>
      <c r="AE3180" s="26"/>
      <c r="AF3180" s="26"/>
      <c r="AJ3180" s="26"/>
    </row>
    <row r="3181" spans="29:36">
      <c r="AC3181" s="26"/>
      <c r="AE3181" s="26"/>
      <c r="AF3181" s="26"/>
      <c r="AJ3181" s="26"/>
    </row>
    <row r="3182" spans="29:36">
      <c r="AC3182" s="26"/>
      <c r="AE3182" s="26"/>
      <c r="AF3182" s="26"/>
      <c r="AJ3182" s="26"/>
    </row>
    <row r="3183" spans="29:36">
      <c r="AC3183" s="26"/>
      <c r="AE3183" s="26"/>
      <c r="AF3183" s="26"/>
      <c r="AJ3183" s="26"/>
    </row>
    <row r="3184" spans="29:36">
      <c r="AC3184" s="26"/>
      <c r="AE3184" s="26"/>
      <c r="AF3184" s="26"/>
      <c r="AJ3184" s="26"/>
    </row>
    <row r="3185" spans="29:36">
      <c r="AC3185" s="26"/>
      <c r="AE3185" s="26"/>
      <c r="AF3185" s="26"/>
      <c r="AJ3185" s="26"/>
    </row>
    <row r="3186" spans="29:36">
      <c r="AC3186" s="26"/>
      <c r="AE3186" s="26"/>
      <c r="AF3186" s="26"/>
      <c r="AJ3186" s="26"/>
    </row>
    <row r="3187" spans="29:36">
      <c r="AC3187" s="26"/>
      <c r="AE3187" s="26"/>
      <c r="AF3187" s="26"/>
      <c r="AJ3187" s="26"/>
    </row>
    <row r="3188" spans="29:36">
      <c r="AC3188" s="26"/>
      <c r="AE3188" s="26"/>
      <c r="AF3188" s="26"/>
      <c r="AJ3188" s="26"/>
    </row>
    <row r="3189" spans="29:36">
      <c r="AC3189" s="26"/>
      <c r="AE3189" s="26"/>
      <c r="AF3189" s="26"/>
      <c r="AJ3189" s="26"/>
    </row>
    <row r="3190" spans="29:36">
      <c r="AC3190" s="26"/>
      <c r="AE3190" s="26"/>
      <c r="AF3190" s="26"/>
      <c r="AJ3190" s="26"/>
    </row>
    <row r="3191" spans="29:36">
      <c r="AC3191" s="26"/>
      <c r="AE3191" s="26"/>
      <c r="AF3191" s="26"/>
      <c r="AJ3191" s="26"/>
    </row>
    <row r="3192" spans="29:36">
      <c r="AC3192" s="26"/>
      <c r="AE3192" s="26"/>
      <c r="AF3192" s="26"/>
      <c r="AJ3192" s="26"/>
    </row>
    <row r="3193" spans="29:36">
      <c r="AC3193" s="26"/>
      <c r="AE3193" s="26"/>
      <c r="AF3193" s="26"/>
      <c r="AJ3193" s="26"/>
    </row>
    <row r="3194" spans="29:36">
      <c r="AC3194" s="26"/>
      <c r="AE3194" s="26"/>
      <c r="AF3194" s="26"/>
      <c r="AJ3194" s="26"/>
    </row>
    <row r="3195" spans="29:36">
      <c r="AC3195" s="26"/>
      <c r="AE3195" s="26"/>
      <c r="AF3195" s="26"/>
      <c r="AJ3195" s="26"/>
    </row>
    <row r="3196" spans="29:36">
      <c r="AC3196" s="26"/>
      <c r="AE3196" s="26"/>
      <c r="AF3196" s="26"/>
      <c r="AJ3196" s="26"/>
    </row>
    <row r="3197" spans="29:36">
      <c r="AC3197" s="26"/>
      <c r="AE3197" s="26"/>
      <c r="AF3197" s="26"/>
      <c r="AJ3197" s="26"/>
    </row>
    <row r="3198" spans="29:36">
      <c r="AC3198" s="26"/>
      <c r="AE3198" s="26"/>
      <c r="AF3198" s="26"/>
      <c r="AJ3198" s="26"/>
    </row>
    <row r="3199" spans="29:36">
      <c r="AC3199" s="26"/>
      <c r="AE3199" s="26"/>
      <c r="AF3199" s="26"/>
      <c r="AJ3199" s="26"/>
    </row>
    <row r="3200" spans="29:36">
      <c r="AC3200" s="26"/>
      <c r="AE3200" s="26"/>
      <c r="AF3200" s="26"/>
      <c r="AJ3200" s="26"/>
    </row>
    <row r="3201" spans="29:36">
      <c r="AC3201" s="26"/>
      <c r="AE3201" s="26"/>
      <c r="AF3201" s="26"/>
      <c r="AJ3201" s="26"/>
    </row>
    <row r="3202" spans="29:36">
      <c r="AC3202" s="26"/>
      <c r="AE3202" s="26"/>
      <c r="AF3202" s="26"/>
      <c r="AJ3202" s="26"/>
    </row>
    <row r="3203" spans="29:36">
      <c r="AC3203" s="26"/>
      <c r="AE3203" s="26"/>
      <c r="AF3203" s="26"/>
      <c r="AJ3203" s="26"/>
    </row>
    <row r="3204" spans="29:36">
      <c r="AC3204" s="26"/>
      <c r="AE3204" s="26"/>
      <c r="AF3204" s="26"/>
      <c r="AJ3204" s="26"/>
    </row>
    <row r="3205" spans="29:36">
      <c r="AC3205" s="26"/>
      <c r="AE3205" s="26"/>
      <c r="AF3205" s="26"/>
      <c r="AJ3205" s="26"/>
    </row>
    <row r="3206" spans="29:36">
      <c r="AC3206" s="26"/>
      <c r="AE3206" s="26"/>
      <c r="AF3206" s="26"/>
      <c r="AJ3206" s="26"/>
    </row>
    <row r="3207" spans="29:36">
      <c r="AC3207" s="26"/>
      <c r="AE3207" s="26"/>
      <c r="AF3207" s="26"/>
      <c r="AJ3207" s="26"/>
    </row>
    <row r="3208" spans="29:36">
      <c r="AC3208" s="26"/>
      <c r="AE3208" s="26"/>
      <c r="AF3208" s="26"/>
      <c r="AJ3208" s="26"/>
    </row>
    <row r="3209" spans="29:36">
      <c r="AC3209" s="26"/>
      <c r="AE3209" s="26"/>
      <c r="AF3209" s="26"/>
      <c r="AJ3209" s="26"/>
    </row>
    <row r="3210" spans="29:36">
      <c r="AC3210" s="26"/>
      <c r="AE3210" s="26"/>
      <c r="AF3210" s="26"/>
      <c r="AJ3210" s="26"/>
    </row>
    <row r="3211" spans="29:36">
      <c r="AC3211" s="26"/>
      <c r="AE3211" s="26"/>
      <c r="AF3211" s="26"/>
      <c r="AJ3211" s="26"/>
    </row>
    <row r="3212" spans="29:36">
      <c r="AC3212" s="26"/>
      <c r="AE3212" s="26"/>
      <c r="AF3212" s="26"/>
      <c r="AJ3212" s="26"/>
    </row>
    <row r="3213" spans="29:36">
      <c r="AC3213" s="26"/>
      <c r="AE3213" s="26"/>
      <c r="AF3213" s="26"/>
      <c r="AJ3213" s="26"/>
    </row>
    <row r="3214" spans="29:36">
      <c r="AC3214" s="26"/>
      <c r="AE3214" s="26"/>
      <c r="AF3214" s="26"/>
      <c r="AJ3214" s="26"/>
    </row>
    <row r="3215" spans="29:36">
      <c r="AC3215" s="26"/>
      <c r="AE3215" s="26"/>
      <c r="AF3215" s="26"/>
      <c r="AJ3215" s="26"/>
    </row>
    <row r="3216" spans="29:36">
      <c r="AC3216" s="26"/>
      <c r="AE3216" s="26"/>
      <c r="AF3216" s="26"/>
      <c r="AJ3216" s="26"/>
    </row>
    <row r="3217" spans="29:36">
      <c r="AC3217" s="26"/>
      <c r="AE3217" s="26"/>
      <c r="AF3217" s="26"/>
      <c r="AJ3217" s="26"/>
    </row>
    <row r="3218" spans="29:36">
      <c r="AC3218" s="26"/>
      <c r="AE3218" s="26"/>
      <c r="AF3218" s="26"/>
      <c r="AJ3218" s="26"/>
    </row>
    <row r="3219" spans="29:36">
      <c r="AC3219" s="26"/>
      <c r="AE3219" s="26"/>
      <c r="AF3219" s="26"/>
      <c r="AJ3219" s="26"/>
    </row>
    <row r="3220" spans="29:36">
      <c r="AC3220" s="26"/>
      <c r="AE3220" s="26"/>
      <c r="AF3220" s="26"/>
      <c r="AJ3220" s="26"/>
    </row>
    <row r="3221" spans="29:36">
      <c r="AC3221" s="26"/>
      <c r="AE3221" s="26"/>
      <c r="AF3221" s="26"/>
      <c r="AJ3221" s="26"/>
    </row>
    <row r="3222" spans="29:36">
      <c r="AC3222" s="26"/>
      <c r="AE3222" s="26"/>
      <c r="AF3222" s="26"/>
      <c r="AJ3222" s="26"/>
    </row>
    <row r="3223" spans="29:36">
      <c r="AC3223" s="26"/>
      <c r="AE3223" s="26"/>
      <c r="AF3223" s="26"/>
      <c r="AJ3223" s="26"/>
    </row>
    <row r="3224" spans="29:36">
      <c r="AC3224" s="26"/>
      <c r="AE3224" s="26"/>
      <c r="AF3224" s="26"/>
      <c r="AJ3224" s="26"/>
    </row>
    <row r="3225" spans="29:36">
      <c r="AC3225" s="26"/>
      <c r="AE3225" s="26"/>
      <c r="AF3225" s="26"/>
      <c r="AJ3225" s="26"/>
    </row>
    <row r="3226" spans="29:36">
      <c r="AC3226" s="26"/>
      <c r="AE3226" s="26"/>
      <c r="AF3226" s="26"/>
      <c r="AJ3226" s="26"/>
    </row>
    <row r="3227" spans="29:36">
      <c r="AC3227" s="26"/>
      <c r="AE3227" s="26"/>
      <c r="AF3227" s="26"/>
      <c r="AJ3227" s="26"/>
    </row>
    <row r="3228" spans="29:36">
      <c r="AC3228" s="26"/>
      <c r="AE3228" s="26"/>
      <c r="AF3228" s="26"/>
      <c r="AJ3228" s="26"/>
    </row>
    <row r="3229" spans="29:36">
      <c r="AC3229" s="26"/>
      <c r="AE3229" s="26"/>
      <c r="AF3229" s="26"/>
      <c r="AJ3229" s="26"/>
    </row>
    <row r="3230" spans="29:36">
      <c r="AC3230" s="26"/>
      <c r="AE3230" s="26"/>
      <c r="AF3230" s="26"/>
      <c r="AJ3230" s="26"/>
    </row>
    <row r="3231" spans="29:36">
      <c r="AC3231" s="26"/>
      <c r="AE3231" s="26"/>
      <c r="AF3231" s="26"/>
      <c r="AJ3231" s="26"/>
    </row>
    <row r="3232" spans="29:36">
      <c r="AC3232" s="26"/>
      <c r="AE3232" s="26"/>
      <c r="AF3232" s="26"/>
      <c r="AJ3232" s="26"/>
    </row>
    <row r="3233" spans="29:36">
      <c r="AC3233" s="26"/>
      <c r="AE3233" s="26"/>
      <c r="AF3233" s="26"/>
      <c r="AJ3233" s="26"/>
    </row>
    <row r="3234" spans="29:36">
      <c r="AC3234" s="26"/>
      <c r="AE3234" s="26"/>
      <c r="AF3234" s="26"/>
      <c r="AJ3234" s="26"/>
    </row>
    <row r="3235" spans="29:36">
      <c r="AC3235" s="26"/>
      <c r="AE3235" s="26"/>
      <c r="AF3235" s="26"/>
      <c r="AJ3235" s="26"/>
    </row>
    <row r="3236" spans="29:36">
      <c r="AC3236" s="26"/>
      <c r="AE3236" s="26"/>
      <c r="AF3236" s="26"/>
      <c r="AJ3236" s="26"/>
    </row>
    <row r="3237" spans="29:36">
      <c r="AC3237" s="26"/>
      <c r="AE3237" s="26"/>
      <c r="AF3237" s="26"/>
      <c r="AJ3237" s="26"/>
    </row>
    <row r="3238" spans="29:36">
      <c r="AC3238" s="26"/>
      <c r="AE3238" s="26"/>
      <c r="AF3238" s="26"/>
      <c r="AJ3238" s="26"/>
    </row>
    <row r="3239" spans="29:36">
      <c r="AC3239" s="26"/>
      <c r="AE3239" s="26"/>
      <c r="AF3239" s="26"/>
      <c r="AJ3239" s="26"/>
    </row>
    <row r="3240" spans="29:36">
      <c r="AC3240" s="26"/>
      <c r="AE3240" s="26"/>
      <c r="AF3240" s="26"/>
      <c r="AJ3240" s="26"/>
    </row>
    <row r="3241" spans="29:36">
      <c r="AC3241" s="26"/>
      <c r="AE3241" s="26"/>
      <c r="AF3241" s="26"/>
      <c r="AJ3241" s="26"/>
    </row>
    <row r="3242" spans="29:36">
      <c r="AC3242" s="26"/>
      <c r="AE3242" s="26"/>
      <c r="AF3242" s="26"/>
      <c r="AJ3242" s="26"/>
    </row>
    <row r="3243" spans="29:36">
      <c r="AC3243" s="26"/>
      <c r="AE3243" s="26"/>
      <c r="AF3243" s="26"/>
      <c r="AJ3243" s="26"/>
    </row>
    <row r="3244" spans="29:36">
      <c r="AC3244" s="26"/>
      <c r="AE3244" s="26"/>
      <c r="AF3244" s="26"/>
      <c r="AJ3244" s="26"/>
    </row>
    <row r="3245" spans="29:36">
      <c r="AC3245" s="26"/>
      <c r="AE3245" s="26"/>
      <c r="AF3245" s="26"/>
      <c r="AJ3245" s="26"/>
    </row>
    <row r="3246" spans="29:36">
      <c r="AC3246" s="26"/>
      <c r="AE3246" s="26"/>
      <c r="AF3246" s="26"/>
      <c r="AJ3246" s="26"/>
    </row>
    <row r="3247" spans="29:36">
      <c r="AC3247" s="26"/>
      <c r="AE3247" s="26"/>
      <c r="AF3247" s="26"/>
      <c r="AJ3247" s="26"/>
    </row>
    <row r="3248" spans="29:36">
      <c r="AC3248" s="26"/>
      <c r="AE3248" s="26"/>
      <c r="AF3248" s="26"/>
      <c r="AJ3248" s="26"/>
    </row>
    <row r="3249" spans="29:36">
      <c r="AC3249" s="26"/>
      <c r="AE3249" s="26"/>
      <c r="AF3249" s="26"/>
      <c r="AJ3249" s="26"/>
    </row>
    <row r="3250" spans="29:36">
      <c r="AC3250" s="26"/>
      <c r="AE3250" s="26"/>
      <c r="AF3250" s="26"/>
      <c r="AJ3250" s="26"/>
    </row>
    <row r="3251" spans="29:36">
      <c r="AC3251" s="26"/>
      <c r="AE3251" s="26"/>
      <c r="AF3251" s="26"/>
      <c r="AJ3251" s="26"/>
    </row>
    <row r="3252" spans="29:36">
      <c r="AC3252" s="26"/>
      <c r="AE3252" s="26"/>
      <c r="AF3252" s="26"/>
      <c r="AJ3252" s="26"/>
    </row>
    <row r="3253" spans="29:36">
      <c r="AC3253" s="26"/>
      <c r="AE3253" s="26"/>
      <c r="AF3253" s="26"/>
      <c r="AJ3253" s="26"/>
    </row>
    <row r="3254" spans="29:36">
      <c r="AC3254" s="26"/>
      <c r="AE3254" s="26"/>
      <c r="AF3254" s="26"/>
      <c r="AJ3254" s="26"/>
    </row>
    <row r="3255" spans="29:36">
      <c r="AC3255" s="26"/>
      <c r="AE3255" s="26"/>
      <c r="AF3255" s="26"/>
      <c r="AJ3255" s="26"/>
    </row>
    <row r="3256" spans="29:36">
      <c r="AC3256" s="26"/>
      <c r="AE3256" s="26"/>
      <c r="AF3256" s="26"/>
      <c r="AJ3256" s="26"/>
    </row>
    <row r="3257" spans="29:36">
      <c r="AC3257" s="26"/>
      <c r="AE3257" s="26"/>
      <c r="AF3257" s="26"/>
      <c r="AJ3257" s="26"/>
    </row>
    <row r="3258" spans="29:36">
      <c r="AC3258" s="26"/>
      <c r="AE3258" s="26"/>
      <c r="AF3258" s="26"/>
      <c r="AJ3258" s="26"/>
    </row>
    <row r="3259" spans="29:36">
      <c r="AC3259" s="26"/>
      <c r="AE3259" s="26"/>
      <c r="AF3259" s="26"/>
      <c r="AJ3259" s="26"/>
    </row>
    <row r="3260" spans="29:36">
      <c r="AC3260" s="26"/>
      <c r="AE3260" s="26"/>
      <c r="AF3260" s="26"/>
      <c r="AJ3260" s="26"/>
    </row>
    <row r="3261" spans="29:36">
      <c r="AC3261" s="26"/>
      <c r="AE3261" s="26"/>
      <c r="AF3261" s="26"/>
      <c r="AJ3261" s="26"/>
    </row>
    <row r="3262" spans="29:36">
      <c r="AC3262" s="26"/>
      <c r="AE3262" s="26"/>
      <c r="AF3262" s="26"/>
      <c r="AJ3262" s="26"/>
    </row>
    <row r="3263" spans="29:36">
      <c r="AC3263" s="26"/>
      <c r="AE3263" s="26"/>
      <c r="AF3263" s="26"/>
      <c r="AJ3263" s="26"/>
    </row>
    <row r="3264" spans="29:36">
      <c r="AC3264" s="26"/>
      <c r="AE3264" s="26"/>
      <c r="AF3264" s="26"/>
      <c r="AJ3264" s="26"/>
    </row>
    <row r="3265" spans="29:36">
      <c r="AC3265" s="26"/>
      <c r="AE3265" s="26"/>
      <c r="AF3265" s="26"/>
      <c r="AJ3265" s="26"/>
    </row>
    <row r="3266" spans="29:36">
      <c r="AC3266" s="26"/>
      <c r="AE3266" s="26"/>
      <c r="AF3266" s="26"/>
      <c r="AJ3266" s="26"/>
    </row>
    <row r="3267" spans="29:36">
      <c r="AC3267" s="26"/>
      <c r="AE3267" s="26"/>
      <c r="AF3267" s="26"/>
      <c r="AJ3267" s="26"/>
    </row>
    <row r="3268" spans="29:36">
      <c r="AC3268" s="26"/>
      <c r="AE3268" s="26"/>
      <c r="AF3268" s="26"/>
      <c r="AJ3268" s="26"/>
    </row>
    <row r="3269" spans="29:36">
      <c r="AC3269" s="26"/>
      <c r="AE3269" s="26"/>
      <c r="AF3269" s="26"/>
      <c r="AJ3269" s="26"/>
    </row>
    <row r="3270" spans="29:36">
      <c r="AC3270" s="26"/>
      <c r="AE3270" s="26"/>
      <c r="AF3270" s="26"/>
      <c r="AJ3270" s="26"/>
    </row>
    <row r="3271" spans="29:36">
      <c r="AC3271" s="26"/>
      <c r="AE3271" s="26"/>
      <c r="AF3271" s="26"/>
      <c r="AJ3271" s="26"/>
    </row>
    <row r="3272" spans="29:36">
      <c r="AC3272" s="26"/>
      <c r="AE3272" s="26"/>
      <c r="AF3272" s="26"/>
      <c r="AJ3272" s="26"/>
    </row>
    <row r="3273" spans="29:36">
      <c r="AC3273" s="26"/>
      <c r="AE3273" s="26"/>
      <c r="AF3273" s="26"/>
      <c r="AJ3273" s="26"/>
    </row>
    <row r="3274" spans="29:36">
      <c r="AC3274" s="26"/>
      <c r="AE3274" s="26"/>
      <c r="AF3274" s="26"/>
      <c r="AJ3274" s="26"/>
    </row>
    <row r="3275" spans="29:36">
      <c r="AC3275" s="26"/>
      <c r="AE3275" s="26"/>
      <c r="AF3275" s="26"/>
      <c r="AJ3275" s="26"/>
    </row>
    <row r="3276" spans="29:36">
      <c r="AC3276" s="26"/>
      <c r="AE3276" s="26"/>
      <c r="AF3276" s="26"/>
      <c r="AJ3276" s="26"/>
    </row>
    <row r="3277" spans="29:36">
      <c r="AC3277" s="26"/>
      <c r="AE3277" s="26"/>
      <c r="AF3277" s="26"/>
      <c r="AJ3277" s="26"/>
    </row>
    <row r="3278" spans="29:36">
      <c r="AC3278" s="26"/>
      <c r="AE3278" s="26"/>
      <c r="AF3278" s="26"/>
      <c r="AJ3278" s="26"/>
    </row>
    <row r="3279" spans="29:36">
      <c r="AC3279" s="26"/>
      <c r="AE3279" s="26"/>
      <c r="AF3279" s="26"/>
      <c r="AJ3279" s="26"/>
    </row>
    <row r="3280" spans="29:36">
      <c r="AC3280" s="26"/>
      <c r="AE3280" s="26"/>
      <c r="AF3280" s="26"/>
      <c r="AJ3280" s="26"/>
    </row>
    <row r="3281" spans="29:36">
      <c r="AC3281" s="26"/>
      <c r="AE3281" s="26"/>
      <c r="AF3281" s="26"/>
      <c r="AJ3281" s="26"/>
    </row>
    <row r="3282" spans="29:36">
      <c r="AC3282" s="26"/>
      <c r="AE3282" s="26"/>
      <c r="AF3282" s="26"/>
      <c r="AJ3282" s="26"/>
    </row>
    <row r="3283" spans="29:36">
      <c r="AC3283" s="26"/>
      <c r="AE3283" s="26"/>
      <c r="AF3283" s="26"/>
      <c r="AJ3283" s="26"/>
    </row>
    <row r="3284" spans="29:36">
      <c r="AC3284" s="26"/>
      <c r="AE3284" s="26"/>
      <c r="AF3284" s="26"/>
      <c r="AJ3284" s="26"/>
    </row>
    <row r="3285" spans="29:36">
      <c r="AC3285" s="26"/>
      <c r="AE3285" s="26"/>
      <c r="AF3285" s="26"/>
      <c r="AJ3285" s="26"/>
    </row>
    <row r="3286" spans="29:36">
      <c r="AC3286" s="26"/>
      <c r="AE3286" s="26"/>
      <c r="AF3286" s="26"/>
      <c r="AJ3286" s="26"/>
    </row>
    <row r="3287" spans="29:36">
      <c r="AC3287" s="26"/>
      <c r="AE3287" s="26"/>
      <c r="AF3287" s="26"/>
      <c r="AJ3287" s="26"/>
    </row>
    <row r="3288" spans="29:36">
      <c r="AC3288" s="26"/>
      <c r="AE3288" s="26"/>
      <c r="AF3288" s="26"/>
      <c r="AJ3288" s="26"/>
    </row>
    <row r="3289" spans="29:36">
      <c r="AC3289" s="26"/>
      <c r="AE3289" s="26"/>
      <c r="AF3289" s="26"/>
      <c r="AJ3289" s="26"/>
    </row>
    <row r="3290" spans="29:36">
      <c r="AC3290" s="26"/>
      <c r="AE3290" s="26"/>
      <c r="AF3290" s="26"/>
      <c r="AJ3290" s="26"/>
    </row>
    <row r="3291" spans="29:36">
      <c r="AC3291" s="26"/>
      <c r="AE3291" s="26"/>
      <c r="AF3291" s="26"/>
      <c r="AJ3291" s="26"/>
    </row>
    <row r="3292" spans="29:36">
      <c r="AC3292" s="26"/>
      <c r="AE3292" s="26"/>
      <c r="AF3292" s="26"/>
      <c r="AJ3292" s="26"/>
    </row>
    <row r="3293" spans="29:36">
      <c r="AC3293" s="26"/>
      <c r="AE3293" s="26"/>
      <c r="AF3293" s="26"/>
      <c r="AJ3293" s="26"/>
    </row>
    <row r="3294" spans="29:36">
      <c r="AC3294" s="26"/>
      <c r="AE3294" s="26"/>
      <c r="AF3294" s="26"/>
      <c r="AJ3294" s="26"/>
    </row>
    <row r="3295" spans="29:36">
      <c r="AC3295" s="26"/>
      <c r="AE3295" s="26"/>
      <c r="AF3295" s="26"/>
      <c r="AJ3295" s="26"/>
    </row>
    <row r="3296" spans="29:36">
      <c r="AC3296" s="26"/>
      <c r="AE3296" s="26"/>
      <c r="AF3296" s="26"/>
      <c r="AJ3296" s="26"/>
    </row>
    <row r="3297" spans="29:36">
      <c r="AC3297" s="26"/>
      <c r="AE3297" s="26"/>
      <c r="AF3297" s="26"/>
      <c r="AJ3297" s="26"/>
    </row>
    <row r="3298" spans="29:36">
      <c r="AC3298" s="26"/>
      <c r="AE3298" s="26"/>
      <c r="AF3298" s="26"/>
      <c r="AJ3298" s="26"/>
    </row>
    <row r="3299" spans="29:36">
      <c r="AC3299" s="26"/>
      <c r="AE3299" s="26"/>
      <c r="AF3299" s="26"/>
      <c r="AJ3299" s="26"/>
    </row>
    <row r="3300" spans="29:36">
      <c r="AC3300" s="26"/>
      <c r="AE3300" s="26"/>
      <c r="AF3300" s="26"/>
      <c r="AJ3300" s="26"/>
    </row>
    <row r="3301" spans="29:36">
      <c r="AC3301" s="26"/>
      <c r="AE3301" s="26"/>
      <c r="AF3301" s="26"/>
      <c r="AJ3301" s="26"/>
    </row>
    <row r="3302" spans="29:36">
      <c r="AC3302" s="26"/>
      <c r="AE3302" s="26"/>
      <c r="AF3302" s="26"/>
      <c r="AJ3302" s="26"/>
    </row>
    <row r="3303" spans="29:36">
      <c r="AC3303" s="26"/>
      <c r="AE3303" s="26"/>
      <c r="AF3303" s="26"/>
      <c r="AJ3303" s="26"/>
    </row>
    <row r="3304" spans="29:36">
      <c r="AC3304" s="26"/>
      <c r="AE3304" s="26"/>
      <c r="AF3304" s="26"/>
      <c r="AJ3304" s="26"/>
    </row>
    <row r="3305" spans="29:36">
      <c r="AC3305" s="26"/>
      <c r="AE3305" s="26"/>
      <c r="AF3305" s="26"/>
      <c r="AJ3305" s="26"/>
    </row>
    <row r="3306" spans="29:36">
      <c r="AC3306" s="26"/>
      <c r="AE3306" s="26"/>
      <c r="AF3306" s="26"/>
      <c r="AJ3306" s="26"/>
    </row>
    <row r="3307" spans="29:36">
      <c r="AC3307" s="26"/>
      <c r="AE3307" s="26"/>
      <c r="AF3307" s="26"/>
      <c r="AJ3307" s="26"/>
    </row>
    <row r="3308" spans="29:36">
      <c r="AC3308" s="26"/>
      <c r="AE3308" s="26"/>
      <c r="AF3308" s="26"/>
      <c r="AJ3308" s="26"/>
    </row>
    <row r="3309" spans="29:36">
      <c r="AC3309" s="26"/>
      <c r="AE3309" s="26"/>
      <c r="AF3309" s="26"/>
      <c r="AJ3309" s="26"/>
    </row>
    <row r="3310" spans="29:36">
      <c r="AC3310" s="26"/>
      <c r="AE3310" s="26"/>
      <c r="AF3310" s="26"/>
      <c r="AJ3310" s="26"/>
    </row>
    <row r="3311" spans="29:36">
      <c r="AC3311" s="26"/>
      <c r="AE3311" s="26"/>
      <c r="AF3311" s="26"/>
      <c r="AJ3311" s="26"/>
    </row>
    <row r="3312" spans="29:36">
      <c r="AC3312" s="26"/>
      <c r="AE3312" s="26"/>
      <c r="AF3312" s="26"/>
      <c r="AJ3312" s="26"/>
    </row>
    <row r="3313" spans="29:36">
      <c r="AC3313" s="26"/>
      <c r="AE3313" s="26"/>
      <c r="AF3313" s="26"/>
      <c r="AJ3313" s="26"/>
    </row>
    <row r="3314" spans="29:36">
      <c r="AC3314" s="26"/>
      <c r="AE3314" s="26"/>
      <c r="AF3314" s="26"/>
      <c r="AJ3314" s="26"/>
    </row>
    <row r="3315" spans="29:36">
      <c r="AC3315" s="26"/>
      <c r="AE3315" s="26"/>
      <c r="AF3315" s="26"/>
      <c r="AJ3315" s="26"/>
    </row>
    <row r="3316" spans="29:36">
      <c r="AC3316" s="26"/>
      <c r="AE3316" s="26"/>
      <c r="AF3316" s="26"/>
      <c r="AJ3316" s="26"/>
    </row>
    <row r="3317" spans="29:36">
      <c r="AC3317" s="26"/>
      <c r="AE3317" s="26"/>
      <c r="AF3317" s="26"/>
      <c r="AJ3317" s="26"/>
    </row>
    <row r="3318" spans="29:36">
      <c r="AC3318" s="26"/>
      <c r="AE3318" s="26"/>
      <c r="AF3318" s="26"/>
      <c r="AJ3318" s="26"/>
    </row>
    <row r="3319" spans="29:36">
      <c r="AC3319" s="26"/>
      <c r="AE3319" s="26"/>
      <c r="AF3319" s="26"/>
      <c r="AJ3319" s="26"/>
    </row>
    <row r="3320" spans="29:36">
      <c r="AC3320" s="26"/>
      <c r="AE3320" s="26"/>
      <c r="AF3320" s="26"/>
      <c r="AJ3320" s="26"/>
    </row>
    <row r="3321" spans="29:36">
      <c r="AC3321" s="26"/>
      <c r="AE3321" s="26"/>
      <c r="AF3321" s="26"/>
      <c r="AJ3321" s="26"/>
    </row>
    <row r="3322" spans="29:36">
      <c r="AC3322" s="26"/>
      <c r="AE3322" s="26"/>
      <c r="AF3322" s="26"/>
      <c r="AJ3322" s="26"/>
    </row>
    <row r="3323" spans="29:36">
      <c r="AC3323" s="26"/>
      <c r="AE3323" s="26"/>
      <c r="AF3323" s="26"/>
      <c r="AJ3323" s="26"/>
    </row>
    <row r="3324" spans="29:36">
      <c r="AC3324" s="26"/>
      <c r="AE3324" s="26"/>
      <c r="AF3324" s="26"/>
      <c r="AJ3324" s="26"/>
    </row>
    <row r="3325" spans="29:36">
      <c r="AC3325" s="26"/>
      <c r="AE3325" s="26"/>
      <c r="AF3325" s="26"/>
      <c r="AJ3325" s="26"/>
    </row>
    <row r="3326" spans="29:36">
      <c r="AC3326" s="26"/>
      <c r="AE3326" s="26"/>
      <c r="AF3326" s="26"/>
      <c r="AJ3326" s="26"/>
    </row>
    <row r="3327" spans="29:36">
      <c r="AC3327" s="26"/>
      <c r="AE3327" s="26"/>
      <c r="AF3327" s="26"/>
      <c r="AJ3327" s="26"/>
    </row>
    <row r="3328" spans="29:36">
      <c r="AC3328" s="26"/>
      <c r="AE3328" s="26"/>
      <c r="AF3328" s="26"/>
      <c r="AJ3328" s="26"/>
    </row>
    <row r="3329" spans="29:36">
      <c r="AC3329" s="26"/>
      <c r="AE3329" s="26"/>
      <c r="AF3329" s="26"/>
      <c r="AJ3329" s="26"/>
    </row>
    <row r="3330" spans="29:36">
      <c r="AC3330" s="26"/>
      <c r="AE3330" s="26"/>
      <c r="AF3330" s="26"/>
      <c r="AJ3330" s="26"/>
    </row>
    <row r="3331" spans="29:36">
      <c r="AC3331" s="26"/>
      <c r="AE3331" s="26"/>
      <c r="AF3331" s="26"/>
      <c r="AJ3331" s="26"/>
    </row>
    <row r="3332" spans="29:36">
      <c r="AC3332" s="26"/>
      <c r="AE3332" s="26"/>
      <c r="AF3332" s="26"/>
      <c r="AJ3332" s="26"/>
    </row>
    <row r="3333" spans="29:36">
      <c r="AC3333" s="26"/>
      <c r="AE3333" s="26"/>
      <c r="AF3333" s="26"/>
      <c r="AJ3333" s="26"/>
    </row>
    <row r="3334" spans="29:36">
      <c r="AC3334" s="26"/>
      <c r="AE3334" s="26"/>
      <c r="AF3334" s="26"/>
      <c r="AJ3334" s="26"/>
    </row>
    <row r="3335" spans="29:36">
      <c r="AC3335" s="26"/>
      <c r="AE3335" s="26"/>
      <c r="AF3335" s="26"/>
      <c r="AJ3335" s="26"/>
    </row>
    <row r="3336" spans="29:36">
      <c r="AC3336" s="26"/>
      <c r="AE3336" s="26"/>
      <c r="AF3336" s="26"/>
      <c r="AJ3336" s="26"/>
    </row>
    <row r="3337" spans="29:36">
      <c r="AC3337" s="26"/>
      <c r="AE3337" s="26"/>
      <c r="AF3337" s="26"/>
      <c r="AJ3337" s="26"/>
    </row>
    <row r="3338" spans="29:36">
      <c r="AC3338" s="26"/>
      <c r="AE3338" s="26"/>
      <c r="AF3338" s="26"/>
      <c r="AJ3338" s="26"/>
    </row>
    <row r="3339" spans="29:36">
      <c r="AC3339" s="26"/>
      <c r="AE3339" s="26"/>
      <c r="AF3339" s="26"/>
      <c r="AJ3339" s="26"/>
    </row>
    <row r="3340" spans="29:36">
      <c r="AC3340" s="26"/>
      <c r="AE3340" s="26"/>
      <c r="AF3340" s="26"/>
      <c r="AJ3340" s="26"/>
    </row>
    <row r="3341" spans="29:36">
      <c r="AC3341" s="26"/>
      <c r="AE3341" s="26"/>
      <c r="AF3341" s="26"/>
      <c r="AJ3341" s="26"/>
    </row>
    <row r="3342" spans="29:36">
      <c r="AC3342" s="26"/>
      <c r="AE3342" s="26"/>
      <c r="AF3342" s="26"/>
      <c r="AJ3342" s="26"/>
    </row>
    <row r="3343" spans="29:36">
      <c r="AC3343" s="26"/>
      <c r="AE3343" s="26"/>
      <c r="AF3343" s="26"/>
      <c r="AJ3343" s="26"/>
    </row>
    <row r="3344" spans="29:36">
      <c r="AC3344" s="26"/>
      <c r="AE3344" s="26"/>
      <c r="AF3344" s="26"/>
      <c r="AJ3344" s="26"/>
    </row>
    <row r="3345" spans="29:36">
      <c r="AC3345" s="26"/>
      <c r="AE3345" s="26"/>
      <c r="AF3345" s="26"/>
      <c r="AJ3345" s="26"/>
    </row>
    <row r="3346" spans="29:36">
      <c r="AC3346" s="26"/>
      <c r="AE3346" s="26"/>
      <c r="AF3346" s="26"/>
      <c r="AJ3346" s="26"/>
    </row>
    <row r="3347" spans="29:36">
      <c r="AC3347" s="26"/>
      <c r="AE3347" s="26"/>
      <c r="AF3347" s="26"/>
      <c r="AJ3347" s="26"/>
    </row>
    <row r="3348" spans="29:36">
      <c r="AC3348" s="26"/>
      <c r="AE3348" s="26"/>
      <c r="AF3348" s="26"/>
      <c r="AJ3348" s="26"/>
    </row>
    <row r="3349" spans="29:36">
      <c r="AC3349" s="26"/>
      <c r="AE3349" s="26"/>
      <c r="AF3349" s="26"/>
      <c r="AJ3349" s="26"/>
    </row>
    <row r="3350" spans="29:36">
      <c r="AC3350" s="26"/>
      <c r="AE3350" s="26"/>
      <c r="AF3350" s="26"/>
      <c r="AJ3350" s="26"/>
    </row>
    <row r="3351" spans="29:36">
      <c r="AC3351" s="26"/>
      <c r="AE3351" s="26"/>
      <c r="AF3351" s="26"/>
      <c r="AJ3351" s="26"/>
    </row>
    <row r="3352" spans="29:36">
      <c r="AC3352" s="26"/>
      <c r="AE3352" s="26"/>
      <c r="AF3352" s="26"/>
      <c r="AJ3352" s="26"/>
    </row>
    <row r="3353" spans="29:36">
      <c r="AC3353" s="26"/>
      <c r="AE3353" s="26"/>
      <c r="AF3353" s="26"/>
      <c r="AJ3353" s="26"/>
    </row>
    <row r="3354" spans="29:36">
      <c r="AC3354" s="26"/>
      <c r="AE3354" s="26"/>
      <c r="AF3354" s="26"/>
      <c r="AJ3354" s="26"/>
    </row>
    <row r="3355" spans="29:36">
      <c r="AC3355" s="26"/>
      <c r="AE3355" s="26"/>
      <c r="AF3355" s="26"/>
      <c r="AJ3355" s="26"/>
    </row>
    <row r="3356" spans="29:36">
      <c r="AC3356" s="26"/>
      <c r="AE3356" s="26"/>
      <c r="AF3356" s="26"/>
      <c r="AJ3356" s="26"/>
    </row>
    <row r="3357" spans="29:36">
      <c r="AC3357" s="26"/>
      <c r="AE3357" s="26"/>
      <c r="AF3357" s="26"/>
      <c r="AJ3357" s="26"/>
    </row>
    <row r="3358" spans="29:36">
      <c r="AC3358" s="26"/>
      <c r="AE3358" s="26"/>
      <c r="AF3358" s="26"/>
      <c r="AJ3358" s="26"/>
    </row>
    <row r="3359" spans="29:36">
      <c r="AC3359" s="26"/>
      <c r="AE3359" s="26"/>
      <c r="AF3359" s="26"/>
      <c r="AJ3359" s="26"/>
    </row>
    <row r="3360" spans="29:36">
      <c r="AC3360" s="26"/>
      <c r="AE3360" s="26"/>
      <c r="AF3360" s="26"/>
      <c r="AJ3360" s="26"/>
    </row>
    <row r="3361" spans="29:36">
      <c r="AC3361" s="26"/>
      <c r="AE3361" s="26"/>
      <c r="AF3361" s="26"/>
      <c r="AJ3361" s="26"/>
    </row>
    <row r="3362" spans="29:36">
      <c r="AC3362" s="26"/>
      <c r="AE3362" s="26"/>
      <c r="AF3362" s="26"/>
      <c r="AJ3362" s="26"/>
    </row>
    <row r="3363" spans="29:36">
      <c r="AC3363" s="26"/>
      <c r="AE3363" s="26"/>
      <c r="AF3363" s="26"/>
      <c r="AJ3363" s="26"/>
    </row>
    <row r="3364" spans="29:36">
      <c r="AC3364" s="26"/>
      <c r="AE3364" s="26"/>
      <c r="AF3364" s="26"/>
      <c r="AJ3364" s="26"/>
    </row>
    <row r="3365" spans="29:36">
      <c r="AC3365" s="26"/>
      <c r="AE3365" s="26"/>
      <c r="AF3365" s="26"/>
      <c r="AJ3365" s="26"/>
    </row>
    <row r="3366" spans="29:36">
      <c r="AC3366" s="26"/>
      <c r="AE3366" s="26"/>
      <c r="AF3366" s="26"/>
      <c r="AJ3366" s="26"/>
    </row>
    <row r="3367" spans="29:36">
      <c r="AC3367" s="26"/>
      <c r="AE3367" s="26"/>
      <c r="AF3367" s="26"/>
      <c r="AJ3367" s="26"/>
    </row>
    <row r="3368" spans="29:36">
      <c r="AC3368" s="26"/>
      <c r="AE3368" s="26"/>
      <c r="AF3368" s="26"/>
      <c r="AJ3368" s="26"/>
    </row>
    <row r="3369" spans="29:36">
      <c r="AC3369" s="26"/>
      <c r="AE3369" s="26"/>
      <c r="AF3369" s="26"/>
      <c r="AJ3369" s="26"/>
    </row>
    <row r="3370" spans="29:36">
      <c r="AC3370" s="26"/>
      <c r="AE3370" s="26"/>
      <c r="AF3370" s="26"/>
      <c r="AJ3370" s="26"/>
    </row>
    <row r="3371" spans="29:36">
      <c r="AC3371" s="26"/>
      <c r="AE3371" s="26"/>
      <c r="AF3371" s="26"/>
      <c r="AJ3371" s="26"/>
    </row>
    <row r="3372" spans="29:36">
      <c r="AC3372" s="26"/>
      <c r="AE3372" s="26"/>
      <c r="AF3372" s="26"/>
      <c r="AJ3372" s="26"/>
    </row>
    <row r="3373" spans="29:36">
      <c r="AC3373" s="26"/>
      <c r="AE3373" s="26"/>
      <c r="AF3373" s="26"/>
      <c r="AJ3373" s="26"/>
    </row>
    <row r="3374" spans="29:36">
      <c r="AC3374" s="26"/>
      <c r="AE3374" s="26"/>
      <c r="AF3374" s="26"/>
      <c r="AJ3374" s="26"/>
    </row>
    <row r="3375" spans="29:36">
      <c r="AC3375" s="26"/>
      <c r="AE3375" s="26"/>
      <c r="AF3375" s="26"/>
      <c r="AJ3375" s="26"/>
    </row>
    <row r="3376" spans="29:36">
      <c r="AC3376" s="26"/>
      <c r="AE3376" s="26"/>
      <c r="AF3376" s="26"/>
      <c r="AJ3376" s="26"/>
    </row>
    <row r="3377" spans="29:36">
      <c r="AC3377" s="26"/>
      <c r="AE3377" s="26"/>
      <c r="AF3377" s="26"/>
      <c r="AJ3377" s="26"/>
    </row>
    <row r="3378" spans="29:36">
      <c r="AC3378" s="26"/>
      <c r="AE3378" s="26"/>
      <c r="AF3378" s="26"/>
      <c r="AJ3378" s="26"/>
    </row>
    <row r="3379" spans="29:36">
      <c r="AC3379" s="26"/>
      <c r="AE3379" s="26"/>
      <c r="AF3379" s="26"/>
      <c r="AJ3379" s="26"/>
    </row>
    <row r="3380" spans="29:36">
      <c r="AC3380" s="26"/>
      <c r="AE3380" s="26"/>
      <c r="AF3380" s="26"/>
      <c r="AJ3380" s="26"/>
    </row>
    <row r="3381" spans="29:36">
      <c r="AC3381" s="26"/>
      <c r="AE3381" s="26"/>
      <c r="AF3381" s="26"/>
      <c r="AJ3381" s="26"/>
    </row>
    <row r="3382" spans="29:36">
      <c r="AC3382" s="26"/>
      <c r="AE3382" s="26"/>
      <c r="AF3382" s="26"/>
      <c r="AJ3382" s="26"/>
    </row>
    <row r="3383" spans="29:36">
      <c r="AC3383" s="26"/>
      <c r="AE3383" s="26"/>
      <c r="AF3383" s="26"/>
      <c r="AJ3383" s="26"/>
    </row>
    <row r="3384" spans="29:36">
      <c r="AC3384" s="26"/>
      <c r="AE3384" s="26"/>
      <c r="AF3384" s="26"/>
      <c r="AJ3384" s="26"/>
    </row>
    <row r="3385" spans="29:36">
      <c r="AC3385" s="26"/>
      <c r="AE3385" s="26"/>
      <c r="AF3385" s="26"/>
      <c r="AJ3385" s="26"/>
    </row>
    <row r="3386" spans="29:36">
      <c r="AC3386" s="26"/>
      <c r="AE3386" s="26"/>
      <c r="AF3386" s="26"/>
      <c r="AJ3386" s="26"/>
    </row>
    <row r="3387" spans="29:36">
      <c r="AC3387" s="26"/>
      <c r="AE3387" s="26"/>
      <c r="AF3387" s="26"/>
      <c r="AJ3387" s="26"/>
    </row>
    <row r="3388" spans="29:36">
      <c r="AC3388" s="26"/>
      <c r="AE3388" s="26"/>
      <c r="AF3388" s="26"/>
      <c r="AJ3388" s="26"/>
    </row>
    <row r="3389" spans="29:36">
      <c r="AC3389" s="26"/>
      <c r="AE3389" s="26"/>
      <c r="AF3389" s="26"/>
      <c r="AJ3389" s="26"/>
    </row>
    <row r="3390" spans="29:36">
      <c r="AC3390" s="26"/>
      <c r="AE3390" s="26"/>
      <c r="AF3390" s="26"/>
      <c r="AJ3390" s="26"/>
    </row>
    <row r="3391" spans="29:36">
      <c r="AC3391" s="26"/>
      <c r="AE3391" s="26"/>
      <c r="AF3391" s="26"/>
      <c r="AJ3391" s="26"/>
    </row>
    <row r="3392" spans="29:36">
      <c r="AC3392" s="26"/>
      <c r="AE3392" s="26"/>
      <c r="AF3392" s="26"/>
      <c r="AJ3392" s="26"/>
    </row>
    <row r="3393" spans="29:36">
      <c r="AC3393" s="26"/>
      <c r="AE3393" s="26"/>
      <c r="AF3393" s="26"/>
      <c r="AJ3393" s="26"/>
    </row>
    <row r="3394" spans="29:36">
      <c r="AC3394" s="26"/>
      <c r="AE3394" s="26"/>
      <c r="AF3394" s="26"/>
      <c r="AJ3394" s="26"/>
    </row>
    <row r="3395" spans="29:36">
      <c r="AC3395" s="26"/>
      <c r="AE3395" s="26"/>
      <c r="AF3395" s="26"/>
      <c r="AJ3395" s="26"/>
    </row>
    <row r="3396" spans="29:36">
      <c r="AC3396" s="26"/>
      <c r="AE3396" s="26"/>
      <c r="AF3396" s="26"/>
      <c r="AJ3396" s="26"/>
    </row>
    <row r="3397" spans="29:36">
      <c r="AC3397" s="26"/>
      <c r="AE3397" s="26"/>
      <c r="AF3397" s="26"/>
      <c r="AJ3397" s="26"/>
    </row>
    <row r="3398" spans="29:36">
      <c r="AC3398" s="26"/>
      <c r="AE3398" s="26"/>
      <c r="AF3398" s="26"/>
      <c r="AJ3398" s="26"/>
    </row>
    <row r="3399" spans="29:36">
      <c r="AC3399" s="26"/>
      <c r="AE3399" s="26"/>
      <c r="AF3399" s="26"/>
      <c r="AJ3399" s="26"/>
    </row>
    <row r="3400" spans="29:36">
      <c r="AC3400" s="26"/>
      <c r="AE3400" s="26"/>
      <c r="AF3400" s="26"/>
      <c r="AJ3400" s="26"/>
    </row>
    <row r="3401" spans="29:36">
      <c r="AC3401" s="26"/>
      <c r="AE3401" s="26"/>
      <c r="AF3401" s="26"/>
      <c r="AJ3401" s="26"/>
    </row>
    <row r="3402" spans="29:36">
      <c r="AC3402" s="26"/>
      <c r="AE3402" s="26"/>
      <c r="AF3402" s="26"/>
      <c r="AJ3402" s="26"/>
    </row>
    <row r="3403" spans="29:36">
      <c r="AC3403" s="26"/>
      <c r="AE3403" s="26"/>
      <c r="AF3403" s="26"/>
      <c r="AJ3403" s="26"/>
    </row>
    <row r="3404" spans="29:36">
      <c r="AC3404" s="26"/>
      <c r="AE3404" s="26"/>
      <c r="AF3404" s="26"/>
      <c r="AJ3404" s="26"/>
    </row>
    <row r="3405" spans="29:36">
      <c r="AC3405" s="26"/>
      <c r="AE3405" s="26"/>
      <c r="AF3405" s="26"/>
      <c r="AJ3405" s="26"/>
    </row>
    <row r="3406" spans="29:36">
      <c r="AC3406" s="26"/>
      <c r="AE3406" s="26"/>
      <c r="AF3406" s="26"/>
      <c r="AJ3406" s="26"/>
    </row>
    <row r="3407" spans="29:36">
      <c r="AC3407" s="26"/>
      <c r="AE3407" s="26"/>
      <c r="AF3407" s="26"/>
      <c r="AJ3407" s="26"/>
    </row>
    <row r="3408" spans="29:36">
      <c r="AC3408" s="26"/>
      <c r="AE3408" s="26"/>
      <c r="AF3408" s="26"/>
      <c r="AJ3408" s="26"/>
    </row>
    <row r="3409" spans="29:36">
      <c r="AC3409" s="26"/>
      <c r="AE3409" s="26"/>
      <c r="AF3409" s="26"/>
      <c r="AJ3409" s="26"/>
    </row>
    <row r="3410" spans="29:36">
      <c r="AC3410" s="26"/>
      <c r="AE3410" s="26"/>
      <c r="AF3410" s="26"/>
      <c r="AJ3410" s="26"/>
    </row>
    <row r="3411" spans="29:36">
      <c r="AC3411" s="26"/>
      <c r="AE3411" s="26"/>
      <c r="AF3411" s="26"/>
      <c r="AJ3411" s="26"/>
    </row>
    <row r="3412" spans="29:36">
      <c r="AC3412" s="26"/>
      <c r="AE3412" s="26"/>
      <c r="AF3412" s="26"/>
      <c r="AJ3412" s="26"/>
    </row>
    <row r="3413" spans="29:36">
      <c r="AC3413" s="26"/>
      <c r="AE3413" s="26"/>
      <c r="AF3413" s="26"/>
      <c r="AJ3413" s="26"/>
    </row>
    <row r="3414" spans="29:36">
      <c r="AC3414" s="26"/>
      <c r="AE3414" s="26"/>
      <c r="AF3414" s="26"/>
      <c r="AJ3414" s="26"/>
    </row>
    <row r="3415" spans="29:36">
      <c r="AC3415" s="26"/>
      <c r="AE3415" s="26"/>
      <c r="AF3415" s="26"/>
      <c r="AJ3415" s="26"/>
    </row>
    <row r="3416" spans="29:36">
      <c r="AC3416" s="26"/>
      <c r="AE3416" s="26"/>
      <c r="AF3416" s="26"/>
      <c r="AJ3416" s="26"/>
    </row>
    <row r="3417" spans="29:36">
      <c r="AC3417" s="26"/>
      <c r="AE3417" s="26"/>
      <c r="AF3417" s="26"/>
      <c r="AJ3417" s="26"/>
    </row>
    <row r="3418" spans="29:36">
      <c r="AC3418" s="26"/>
      <c r="AE3418" s="26"/>
      <c r="AF3418" s="26"/>
      <c r="AJ3418" s="26"/>
    </row>
    <row r="3419" spans="29:36">
      <c r="AC3419" s="26"/>
      <c r="AE3419" s="26"/>
      <c r="AF3419" s="26"/>
      <c r="AJ3419" s="26"/>
    </row>
    <row r="3420" spans="29:36">
      <c r="AC3420" s="26"/>
      <c r="AE3420" s="26"/>
      <c r="AF3420" s="26"/>
      <c r="AJ3420" s="26"/>
    </row>
    <row r="3421" spans="29:36">
      <c r="AC3421" s="26"/>
      <c r="AE3421" s="26"/>
      <c r="AF3421" s="26"/>
      <c r="AJ3421" s="26"/>
    </row>
    <row r="3422" spans="29:36">
      <c r="AC3422" s="26"/>
      <c r="AE3422" s="26"/>
      <c r="AF3422" s="26"/>
      <c r="AJ3422" s="26"/>
    </row>
    <row r="3423" spans="29:36">
      <c r="AC3423" s="26"/>
      <c r="AE3423" s="26"/>
      <c r="AF3423" s="26"/>
      <c r="AJ3423" s="26"/>
    </row>
    <row r="3424" spans="29:36">
      <c r="AC3424" s="26"/>
      <c r="AE3424" s="26"/>
      <c r="AF3424" s="26"/>
      <c r="AJ3424" s="26"/>
    </row>
    <row r="3425" spans="29:36">
      <c r="AC3425" s="26"/>
      <c r="AE3425" s="26"/>
      <c r="AF3425" s="26"/>
      <c r="AJ3425" s="26"/>
    </row>
    <row r="3426" spans="29:36">
      <c r="AC3426" s="26"/>
      <c r="AE3426" s="26"/>
      <c r="AF3426" s="26"/>
      <c r="AJ3426" s="26"/>
    </row>
    <row r="3427" spans="29:36">
      <c r="AC3427" s="26"/>
      <c r="AE3427" s="26"/>
      <c r="AF3427" s="26"/>
      <c r="AJ3427" s="26"/>
    </row>
    <row r="3428" spans="29:36">
      <c r="AC3428" s="26"/>
      <c r="AE3428" s="26"/>
      <c r="AF3428" s="26"/>
      <c r="AJ3428" s="26"/>
    </row>
    <row r="3429" spans="29:36">
      <c r="AC3429" s="26"/>
      <c r="AE3429" s="26"/>
      <c r="AF3429" s="26"/>
      <c r="AJ3429" s="26"/>
    </row>
    <row r="3430" spans="29:36">
      <c r="AC3430" s="26"/>
      <c r="AE3430" s="26"/>
      <c r="AF3430" s="26"/>
      <c r="AJ3430" s="26"/>
    </row>
    <row r="3431" spans="29:36">
      <c r="AC3431" s="26"/>
      <c r="AE3431" s="26"/>
      <c r="AF3431" s="26"/>
      <c r="AJ3431" s="26"/>
    </row>
    <row r="3432" spans="29:36">
      <c r="AC3432" s="26"/>
      <c r="AE3432" s="26"/>
      <c r="AF3432" s="26"/>
      <c r="AJ3432" s="26"/>
    </row>
    <row r="3433" spans="29:36">
      <c r="AC3433" s="26"/>
      <c r="AE3433" s="26"/>
      <c r="AF3433" s="26"/>
      <c r="AJ3433" s="26"/>
    </row>
    <row r="3434" spans="29:36">
      <c r="AC3434" s="26"/>
      <c r="AE3434" s="26"/>
      <c r="AF3434" s="26"/>
      <c r="AJ3434" s="26"/>
    </row>
    <row r="3435" spans="29:36">
      <c r="AC3435" s="26"/>
      <c r="AE3435" s="26"/>
      <c r="AF3435" s="26"/>
      <c r="AJ3435" s="26"/>
    </row>
    <row r="3436" spans="29:36">
      <c r="AC3436" s="26"/>
      <c r="AE3436" s="26"/>
      <c r="AF3436" s="26"/>
      <c r="AJ3436" s="26"/>
    </row>
    <row r="3437" spans="29:36">
      <c r="AC3437" s="26"/>
      <c r="AE3437" s="26"/>
      <c r="AF3437" s="26"/>
      <c r="AJ3437" s="26"/>
    </row>
    <row r="3438" spans="29:36">
      <c r="AC3438" s="26"/>
      <c r="AE3438" s="26"/>
      <c r="AF3438" s="26"/>
      <c r="AJ3438" s="26"/>
    </row>
    <row r="3439" spans="29:36">
      <c r="AC3439" s="26"/>
      <c r="AE3439" s="26"/>
      <c r="AF3439" s="26"/>
      <c r="AJ3439" s="26"/>
    </row>
    <row r="3440" spans="29:36">
      <c r="AC3440" s="26"/>
      <c r="AE3440" s="26"/>
      <c r="AF3440" s="26"/>
      <c r="AJ3440" s="26"/>
    </row>
    <row r="3441" spans="29:36">
      <c r="AC3441" s="26"/>
      <c r="AE3441" s="26"/>
      <c r="AF3441" s="26"/>
      <c r="AJ3441" s="26"/>
    </row>
    <row r="3442" spans="29:36">
      <c r="AC3442" s="26"/>
      <c r="AE3442" s="26"/>
      <c r="AF3442" s="26"/>
      <c r="AJ3442" s="26"/>
    </row>
    <row r="3443" spans="29:36">
      <c r="AC3443" s="26"/>
      <c r="AE3443" s="26"/>
      <c r="AF3443" s="26"/>
      <c r="AJ3443" s="26"/>
    </row>
    <row r="3444" spans="29:36">
      <c r="AC3444" s="26"/>
      <c r="AE3444" s="26"/>
      <c r="AF3444" s="26"/>
      <c r="AJ3444" s="26"/>
    </row>
    <row r="3445" spans="29:36">
      <c r="AC3445" s="26"/>
      <c r="AE3445" s="26"/>
      <c r="AF3445" s="26"/>
      <c r="AJ3445" s="26"/>
    </row>
    <row r="3446" spans="29:36">
      <c r="AC3446" s="26"/>
      <c r="AE3446" s="26"/>
      <c r="AF3446" s="26"/>
      <c r="AJ3446" s="26"/>
    </row>
    <row r="3447" spans="29:36">
      <c r="AC3447" s="26"/>
      <c r="AE3447" s="26"/>
      <c r="AF3447" s="26"/>
      <c r="AJ3447" s="26"/>
    </row>
    <row r="3448" spans="29:36">
      <c r="AC3448" s="26"/>
      <c r="AE3448" s="26"/>
      <c r="AF3448" s="26"/>
      <c r="AJ3448" s="26"/>
    </row>
    <row r="3449" spans="29:36">
      <c r="AC3449" s="26"/>
      <c r="AE3449" s="26"/>
      <c r="AF3449" s="26"/>
      <c r="AJ3449" s="26"/>
    </row>
    <row r="3450" spans="29:36">
      <c r="AC3450" s="26"/>
      <c r="AE3450" s="26"/>
      <c r="AF3450" s="26"/>
      <c r="AJ3450" s="26"/>
    </row>
    <row r="3451" spans="29:36">
      <c r="AC3451" s="26"/>
      <c r="AE3451" s="26"/>
      <c r="AF3451" s="26"/>
      <c r="AJ3451" s="26"/>
    </row>
    <row r="3452" spans="29:36">
      <c r="AC3452" s="26"/>
      <c r="AE3452" s="26"/>
      <c r="AF3452" s="26"/>
      <c r="AJ3452" s="26"/>
    </row>
    <row r="3453" spans="29:36">
      <c r="AC3453" s="26"/>
      <c r="AE3453" s="26"/>
      <c r="AF3453" s="26"/>
      <c r="AJ3453" s="26"/>
    </row>
    <row r="3454" spans="29:36">
      <c r="AC3454" s="26"/>
      <c r="AE3454" s="26"/>
      <c r="AF3454" s="26"/>
      <c r="AJ3454" s="26"/>
    </row>
    <row r="3455" spans="29:36">
      <c r="AC3455" s="26"/>
      <c r="AE3455" s="26"/>
      <c r="AF3455" s="26"/>
      <c r="AJ3455" s="26"/>
    </row>
    <row r="3456" spans="29:36">
      <c r="AC3456" s="26"/>
      <c r="AE3456" s="26"/>
      <c r="AF3456" s="26"/>
      <c r="AJ3456" s="26"/>
    </row>
    <row r="3457" spans="29:36">
      <c r="AC3457" s="26"/>
      <c r="AE3457" s="26"/>
      <c r="AF3457" s="26"/>
      <c r="AJ3457" s="26"/>
    </row>
    <row r="3458" spans="29:36">
      <c r="AC3458" s="26"/>
      <c r="AE3458" s="26"/>
      <c r="AF3458" s="26"/>
      <c r="AJ3458" s="26"/>
    </row>
    <row r="3459" spans="29:36">
      <c r="AC3459" s="26"/>
      <c r="AE3459" s="26"/>
      <c r="AF3459" s="26"/>
      <c r="AJ3459" s="26"/>
    </row>
    <row r="3460" spans="29:36">
      <c r="AC3460" s="26"/>
      <c r="AE3460" s="26"/>
      <c r="AF3460" s="26"/>
      <c r="AJ3460" s="26"/>
    </row>
    <row r="3461" spans="29:36">
      <c r="AC3461" s="26"/>
      <c r="AE3461" s="26"/>
      <c r="AF3461" s="26"/>
      <c r="AJ3461" s="26"/>
    </row>
    <row r="3462" spans="29:36">
      <c r="AC3462" s="26"/>
      <c r="AE3462" s="26"/>
      <c r="AF3462" s="26"/>
      <c r="AJ3462" s="26"/>
    </row>
    <row r="3463" spans="29:36">
      <c r="AC3463" s="26"/>
      <c r="AE3463" s="26"/>
      <c r="AF3463" s="26"/>
      <c r="AJ3463" s="26"/>
    </row>
    <row r="3464" spans="29:36">
      <c r="AC3464" s="26"/>
      <c r="AE3464" s="26"/>
      <c r="AF3464" s="26"/>
      <c r="AJ3464" s="26"/>
    </row>
    <row r="3465" spans="29:36">
      <c r="AC3465" s="26"/>
      <c r="AE3465" s="26"/>
      <c r="AF3465" s="26"/>
      <c r="AJ3465" s="26"/>
    </row>
    <row r="3466" spans="29:36">
      <c r="AC3466" s="26"/>
      <c r="AE3466" s="26"/>
      <c r="AF3466" s="26"/>
      <c r="AJ3466" s="26"/>
    </row>
    <row r="3467" spans="29:36">
      <c r="AC3467" s="26"/>
      <c r="AE3467" s="26"/>
      <c r="AF3467" s="26"/>
      <c r="AJ3467" s="26"/>
    </row>
    <row r="3468" spans="29:36">
      <c r="AC3468" s="26"/>
      <c r="AE3468" s="26"/>
      <c r="AF3468" s="26"/>
      <c r="AJ3468" s="26"/>
    </row>
    <row r="3469" spans="29:36">
      <c r="AC3469" s="26"/>
      <c r="AE3469" s="26"/>
      <c r="AF3469" s="26"/>
      <c r="AJ3469" s="26"/>
    </row>
    <row r="3470" spans="29:36">
      <c r="AC3470" s="26"/>
      <c r="AE3470" s="26"/>
      <c r="AF3470" s="26"/>
      <c r="AJ3470" s="26"/>
    </row>
    <row r="3471" spans="29:36">
      <c r="AC3471" s="26"/>
      <c r="AE3471" s="26"/>
      <c r="AF3471" s="26"/>
      <c r="AJ3471" s="26"/>
    </row>
    <row r="3472" spans="29:36">
      <c r="AC3472" s="26"/>
      <c r="AE3472" s="26"/>
      <c r="AF3472" s="26"/>
      <c r="AJ3472" s="26"/>
    </row>
    <row r="3473" spans="29:36">
      <c r="AC3473" s="26"/>
      <c r="AE3473" s="26"/>
      <c r="AF3473" s="26"/>
      <c r="AJ3473" s="26"/>
    </row>
    <row r="3474" spans="29:36">
      <c r="AC3474" s="26"/>
      <c r="AE3474" s="26"/>
      <c r="AF3474" s="26"/>
      <c r="AJ3474" s="26"/>
    </row>
    <row r="3475" spans="29:36">
      <c r="AC3475" s="26"/>
      <c r="AE3475" s="26"/>
      <c r="AF3475" s="26"/>
      <c r="AJ3475" s="26"/>
    </row>
    <row r="3476" spans="29:36">
      <c r="AC3476" s="26"/>
      <c r="AE3476" s="26"/>
      <c r="AF3476" s="26"/>
      <c r="AJ3476" s="26"/>
    </row>
    <row r="3477" spans="29:36">
      <c r="AC3477" s="26"/>
      <c r="AE3477" s="26"/>
      <c r="AF3477" s="26"/>
      <c r="AJ3477" s="26"/>
    </row>
    <row r="3478" spans="29:36">
      <c r="AC3478" s="26"/>
      <c r="AE3478" s="26"/>
      <c r="AF3478" s="26"/>
      <c r="AJ3478" s="26"/>
    </row>
    <row r="3479" spans="29:36">
      <c r="AC3479" s="26"/>
      <c r="AE3479" s="26"/>
      <c r="AF3479" s="26"/>
      <c r="AJ3479" s="26"/>
    </row>
    <row r="3480" spans="29:36">
      <c r="AC3480" s="26"/>
      <c r="AE3480" s="26"/>
      <c r="AF3480" s="26"/>
      <c r="AJ3480" s="26"/>
    </row>
    <row r="3481" spans="29:36">
      <c r="AC3481" s="26"/>
      <c r="AE3481" s="26"/>
      <c r="AF3481" s="26"/>
      <c r="AJ3481" s="26"/>
    </row>
    <row r="3482" spans="29:36">
      <c r="AC3482" s="26"/>
      <c r="AE3482" s="26"/>
      <c r="AF3482" s="26"/>
      <c r="AJ3482" s="26"/>
    </row>
    <row r="3483" spans="29:36">
      <c r="AC3483" s="26"/>
      <c r="AE3483" s="26"/>
      <c r="AF3483" s="26"/>
      <c r="AJ3483" s="26"/>
    </row>
    <row r="3484" spans="29:36">
      <c r="AC3484" s="26"/>
      <c r="AE3484" s="26"/>
      <c r="AF3484" s="26"/>
      <c r="AJ3484" s="26"/>
    </row>
    <row r="3485" spans="29:36">
      <c r="AC3485" s="26"/>
      <c r="AE3485" s="26"/>
      <c r="AF3485" s="26"/>
      <c r="AJ3485" s="26"/>
    </row>
    <row r="3486" spans="29:36">
      <c r="AC3486" s="26"/>
      <c r="AE3486" s="26"/>
      <c r="AF3486" s="26"/>
      <c r="AJ3486" s="26"/>
    </row>
    <row r="3487" spans="29:36">
      <c r="AC3487" s="26"/>
      <c r="AE3487" s="26"/>
      <c r="AF3487" s="26"/>
      <c r="AJ3487" s="26"/>
    </row>
    <row r="3488" spans="29:36">
      <c r="AC3488" s="26"/>
      <c r="AE3488" s="26"/>
      <c r="AF3488" s="26"/>
      <c r="AJ3488" s="26"/>
    </row>
    <row r="3489" spans="29:36">
      <c r="AC3489" s="26"/>
      <c r="AE3489" s="26"/>
      <c r="AF3489" s="26"/>
      <c r="AJ3489" s="26"/>
    </row>
    <row r="3490" spans="29:36">
      <c r="AC3490" s="26"/>
      <c r="AE3490" s="26"/>
      <c r="AF3490" s="26"/>
      <c r="AJ3490" s="26"/>
    </row>
    <row r="3491" spans="29:36">
      <c r="AC3491" s="26"/>
      <c r="AE3491" s="26"/>
      <c r="AF3491" s="26"/>
      <c r="AJ3491" s="26"/>
    </row>
    <row r="3492" spans="29:36">
      <c r="AC3492" s="26"/>
      <c r="AE3492" s="26"/>
      <c r="AF3492" s="26"/>
      <c r="AJ3492" s="26"/>
    </row>
    <row r="3493" spans="29:36">
      <c r="AC3493" s="26"/>
      <c r="AE3493" s="26"/>
      <c r="AF3493" s="26"/>
      <c r="AJ3493" s="26"/>
    </row>
    <row r="3494" spans="29:36">
      <c r="AC3494" s="26"/>
      <c r="AE3494" s="26"/>
      <c r="AF3494" s="26"/>
      <c r="AJ3494" s="26"/>
    </row>
    <row r="3495" spans="29:36">
      <c r="AC3495" s="26"/>
      <c r="AE3495" s="26"/>
      <c r="AF3495" s="26"/>
      <c r="AJ3495" s="26"/>
    </row>
    <row r="3496" spans="29:36">
      <c r="AC3496" s="26"/>
      <c r="AE3496" s="26"/>
      <c r="AF3496" s="26"/>
      <c r="AJ3496" s="26"/>
    </row>
    <row r="3497" spans="29:36">
      <c r="AC3497" s="26"/>
      <c r="AE3497" s="26"/>
      <c r="AF3497" s="26"/>
      <c r="AJ3497" s="26"/>
    </row>
    <row r="3498" spans="29:36">
      <c r="AC3498" s="26"/>
      <c r="AE3498" s="26"/>
      <c r="AF3498" s="26"/>
      <c r="AJ3498" s="26"/>
    </row>
    <row r="3499" spans="29:36">
      <c r="AC3499" s="26"/>
      <c r="AE3499" s="26"/>
      <c r="AF3499" s="26"/>
      <c r="AJ3499" s="26"/>
    </row>
    <row r="3500" spans="29:36">
      <c r="AC3500" s="26"/>
      <c r="AE3500" s="26"/>
      <c r="AF3500" s="26"/>
      <c r="AJ3500" s="26"/>
    </row>
    <row r="3501" spans="29:36">
      <c r="AC3501" s="26"/>
      <c r="AE3501" s="26"/>
      <c r="AF3501" s="26"/>
      <c r="AJ3501" s="26"/>
    </row>
    <row r="3502" spans="29:36">
      <c r="AC3502" s="26"/>
      <c r="AE3502" s="26"/>
      <c r="AF3502" s="26"/>
      <c r="AJ3502" s="26"/>
    </row>
    <row r="3503" spans="29:36">
      <c r="AC3503" s="26"/>
      <c r="AE3503" s="26"/>
      <c r="AF3503" s="26"/>
      <c r="AJ3503" s="26"/>
    </row>
    <row r="3504" spans="29:36">
      <c r="AC3504" s="26"/>
      <c r="AE3504" s="26"/>
      <c r="AF3504" s="26"/>
      <c r="AJ3504" s="26"/>
    </row>
    <row r="3505" spans="29:36">
      <c r="AC3505" s="26"/>
      <c r="AE3505" s="26"/>
      <c r="AF3505" s="26"/>
      <c r="AJ3505" s="26"/>
    </row>
    <row r="3506" spans="29:36">
      <c r="AC3506" s="26"/>
      <c r="AE3506" s="26"/>
      <c r="AF3506" s="26"/>
      <c r="AJ3506" s="26"/>
    </row>
    <row r="3507" spans="29:36">
      <c r="AC3507" s="26"/>
      <c r="AE3507" s="26"/>
      <c r="AF3507" s="26"/>
      <c r="AJ3507" s="26"/>
    </row>
    <row r="3508" spans="29:36">
      <c r="AC3508" s="26"/>
      <c r="AE3508" s="26"/>
      <c r="AF3508" s="26"/>
      <c r="AJ3508" s="26"/>
    </row>
    <row r="3509" spans="29:36">
      <c r="AC3509" s="26"/>
      <c r="AE3509" s="26"/>
      <c r="AF3509" s="26"/>
      <c r="AJ3509" s="26"/>
    </row>
    <row r="3510" spans="29:36">
      <c r="AC3510" s="26"/>
      <c r="AE3510" s="26"/>
      <c r="AF3510" s="26"/>
      <c r="AJ3510" s="26"/>
    </row>
    <row r="3511" spans="29:36">
      <c r="AC3511" s="26"/>
      <c r="AE3511" s="26"/>
      <c r="AF3511" s="26"/>
      <c r="AJ3511" s="26"/>
    </row>
    <row r="3512" spans="29:36">
      <c r="AC3512" s="26"/>
      <c r="AE3512" s="26"/>
      <c r="AF3512" s="26"/>
      <c r="AJ3512" s="26"/>
    </row>
    <row r="3513" spans="29:36">
      <c r="AC3513" s="26"/>
      <c r="AE3513" s="26"/>
      <c r="AF3513" s="26"/>
      <c r="AJ3513" s="26"/>
    </row>
    <row r="3514" spans="29:36">
      <c r="AC3514" s="26"/>
      <c r="AE3514" s="26"/>
      <c r="AF3514" s="26"/>
      <c r="AJ3514" s="26"/>
    </row>
    <row r="3515" spans="29:36">
      <c r="AC3515" s="26"/>
      <c r="AE3515" s="26"/>
      <c r="AF3515" s="26"/>
      <c r="AJ3515" s="26"/>
    </row>
    <row r="3516" spans="29:36">
      <c r="AC3516" s="26"/>
      <c r="AE3516" s="26"/>
      <c r="AF3516" s="26"/>
      <c r="AJ3516" s="26"/>
    </row>
    <row r="3517" spans="29:36">
      <c r="AC3517" s="26"/>
      <c r="AE3517" s="26"/>
      <c r="AF3517" s="26"/>
      <c r="AJ3517" s="26"/>
    </row>
    <row r="3518" spans="29:36">
      <c r="AC3518" s="26"/>
      <c r="AE3518" s="26"/>
      <c r="AF3518" s="26"/>
      <c r="AJ3518" s="26"/>
    </row>
    <row r="3519" spans="29:36">
      <c r="AC3519" s="26"/>
      <c r="AE3519" s="26"/>
      <c r="AF3519" s="26"/>
      <c r="AJ3519" s="26"/>
    </row>
    <row r="3520" spans="29:36">
      <c r="AC3520" s="26"/>
      <c r="AE3520" s="26"/>
      <c r="AF3520" s="26"/>
      <c r="AJ3520" s="26"/>
    </row>
    <row r="3521" spans="29:36">
      <c r="AC3521" s="26"/>
      <c r="AE3521" s="26"/>
      <c r="AF3521" s="26"/>
      <c r="AJ3521" s="26"/>
    </row>
    <row r="3522" spans="29:36">
      <c r="AC3522" s="26"/>
      <c r="AE3522" s="26"/>
      <c r="AF3522" s="26"/>
      <c r="AJ3522" s="26"/>
    </row>
    <row r="3523" spans="29:36">
      <c r="AC3523" s="26"/>
      <c r="AE3523" s="26"/>
      <c r="AF3523" s="26"/>
      <c r="AJ3523" s="26"/>
    </row>
    <row r="3524" spans="29:36">
      <c r="AC3524" s="26"/>
      <c r="AE3524" s="26"/>
      <c r="AF3524" s="26"/>
      <c r="AJ3524" s="26"/>
    </row>
    <row r="3525" spans="29:36">
      <c r="AC3525" s="26"/>
      <c r="AE3525" s="26"/>
      <c r="AF3525" s="26"/>
      <c r="AJ3525" s="26"/>
    </row>
    <row r="3526" spans="29:36">
      <c r="AC3526" s="26"/>
      <c r="AE3526" s="26"/>
      <c r="AF3526" s="26"/>
      <c r="AJ3526" s="26"/>
    </row>
    <row r="3527" spans="29:36">
      <c r="AC3527" s="26"/>
      <c r="AE3527" s="26"/>
      <c r="AF3527" s="26"/>
      <c r="AJ3527" s="26"/>
    </row>
    <row r="3528" spans="29:36">
      <c r="AC3528" s="26"/>
      <c r="AE3528" s="26"/>
      <c r="AF3528" s="26"/>
      <c r="AJ3528" s="26"/>
    </row>
    <row r="3529" spans="29:36">
      <c r="AC3529" s="26"/>
      <c r="AE3529" s="26"/>
      <c r="AF3529" s="26"/>
      <c r="AJ3529" s="26"/>
    </row>
    <row r="3530" spans="29:36">
      <c r="AC3530" s="26"/>
      <c r="AE3530" s="26"/>
      <c r="AF3530" s="26"/>
      <c r="AJ3530" s="26"/>
    </row>
    <row r="3531" spans="29:36">
      <c r="AC3531" s="26"/>
      <c r="AE3531" s="26"/>
      <c r="AF3531" s="26"/>
      <c r="AJ3531" s="26"/>
    </row>
    <row r="3532" spans="29:36">
      <c r="AC3532" s="26"/>
      <c r="AE3532" s="26"/>
      <c r="AF3532" s="26"/>
      <c r="AJ3532" s="26"/>
    </row>
    <row r="3533" spans="29:36">
      <c r="AC3533" s="26"/>
      <c r="AE3533" s="26"/>
      <c r="AF3533" s="26"/>
      <c r="AJ3533" s="26"/>
    </row>
    <row r="3534" spans="29:36">
      <c r="AC3534" s="26"/>
      <c r="AE3534" s="26"/>
      <c r="AF3534" s="26"/>
      <c r="AJ3534" s="26"/>
    </row>
    <row r="3535" spans="29:36">
      <c r="AC3535" s="26"/>
      <c r="AE3535" s="26"/>
      <c r="AF3535" s="26"/>
      <c r="AJ3535" s="26"/>
    </row>
    <row r="3536" spans="29:36">
      <c r="AC3536" s="26"/>
      <c r="AE3536" s="26"/>
      <c r="AF3536" s="26"/>
      <c r="AJ3536" s="26"/>
    </row>
    <row r="3537" spans="29:36">
      <c r="AC3537" s="26"/>
      <c r="AE3537" s="26"/>
      <c r="AF3537" s="26"/>
      <c r="AJ3537" s="26"/>
    </row>
    <row r="3538" spans="29:36">
      <c r="AC3538" s="26"/>
      <c r="AE3538" s="26"/>
      <c r="AF3538" s="26"/>
      <c r="AJ3538" s="26"/>
    </row>
    <row r="3539" spans="29:36">
      <c r="AC3539" s="26"/>
      <c r="AE3539" s="26"/>
      <c r="AF3539" s="26"/>
      <c r="AJ3539" s="26"/>
    </row>
    <row r="3540" spans="29:36">
      <c r="AC3540" s="26"/>
      <c r="AE3540" s="26"/>
      <c r="AF3540" s="26"/>
      <c r="AJ3540" s="26"/>
    </row>
    <row r="3541" spans="29:36">
      <c r="AC3541" s="26"/>
      <c r="AE3541" s="26"/>
      <c r="AF3541" s="26"/>
      <c r="AJ3541" s="26"/>
    </row>
    <row r="3542" spans="29:36">
      <c r="AC3542" s="26"/>
      <c r="AE3542" s="26"/>
      <c r="AF3542" s="26"/>
      <c r="AJ3542" s="26"/>
    </row>
    <row r="3543" spans="29:36">
      <c r="AC3543" s="26"/>
      <c r="AE3543" s="26"/>
      <c r="AF3543" s="26"/>
      <c r="AJ3543" s="26"/>
    </row>
    <row r="3544" spans="29:36">
      <c r="AC3544" s="26"/>
      <c r="AE3544" s="26"/>
      <c r="AF3544" s="26"/>
      <c r="AJ3544" s="26"/>
    </row>
    <row r="3545" spans="29:36">
      <c r="AC3545" s="26"/>
      <c r="AE3545" s="26"/>
      <c r="AF3545" s="26"/>
      <c r="AJ3545" s="26"/>
    </row>
    <row r="3546" spans="29:36">
      <c r="AC3546" s="26"/>
      <c r="AE3546" s="26"/>
      <c r="AF3546" s="26"/>
      <c r="AJ3546" s="26"/>
    </row>
    <row r="3547" spans="29:36">
      <c r="AC3547" s="26"/>
      <c r="AE3547" s="26"/>
      <c r="AF3547" s="26"/>
      <c r="AJ3547" s="26"/>
    </row>
    <row r="3548" spans="29:36">
      <c r="AC3548" s="26"/>
      <c r="AE3548" s="26"/>
      <c r="AF3548" s="26"/>
      <c r="AJ3548" s="26"/>
    </row>
    <row r="3549" spans="29:36">
      <c r="AC3549" s="26"/>
      <c r="AE3549" s="26"/>
      <c r="AF3549" s="26"/>
      <c r="AJ3549" s="26"/>
    </row>
    <row r="3550" spans="29:36">
      <c r="AC3550" s="26"/>
      <c r="AE3550" s="26"/>
      <c r="AF3550" s="26"/>
      <c r="AJ3550" s="26"/>
    </row>
    <row r="3551" spans="29:36">
      <c r="AC3551" s="26"/>
      <c r="AE3551" s="26"/>
      <c r="AF3551" s="26"/>
      <c r="AJ3551" s="26"/>
    </row>
    <row r="3552" spans="29:36">
      <c r="AC3552" s="26"/>
      <c r="AE3552" s="26"/>
      <c r="AF3552" s="26"/>
      <c r="AJ3552" s="26"/>
    </row>
    <row r="3553" spans="29:36">
      <c r="AC3553" s="26"/>
      <c r="AE3553" s="26"/>
      <c r="AF3553" s="26"/>
      <c r="AJ3553" s="26"/>
    </row>
    <row r="3554" spans="29:36">
      <c r="AC3554" s="26"/>
      <c r="AE3554" s="26"/>
      <c r="AF3554" s="26"/>
      <c r="AJ3554" s="26"/>
    </row>
    <row r="3555" spans="29:36">
      <c r="AC3555" s="26"/>
      <c r="AE3555" s="26"/>
      <c r="AF3555" s="26"/>
      <c r="AJ3555" s="26"/>
    </row>
    <row r="3556" spans="29:36">
      <c r="AC3556" s="26"/>
      <c r="AE3556" s="26"/>
      <c r="AF3556" s="26"/>
      <c r="AJ3556" s="26"/>
    </row>
    <row r="3557" spans="29:36">
      <c r="AC3557" s="26"/>
      <c r="AE3557" s="26"/>
      <c r="AF3557" s="26"/>
      <c r="AJ3557" s="26"/>
    </row>
    <row r="3558" spans="29:36">
      <c r="AC3558" s="26"/>
      <c r="AE3558" s="26"/>
      <c r="AF3558" s="26"/>
      <c r="AJ3558" s="26"/>
    </row>
    <row r="3559" spans="29:36">
      <c r="AC3559" s="26"/>
      <c r="AE3559" s="26"/>
      <c r="AF3559" s="26"/>
      <c r="AJ3559" s="26"/>
    </row>
    <row r="3560" spans="29:36">
      <c r="AC3560" s="26"/>
      <c r="AE3560" s="26"/>
      <c r="AF3560" s="26"/>
      <c r="AJ3560" s="26"/>
    </row>
    <row r="3561" spans="29:36">
      <c r="AC3561" s="26"/>
      <c r="AE3561" s="26"/>
      <c r="AF3561" s="26"/>
      <c r="AJ3561" s="26"/>
    </row>
    <row r="3562" spans="29:36">
      <c r="AC3562" s="26"/>
      <c r="AE3562" s="26"/>
      <c r="AF3562" s="26"/>
      <c r="AJ3562" s="26"/>
    </row>
    <row r="3563" spans="29:36">
      <c r="AC3563" s="26"/>
      <c r="AE3563" s="26"/>
      <c r="AF3563" s="26"/>
      <c r="AJ3563" s="26"/>
    </row>
    <row r="3564" spans="29:36">
      <c r="AC3564" s="26"/>
      <c r="AE3564" s="26"/>
      <c r="AF3564" s="26"/>
      <c r="AJ3564" s="26"/>
    </row>
    <row r="3565" spans="29:36">
      <c r="AC3565" s="26"/>
      <c r="AE3565" s="26"/>
      <c r="AF3565" s="26"/>
      <c r="AJ3565" s="26"/>
    </row>
    <row r="3566" spans="29:36">
      <c r="AC3566" s="26"/>
      <c r="AE3566" s="26"/>
      <c r="AF3566" s="26"/>
      <c r="AJ3566" s="26"/>
    </row>
    <row r="3567" spans="29:36">
      <c r="AC3567" s="26"/>
      <c r="AE3567" s="26"/>
      <c r="AF3567" s="26"/>
      <c r="AJ3567" s="26"/>
    </row>
    <row r="3568" spans="29:36">
      <c r="AC3568" s="26"/>
      <c r="AE3568" s="26"/>
      <c r="AF3568" s="26"/>
      <c r="AJ3568" s="26"/>
    </row>
    <row r="3569" spans="29:36">
      <c r="AC3569" s="26"/>
      <c r="AE3569" s="26"/>
      <c r="AF3569" s="26"/>
      <c r="AJ3569" s="26"/>
    </row>
    <row r="3570" spans="29:36">
      <c r="AC3570" s="26"/>
      <c r="AE3570" s="26"/>
      <c r="AF3570" s="26"/>
      <c r="AJ3570" s="26"/>
    </row>
    <row r="3571" spans="29:36">
      <c r="AC3571" s="26"/>
      <c r="AE3571" s="26"/>
      <c r="AF3571" s="26"/>
      <c r="AJ3571" s="26"/>
    </row>
    <row r="3572" spans="29:36">
      <c r="AC3572" s="26"/>
      <c r="AE3572" s="26"/>
      <c r="AF3572" s="26"/>
      <c r="AJ3572" s="26"/>
    </row>
    <row r="3573" spans="29:36">
      <c r="AC3573" s="26"/>
      <c r="AE3573" s="26"/>
      <c r="AF3573" s="26"/>
      <c r="AJ3573" s="26"/>
    </row>
    <row r="3574" spans="29:36">
      <c r="AC3574" s="26"/>
      <c r="AE3574" s="26"/>
      <c r="AF3574" s="26"/>
      <c r="AJ3574" s="26"/>
    </row>
    <row r="3575" spans="29:36">
      <c r="AC3575" s="26"/>
      <c r="AE3575" s="26"/>
      <c r="AF3575" s="26"/>
      <c r="AJ3575" s="26"/>
    </row>
    <row r="3576" spans="29:36">
      <c r="AC3576" s="26"/>
      <c r="AE3576" s="26"/>
      <c r="AF3576" s="26"/>
      <c r="AJ3576" s="26"/>
    </row>
    <row r="3577" spans="29:36">
      <c r="AC3577" s="26"/>
      <c r="AE3577" s="26"/>
      <c r="AF3577" s="26"/>
      <c r="AJ3577" s="26"/>
    </row>
    <row r="3578" spans="29:36">
      <c r="AC3578" s="26"/>
      <c r="AE3578" s="26"/>
      <c r="AF3578" s="26"/>
      <c r="AJ3578" s="26"/>
    </row>
    <row r="3579" spans="29:36">
      <c r="AC3579" s="26"/>
      <c r="AE3579" s="26"/>
      <c r="AF3579" s="26"/>
      <c r="AJ3579" s="26"/>
    </row>
    <row r="3580" spans="29:36">
      <c r="AC3580" s="26"/>
      <c r="AE3580" s="26"/>
      <c r="AF3580" s="26"/>
      <c r="AJ3580" s="26"/>
    </row>
    <row r="3581" spans="29:36">
      <c r="AC3581" s="26"/>
      <c r="AE3581" s="26"/>
      <c r="AF3581" s="26"/>
      <c r="AJ3581" s="26"/>
    </row>
    <row r="3582" spans="29:36">
      <c r="AC3582" s="26"/>
      <c r="AE3582" s="26"/>
      <c r="AF3582" s="26"/>
      <c r="AJ3582" s="26"/>
    </row>
    <row r="3583" spans="29:36">
      <c r="AC3583" s="26"/>
      <c r="AE3583" s="26"/>
      <c r="AF3583" s="26"/>
      <c r="AJ3583" s="26"/>
    </row>
    <row r="3584" spans="29:36">
      <c r="AC3584" s="26"/>
      <c r="AE3584" s="26"/>
      <c r="AF3584" s="26"/>
      <c r="AJ3584" s="26"/>
    </row>
    <row r="3585" spans="29:36">
      <c r="AC3585" s="26"/>
      <c r="AE3585" s="26"/>
      <c r="AF3585" s="26"/>
      <c r="AJ3585" s="26"/>
    </row>
    <row r="3586" spans="29:36">
      <c r="AC3586" s="26"/>
      <c r="AE3586" s="26"/>
      <c r="AF3586" s="26"/>
      <c r="AJ3586" s="26"/>
    </row>
    <row r="3587" spans="29:36">
      <c r="AC3587" s="26"/>
      <c r="AE3587" s="26"/>
      <c r="AF3587" s="26"/>
      <c r="AJ3587" s="26"/>
    </row>
    <row r="3588" spans="29:36">
      <c r="AC3588" s="26"/>
      <c r="AE3588" s="26"/>
      <c r="AF3588" s="26"/>
      <c r="AJ3588" s="26"/>
    </row>
    <row r="3589" spans="29:36">
      <c r="AC3589" s="26"/>
      <c r="AE3589" s="26"/>
      <c r="AF3589" s="26"/>
      <c r="AJ3589" s="26"/>
    </row>
    <row r="3590" spans="29:36">
      <c r="AC3590" s="26"/>
      <c r="AE3590" s="26"/>
      <c r="AF3590" s="26"/>
      <c r="AJ3590" s="26"/>
    </row>
    <row r="3591" spans="29:36">
      <c r="AC3591" s="26"/>
      <c r="AE3591" s="26"/>
      <c r="AF3591" s="26"/>
      <c r="AJ3591" s="26"/>
    </row>
    <row r="3592" spans="29:36">
      <c r="AC3592" s="26"/>
      <c r="AE3592" s="26"/>
      <c r="AF3592" s="26"/>
      <c r="AJ3592" s="26"/>
    </row>
    <row r="3593" spans="29:36">
      <c r="AC3593" s="26"/>
      <c r="AE3593" s="26"/>
      <c r="AF3593" s="26"/>
      <c r="AJ3593" s="26"/>
    </row>
    <row r="3594" spans="29:36">
      <c r="AC3594" s="26"/>
      <c r="AE3594" s="26"/>
      <c r="AF3594" s="26"/>
      <c r="AJ3594" s="26"/>
    </row>
    <row r="3595" spans="29:36">
      <c r="AC3595" s="26"/>
      <c r="AE3595" s="26"/>
      <c r="AF3595" s="26"/>
      <c r="AJ3595" s="26"/>
    </row>
    <row r="3596" spans="29:36">
      <c r="AC3596" s="26"/>
      <c r="AE3596" s="26"/>
      <c r="AF3596" s="26"/>
      <c r="AJ3596" s="26"/>
    </row>
    <row r="3597" spans="29:36">
      <c r="AC3597" s="26"/>
      <c r="AE3597" s="26"/>
      <c r="AF3597" s="26"/>
      <c r="AJ3597" s="26"/>
    </row>
    <row r="3598" spans="29:36">
      <c r="AC3598" s="26"/>
      <c r="AE3598" s="26"/>
      <c r="AF3598" s="26"/>
      <c r="AJ3598" s="26"/>
    </row>
    <row r="3599" spans="29:36">
      <c r="AC3599" s="26"/>
      <c r="AE3599" s="26"/>
      <c r="AF3599" s="26"/>
      <c r="AJ3599" s="26"/>
    </row>
    <row r="3600" spans="29:36">
      <c r="AC3600" s="26"/>
      <c r="AE3600" s="26"/>
      <c r="AF3600" s="26"/>
      <c r="AJ3600" s="26"/>
    </row>
    <row r="3601" spans="29:36">
      <c r="AC3601" s="26"/>
      <c r="AE3601" s="26"/>
      <c r="AF3601" s="26"/>
      <c r="AJ3601" s="26"/>
    </row>
    <row r="3602" spans="29:36">
      <c r="AC3602" s="26"/>
      <c r="AE3602" s="26"/>
      <c r="AF3602" s="26"/>
      <c r="AJ3602" s="26"/>
    </row>
    <row r="3603" spans="29:36">
      <c r="AC3603" s="26"/>
      <c r="AE3603" s="26"/>
      <c r="AF3603" s="26"/>
      <c r="AJ3603" s="26"/>
    </row>
    <row r="3604" spans="29:36">
      <c r="AC3604" s="26"/>
      <c r="AE3604" s="26"/>
      <c r="AF3604" s="26"/>
      <c r="AJ3604" s="26"/>
    </row>
    <row r="3605" spans="29:36">
      <c r="AC3605" s="26"/>
      <c r="AE3605" s="26"/>
      <c r="AF3605" s="26"/>
      <c r="AJ3605" s="26"/>
    </row>
    <row r="3606" spans="29:36">
      <c r="AC3606" s="26"/>
      <c r="AE3606" s="26"/>
      <c r="AF3606" s="26"/>
      <c r="AJ3606" s="26"/>
    </row>
    <row r="3607" spans="29:36">
      <c r="AC3607" s="26"/>
      <c r="AE3607" s="26"/>
      <c r="AF3607" s="26"/>
      <c r="AJ3607" s="26"/>
    </row>
    <row r="3608" spans="29:36">
      <c r="AC3608" s="26"/>
      <c r="AE3608" s="26"/>
      <c r="AF3608" s="26"/>
      <c r="AJ3608" s="26"/>
    </row>
    <row r="3609" spans="29:36">
      <c r="AC3609" s="26"/>
      <c r="AE3609" s="26"/>
      <c r="AF3609" s="26"/>
      <c r="AJ3609" s="26"/>
    </row>
    <row r="3610" spans="29:36">
      <c r="AC3610" s="26"/>
      <c r="AE3610" s="26"/>
      <c r="AF3610" s="26"/>
      <c r="AJ3610" s="26"/>
    </row>
    <row r="3611" spans="29:36">
      <c r="AC3611" s="26"/>
      <c r="AE3611" s="26"/>
      <c r="AF3611" s="26"/>
      <c r="AJ3611" s="26"/>
    </row>
    <row r="3612" spans="29:36">
      <c r="AC3612" s="26"/>
      <c r="AE3612" s="26"/>
      <c r="AF3612" s="26"/>
      <c r="AJ3612" s="26"/>
    </row>
    <row r="3613" spans="29:36">
      <c r="AC3613" s="26"/>
      <c r="AE3613" s="26"/>
      <c r="AF3613" s="26"/>
      <c r="AJ3613" s="26"/>
    </row>
    <row r="3614" spans="29:36">
      <c r="AC3614" s="26"/>
      <c r="AE3614" s="26"/>
      <c r="AF3614" s="26"/>
      <c r="AJ3614" s="26"/>
    </row>
    <row r="3615" spans="29:36">
      <c r="AC3615" s="26"/>
      <c r="AE3615" s="26"/>
      <c r="AF3615" s="26"/>
      <c r="AJ3615" s="26"/>
    </row>
    <row r="3616" spans="29:36">
      <c r="AC3616" s="26"/>
      <c r="AE3616" s="26"/>
      <c r="AF3616" s="26"/>
      <c r="AJ3616" s="26"/>
    </row>
    <row r="3617" spans="29:36">
      <c r="AC3617" s="26"/>
      <c r="AE3617" s="26"/>
      <c r="AF3617" s="26"/>
      <c r="AJ3617" s="26"/>
    </row>
    <row r="3618" spans="29:36">
      <c r="AC3618" s="26"/>
      <c r="AE3618" s="26"/>
      <c r="AF3618" s="26"/>
      <c r="AJ3618" s="26"/>
    </row>
    <row r="3619" spans="29:36">
      <c r="AC3619" s="26"/>
      <c r="AE3619" s="26"/>
      <c r="AF3619" s="26"/>
      <c r="AJ3619" s="26"/>
    </row>
    <row r="3620" spans="29:36">
      <c r="AC3620" s="26"/>
      <c r="AE3620" s="26"/>
      <c r="AF3620" s="26"/>
      <c r="AJ3620" s="26"/>
    </row>
    <row r="3621" spans="29:36">
      <c r="AC3621" s="26"/>
      <c r="AE3621" s="26"/>
      <c r="AF3621" s="26"/>
      <c r="AJ3621" s="26"/>
    </row>
    <row r="3622" spans="29:36">
      <c r="AC3622" s="26"/>
      <c r="AE3622" s="26"/>
      <c r="AF3622" s="26"/>
      <c r="AJ3622" s="26"/>
    </row>
    <row r="3623" spans="29:36">
      <c r="AC3623" s="26"/>
      <c r="AE3623" s="26"/>
      <c r="AF3623" s="26"/>
      <c r="AJ3623" s="26"/>
    </row>
    <row r="3624" spans="29:36">
      <c r="AC3624" s="26"/>
      <c r="AE3624" s="26"/>
      <c r="AF3624" s="26"/>
      <c r="AJ3624" s="26"/>
    </row>
    <row r="3625" spans="29:36">
      <c r="AC3625" s="26"/>
      <c r="AE3625" s="26"/>
      <c r="AF3625" s="26"/>
      <c r="AJ3625" s="26"/>
    </row>
    <row r="3626" spans="29:36">
      <c r="AC3626" s="26"/>
      <c r="AE3626" s="26"/>
      <c r="AF3626" s="26"/>
      <c r="AJ3626" s="26"/>
    </row>
    <row r="3627" spans="29:36">
      <c r="AC3627" s="26"/>
      <c r="AE3627" s="26"/>
      <c r="AF3627" s="26"/>
      <c r="AJ3627" s="26"/>
    </row>
    <row r="3628" spans="29:36">
      <c r="AC3628" s="26"/>
      <c r="AE3628" s="26"/>
      <c r="AF3628" s="26"/>
      <c r="AJ3628" s="26"/>
    </row>
    <row r="3629" spans="29:36">
      <c r="AC3629" s="26"/>
      <c r="AE3629" s="26"/>
      <c r="AF3629" s="26"/>
      <c r="AJ3629" s="26"/>
    </row>
    <row r="3630" spans="29:36">
      <c r="AC3630" s="26"/>
      <c r="AE3630" s="26"/>
      <c r="AF3630" s="26"/>
      <c r="AJ3630" s="26"/>
    </row>
    <row r="3631" spans="29:36">
      <c r="AC3631" s="26"/>
      <c r="AE3631" s="26"/>
      <c r="AF3631" s="26"/>
      <c r="AJ3631" s="26"/>
    </row>
    <row r="3632" spans="29:36">
      <c r="AC3632" s="26"/>
      <c r="AE3632" s="26"/>
      <c r="AF3632" s="26"/>
      <c r="AJ3632" s="26"/>
    </row>
    <row r="3633" spans="29:36">
      <c r="AC3633" s="26"/>
      <c r="AE3633" s="26"/>
      <c r="AF3633" s="26"/>
      <c r="AJ3633" s="26"/>
    </row>
    <row r="3634" spans="29:36">
      <c r="AC3634" s="26"/>
      <c r="AE3634" s="26"/>
      <c r="AF3634" s="26"/>
      <c r="AJ3634" s="26"/>
    </row>
    <row r="3635" spans="29:36">
      <c r="AC3635" s="26"/>
      <c r="AE3635" s="26"/>
      <c r="AF3635" s="26"/>
      <c r="AJ3635" s="26"/>
    </row>
    <row r="3636" spans="29:36">
      <c r="AC3636" s="26"/>
      <c r="AE3636" s="26"/>
      <c r="AF3636" s="26"/>
      <c r="AJ3636" s="26"/>
    </row>
    <row r="3637" spans="29:36">
      <c r="AC3637" s="26"/>
      <c r="AE3637" s="26"/>
      <c r="AF3637" s="26"/>
      <c r="AJ3637" s="26"/>
    </row>
    <row r="3638" spans="29:36">
      <c r="AC3638" s="26"/>
      <c r="AE3638" s="26"/>
      <c r="AF3638" s="26"/>
      <c r="AJ3638" s="26"/>
    </row>
    <row r="3639" spans="29:36">
      <c r="AC3639" s="26"/>
      <c r="AE3639" s="26"/>
      <c r="AF3639" s="26"/>
      <c r="AJ3639" s="26"/>
    </row>
    <row r="3640" spans="29:36">
      <c r="AC3640" s="26"/>
      <c r="AE3640" s="26"/>
      <c r="AF3640" s="26"/>
      <c r="AJ3640" s="26"/>
    </row>
    <row r="3641" spans="29:36">
      <c r="AC3641" s="26"/>
      <c r="AE3641" s="26"/>
      <c r="AF3641" s="26"/>
      <c r="AJ3641" s="26"/>
    </row>
    <row r="3642" spans="29:36">
      <c r="AC3642" s="26"/>
      <c r="AE3642" s="26"/>
      <c r="AF3642" s="26"/>
      <c r="AJ3642" s="26"/>
    </row>
    <row r="3643" spans="29:36">
      <c r="AC3643" s="26"/>
      <c r="AE3643" s="26"/>
      <c r="AF3643" s="26"/>
      <c r="AJ3643" s="26"/>
    </row>
    <row r="3644" spans="29:36">
      <c r="AC3644" s="26"/>
      <c r="AE3644" s="26"/>
      <c r="AF3644" s="26"/>
      <c r="AJ3644" s="26"/>
    </row>
    <row r="3645" spans="29:36">
      <c r="AC3645" s="26"/>
      <c r="AE3645" s="26"/>
      <c r="AF3645" s="26"/>
      <c r="AJ3645" s="26"/>
    </row>
    <row r="3646" spans="29:36">
      <c r="AC3646" s="26"/>
      <c r="AE3646" s="26"/>
      <c r="AF3646" s="26"/>
      <c r="AJ3646" s="26"/>
    </row>
    <row r="3647" spans="29:36">
      <c r="AC3647" s="26"/>
      <c r="AE3647" s="26"/>
      <c r="AF3647" s="26"/>
      <c r="AJ3647" s="26"/>
    </row>
    <row r="3648" spans="29:36">
      <c r="AC3648" s="26"/>
      <c r="AE3648" s="26"/>
      <c r="AF3648" s="26"/>
      <c r="AJ3648" s="26"/>
    </row>
    <row r="3649" spans="29:36">
      <c r="AC3649" s="26"/>
      <c r="AE3649" s="26"/>
      <c r="AF3649" s="26"/>
      <c r="AJ3649" s="26"/>
    </row>
    <row r="3650" spans="29:36">
      <c r="AC3650" s="26"/>
      <c r="AE3650" s="26"/>
      <c r="AF3650" s="26"/>
      <c r="AJ3650" s="26"/>
    </row>
    <row r="3651" spans="29:36">
      <c r="AC3651" s="26"/>
      <c r="AE3651" s="26"/>
      <c r="AF3651" s="26"/>
      <c r="AJ3651" s="26"/>
    </row>
    <row r="3652" spans="29:36">
      <c r="AC3652" s="26"/>
      <c r="AE3652" s="26"/>
      <c r="AF3652" s="26"/>
      <c r="AJ3652" s="26"/>
    </row>
    <row r="3653" spans="29:36">
      <c r="AC3653" s="26"/>
      <c r="AE3653" s="26"/>
      <c r="AF3653" s="26"/>
      <c r="AJ3653" s="26"/>
    </row>
    <row r="3654" spans="29:36">
      <c r="AC3654" s="26"/>
      <c r="AE3654" s="26"/>
      <c r="AF3654" s="26"/>
      <c r="AJ3654" s="26"/>
    </row>
    <row r="3655" spans="29:36">
      <c r="AC3655" s="26"/>
      <c r="AE3655" s="26"/>
      <c r="AF3655" s="26"/>
      <c r="AJ3655" s="26"/>
    </row>
    <row r="3656" spans="29:36">
      <c r="AC3656" s="26"/>
      <c r="AE3656" s="26"/>
      <c r="AF3656" s="26"/>
      <c r="AJ3656" s="26"/>
    </row>
    <row r="3657" spans="29:36">
      <c r="AC3657" s="26"/>
      <c r="AE3657" s="26"/>
      <c r="AF3657" s="26"/>
      <c r="AJ3657" s="26"/>
    </row>
    <row r="3658" spans="29:36">
      <c r="AC3658" s="26"/>
      <c r="AE3658" s="26"/>
      <c r="AF3658" s="26"/>
      <c r="AJ3658" s="26"/>
    </row>
    <row r="3659" spans="29:36">
      <c r="AC3659" s="26"/>
      <c r="AE3659" s="26"/>
      <c r="AF3659" s="26"/>
      <c r="AJ3659" s="26"/>
    </row>
    <row r="3660" spans="29:36">
      <c r="AC3660" s="26"/>
      <c r="AE3660" s="26"/>
      <c r="AF3660" s="26"/>
      <c r="AJ3660" s="26"/>
    </row>
    <row r="3661" spans="29:36">
      <c r="AC3661" s="26"/>
      <c r="AE3661" s="26"/>
      <c r="AF3661" s="26"/>
      <c r="AJ3661" s="26"/>
    </row>
    <row r="3662" spans="29:36">
      <c r="AC3662" s="26"/>
      <c r="AE3662" s="26"/>
      <c r="AF3662" s="26"/>
      <c r="AJ3662" s="26"/>
    </row>
    <row r="3663" spans="29:36">
      <c r="AC3663" s="26"/>
      <c r="AE3663" s="26"/>
      <c r="AF3663" s="26"/>
      <c r="AJ3663" s="26"/>
    </row>
    <row r="3664" spans="29:36">
      <c r="AC3664" s="26"/>
      <c r="AE3664" s="26"/>
      <c r="AF3664" s="26"/>
      <c r="AJ3664" s="26"/>
    </row>
    <row r="3665" spans="29:36">
      <c r="AC3665" s="26"/>
      <c r="AE3665" s="26"/>
      <c r="AF3665" s="26"/>
      <c r="AJ3665" s="26"/>
    </row>
    <row r="3666" spans="29:36">
      <c r="AC3666" s="26"/>
      <c r="AE3666" s="26"/>
      <c r="AF3666" s="26"/>
      <c r="AJ3666" s="26"/>
    </row>
    <row r="3667" spans="29:36">
      <c r="AC3667" s="26"/>
      <c r="AE3667" s="26"/>
      <c r="AF3667" s="26"/>
      <c r="AJ3667" s="26"/>
    </row>
    <row r="3668" spans="29:36">
      <c r="AC3668" s="26"/>
      <c r="AE3668" s="26"/>
      <c r="AF3668" s="26"/>
      <c r="AJ3668" s="26"/>
    </row>
    <row r="3669" spans="29:36">
      <c r="AC3669" s="26"/>
      <c r="AE3669" s="26"/>
      <c r="AF3669" s="26"/>
      <c r="AJ3669" s="26"/>
    </row>
    <row r="3670" spans="29:36">
      <c r="AC3670" s="26"/>
      <c r="AE3670" s="26"/>
      <c r="AF3670" s="26"/>
      <c r="AJ3670" s="26"/>
    </row>
    <row r="3671" spans="29:36">
      <c r="AC3671" s="26"/>
      <c r="AE3671" s="26"/>
      <c r="AF3671" s="26"/>
      <c r="AJ3671" s="26"/>
    </row>
    <row r="3672" spans="29:36">
      <c r="AC3672" s="26"/>
      <c r="AE3672" s="26"/>
      <c r="AF3672" s="26"/>
      <c r="AJ3672" s="26"/>
    </row>
    <row r="3673" spans="29:36">
      <c r="AC3673" s="26"/>
      <c r="AE3673" s="26"/>
      <c r="AF3673" s="26"/>
      <c r="AJ3673" s="26"/>
    </row>
    <row r="3674" spans="29:36">
      <c r="AC3674" s="26"/>
      <c r="AE3674" s="26"/>
      <c r="AF3674" s="26"/>
      <c r="AJ3674" s="26"/>
    </row>
    <row r="3675" spans="29:36">
      <c r="AC3675" s="26"/>
      <c r="AE3675" s="26"/>
      <c r="AF3675" s="26"/>
      <c r="AJ3675" s="26"/>
    </row>
    <row r="3676" spans="29:36">
      <c r="AC3676" s="26"/>
      <c r="AE3676" s="26"/>
      <c r="AF3676" s="26"/>
      <c r="AJ3676" s="26"/>
    </row>
    <row r="3677" spans="29:36">
      <c r="AC3677" s="26"/>
      <c r="AE3677" s="26"/>
      <c r="AF3677" s="26"/>
      <c r="AJ3677" s="26"/>
    </row>
    <row r="3678" spans="29:36">
      <c r="AC3678" s="26"/>
      <c r="AE3678" s="26"/>
      <c r="AF3678" s="26"/>
      <c r="AJ3678" s="26"/>
    </row>
    <row r="3679" spans="29:36">
      <c r="AC3679" s="26"/>
      <c r="AE3679" s="26"/>
      <c r="AF3679" s="26"/>
      <c r="AJ3679" s="26"/>
    </row>
    <row r="3680" spans="29:36">
      <c r="AC3680" s="26"/>
      <c r="AE3680" s="26"/>
      <c r="AF3680" s="26"/>
      <c r="AJ3680" s="26"/>
    </row>
    <row r="3681" spans="29:36">
      <c r="AC3681" s="26"/>
      <c r="AE3681" s="26"/>
      <c r="AF3681" s="26"/>
      <c r="AJ3681" s="26"/>
    </row>
    <row r="3682" spans="29:36">
      <c r="AC3682" s="26"/>
      <c r="AE3682" s="26"/>
      <c r="AF3682" s="26"/>
      <c r="AJ3682" s="26"/>
    </row>
    <row r="3683" spans="29:36">
      <c r="AC3683" s="26"/>
      <c r="AE3683" s="26"/>
      <c r="AF3683" s="26"/>
      <c r="AJ3683" s="26"/>
    </row>
    <row r="3684" spans="29:36">
      <c r="AC3684" s="26"/>
      <c r="AE3684" s="26"/>
      <c r="AF3684" s="26"/>
      <c r="AJ3684" s="26"/>
    </row>
    <row r="3685" spans="29:36">
      <c r="AC3685" s="26"/>
      <c r="AE3685" s="26"/>
      <c r="AF3685" s="26"/>
      <c r="AJ3685" s="26"/>
    </row>
    <row r="3686" spans="29:36">
      <c r="AC3686" s="26"/>
      <c r="AE3686" s="26"/>
      <c r="AF3686" s="26"/>
      <c r="AJ3686" s="26"/>
    </row>
    <row r="3687" spans="29:36">
      <c r="AC3687" s="26"/>
      <c r="AE3687" s="26"/>
      <c r="AF3687" s="26"/>
      <c r="AJ3687" s="26"/>
    </row>
    <row r="3688" spans="29:36">
      <c r="AC3688" s="26"/>
      <c r="AE3688" s="26"/>
      <c r="AF3688" s="26"/>
      <c r="AJ3688" s="26"/>
    </row>
    <row r="3689" spans="29:36">
      <c r="AC3689" s="26"/>
      <c r="AE3689" s="26"/>
      <c r="AF3689" s="26"/>
      <c r="AJ3689" s="26"/>
    </row>
    <row r="3690" spans="29:36">
      <c r="AC3690" s="26"/>
      <c r="AE3690" s="26"/>
      <c r="AF3690" s="26"/>
      <c r="AJ3690" s="26"/>
    </row>
    <row r="3691" spans="29:36">
      <c r="AC3691" s="26"/>
      <c r="AE3691" s="26"/>
      <c r="AF3691" s="26"/>
      <c r="AJ3691" s="26"/>
    </row>
    <row r="3692" spans="29:36">
      <c r="AC3692" s="26"/>
      <c r="AE3692" s="26"/>
      <c r="AF3692" s="26"/>
      <c r="AJ3692" s="26"/>
    </row>
    <row r="3693" spans="29:36">
      <c r="AC3693" s="26"/>
      <c r="AE3693" s="26"/>
      <c r="AF3693" s="26"/>
      <c r="AJ3693" s="26"/>
    </row>
    <row r="3694" spans="29:36">
      <c r="AC3694" s="26"/>
      <c r="AE3694" s="26"/>
      <c r="AF3694" s="26"/>
      <c r="AJ3694" s="26"/>
    </row>
    <row r="3695" spans="29:36">
      <c r="AC3695" s="26"/>
      <c r="AE3695" s="26"/>
      <c r="AF3695" s="26"/>
      <c r="AJ3695" s="26"/>
    </row>
    <row r="3696" spans="29:36">
      <c r="AC3696" s="26"/>
      <c r="AE3696" s="26"/>
      <c r="AF3696" s="26"/>
      <c r="AJ3696" s="26"/>
    </row>
    <row r="3697" spans="29:36">
      <c r="AC3697" s="26"/>
      <c r="AE3697" s="26"/>
      <c r="AF3697" s="26"/>
      <c r="AJ3697" s="26"/>
    </row>
    <row r="3698" spans="29:36">
      <c r="AC3698" s="26"/>
      <c r="AE3698" s="26"/>
      <c r="AF3698" s="26"/>
      <c r="AJ3698" s="26"/>
    </row>
    <row r="3699" spans="29:36">
      <c r="AC3699" s="26"/>
      <c r="AE3699" s="26"/>
      <c r="AF3699" s="26"/>
      <c r="AJ3699" s="26"/>
    </row>
    <row r="3700" spans="29:36">
      <c r="AC3700" s="26"/>
      <c r="AE3700" s="26"/>
      <c r="AF3700" s="26"/>
      <c r="AJ3700" s="26"/>
    </row>
    <row r="3701" spans="29:36">
      <c r="AC3701" s="26"/>
      <c r="AE3701" s="26"/>
      <c r="AF3701" s="26"/>
      <c r="AJ3701" s="26"/>
    </row>
    <row r="3702" spans="29:36">
      <c r="AC3702" s="26"/>
      <c r="AE3702" s="26"/>
      <c r="AF3702" s="26"/>
      <c r="AJ3702" s="26"/>
    </row>
    <row r="3703" spans="29:36">
      <c r="AC3703" s="26"/>
      <c r="AE3703" s="26"/>
      <c r="AF3703" s="26"/>
      <c r="AJ3703" s="26"/>
    </row>
    <row r="3704" spans="29:36">
      <c r="AC3704" s="26"/>
      <c r="AE3704" s="26"/>
      <c r="AF3704" s="26"/>
      <c r="AJ3704" s="26"/>
    </row>
    <row r="3705" spans="29:36">
      <c r="AC3705" s="26"/>
      <c r="AE3705" s="26"/>
      <c r="AF3705" s="26"/>
      <c r="AJ3705" s="26"/>
    </row>
    <row r="3706" spans="29:36">
      <c r="AC3706" s="26"/>
      <c r="AE3706" s="26"/>
      <c r="AF3706" s="26"/>
      <c r="AJ3706" s="26"/>
    </row>
    <row r="3707" spans="29:36">
      <c r="AC3707" s="26"/>
      <c r="AE3707" s="26"/>
      <c r="AF3707" s="26"/>
      <c r="AJ3707" s="26"/>
    </row>
    <row r="3708" spans="29:36">
      <c r="AC3708" s="26"/>
      <c r="AE3708" s="26"/>
      <c r="AF3708" s="26"/>
      <c r="AJ3708" s="26"/>
    </row>
    <row r="3709" spans="29:36">
      <c r="AC3709" s="26"/>
      <c r="AE3709" s="26"/>
      <c r="AF3709" s="26"/>
      <c r="AJ3709" s="26"/>
    </row>
    <row r="3710" spans="29:36">
      <c r="AC3710" s="26"/>
      <c r="AE3710" s="26"/>
      <c r="AF3710" s="26"/>
      <c r="AJ3710" s="26"/>
    </row>
    <row r="3711" spans="29:36">
      <c r="AC3711" s="26"/>
      <c r="AE3711" s="26"/>
      <c r="AF3711" s="26"/>
      <c r="AJ3711" s="26"/>
    </row>
    <row r="3712" spans="29:36">
      <c r="AC3712" s="26"/>
      <c r="AE3712" s="26"/>
      <c r="AF3712" s="26"/>
      <c r="AJ3712" s="26"/>
    </row>
    <row r="3713" spans="29:36">
      <c r="AC3713" s="26"/>
      <c r="AE3713" s="26"/>
      <c r="AF3713" s="26"/>
      <c r="AJ3713" s="26"/>
    </row>
    <row r="3714" spans="29:36">
      <c r="AC3714" s="26"/>
      <c r="AE3714" s="26"/>
      <c r="AF3714" s="26"/>
      <c r="AJ3714" s="26"/>
    </row>
    <row r="3715" spans="29:36">
      <c r="AC3715" s="26"/>
      <c r="AE3715" s="26"/>
      <c r="AF3715" s="26"/>
      <c r="AJ3715" s="26"/>
    </row>
    <row r="3716" spans="29:36">
      <c r="AC3716" s="26"/>
      <c r="AE3716" s="26"/>
      <c r="AF3716" s="26"/>
      <c r="AJ3716" s="26"/>
    </row>
    <row r="3717" spans="29:36">
      <c r="AC3717" s="26"/>
      <c r="AE3717" s="26"/>
      <c r="AF3717" s="26"/>
      <c r="AJ3717" s="26"/>
    </row>
    <row r="3718" spans="29:36">
      <c r="AC3718" s="26"/>
      <c r="AE3718" s="26"/>
      <c r="AF3718" s="26"/>
      <c r="AJ3718" s="26"/>
    </row>
    <row r="3719" spans="29:36">
      <c r="AC3719" s="26"/>
      <c r="AE3719" s="26"/>
      <c r="AF3719" s="26"/>
      <c r="AJ3719" s="26"/>
    </row>
    <row r="3720" spans="29:36">
      <c r="AC3720" s="26"/>
      <c r="AE3720" s="26"/>
      <c r="AF3720" s="26"/>
      <c r="AJ3720" s="26"/>
    </row>
    <row r="3721" spans="29:36">
      <c r="AC3721" s="26"/>
      <c r="AE3721" s="26"/>
      <c r="AF3721" s="26"/>
      <c r="AJ3721" s="26"/>
    </row>
    <row r="3722" spans="29:36">
      <c r="AC3722" s="26"/>
      <c r="AE3722" s="26"/>
      <c r="AF3722" s="26"/>
      <c r="AJ3722" s="26"/>
    </row>
    <row r="3723" spans="29:36">
      <c r="AC3723" s="26"/>
      <c r="AE3723" s="26"/>
      <c r="AF3723" s="26"/>
      <c r="AJ3723" s="26"/>
    </row>
    <row r="3724" spans="29:36">
      <c r="AC3724" s="26"/>
      <c r="AE3724" s="26"/>
      <c r="AF3724" s="26"/>
      <c r="AJ3724" s="26"/>
    </row>
    <row r="3725" spans="29:36">
      <c r="AC3725" s="26"/>
      <c r="AE3725" s="26"/>
      <c r="AF3725" s="26"/>
      <c r="AJ3725" s="26"/>
    </row>
    <row r="3726" spans="29:36">
      <c r="AC3726" s="26"/>
      <c r="AE3726" s="26"/>
      <c r="AF3726" s="26"/>
      <c r="AJ3726" s="26"/>
    </row>
    <row r="3727" spans="29:36">
      <c r="AC3727" s="26"/>
      <c r="AE3727" s="26"/>
      <c r="AF3727" s="26"/>
      <c r="AJ3727" s="26"/>
    </row>
    <row r="3728" spans="29:36">
      <c r="AC3728" s="26"/>
      <c r="AE3728" s="26"/>
      <c r="AF3728" s="26"/>
      <c r="AJ3728" s="26"/>
    </row>
    <row r="3729" spans="29:36">
      <c r="AC3729" s="26"/>
      <c r="AE3729" s="26"/>
      <c r="AF3729" s="26"/>
      <c r="AJ3729" s="26"/>
    </row>
    <row r="3730" spans="29:36">
      <c r="AC3730" s="26"/>
      <c r="AE3730" s="26"/>
      <c r="AF3730" s="26"/>
      <c r="AJ3730" s="26"/>
    </row>
    <row r="3731" spans="29:36">
      <c r="AC3731" s="26"/>
      <c r="AE3731" s="26"/>
      <c r="AF3731" s="26"/>
      <c r="AJ3731" s="26"/>
    </row>
    <row r="3732" spans="29:36">
      <c r="AC3732" s="26"/>
      <c r="AE3732" s="26"/>
      <c r="AF3732" s="26"/>
      <c r="AJ3732" s="26"/>
    </row>
    <row r="3733" spans="29:36">
      <c r="AC3733" s="26"/>
      <c r="AE3733" s="26"/>
      <c r="AF3733" s="26"/>
      <c r="AJ3733" s="26"/>
    </row>
    <row r="3734" spans="29:36">
      <c r="AC3734" s="26"/>
      <c r="AE3734" s="26"/>
      <c r="AF3734" s="26"/>
      <c r="AJ3734" s="26"/>
    </row>
    <row r="3735" spans="29:36">
      <c r="AC3735" s="26"/>
      <c r="AE3735" s="26"/>
      <c r="AF3735" s="26"/>
      <c r="AJ3735" s="26"/>
    </row>
    <row r="3736" spans="29:36">
      <c r="AC3736" s="26"/>
      <c r="AE3736" s="26"/>
      <c r="AF3736" s="26"/>
      <c r="AJ3736" s="26"/>
    </row>
    <row r="3737" spans="29:36">
      <c r="AC3737" s="26"/>
      <c r="AE3737" s="26"/>
      <c r="AF3737" s="26"/>
      <c r="AJ3737" s="26"/>
    </row>
    <row r="3738" spans="29:36">
      <c r="AC3738" s="26"/>
      <c r="AE3738" s="26"/>
      <c r="AF3738" s="26"/>
      <c r="AJ3738" s="26"/>
    </row>
    <row r="3739" spans="29:36">
      <c r="AC3739" s="26"/>
      <c r="AE3739" s="26"/>
      <c r="AF3739" s="26"/>
      <c r="AJ3739" s="26"/>
    </row>
    <row r="3740" spans="29:36">
      <c r="AC3740" s="26"/>
      <c r="AE3740" s="26"/>
      <c r="AF3740" s="26"/>
      <c r="AJ3740" s="26"/>
    </row>
    <row r="3741" spans="29:36">
      <c r="AC3741" s="26"/>
      <c r="AE3741" s="26"/>
      <c r="AF3741" s="26"/>
      <c r="AJ3741" s="26"/>
    </row>
    <row r="3742" spans="29:36">
      <c r="AC3742" s="26"/>
      <c r="AE3742" s="26"/>
      <c r="AF3742" s="26"/>
      <c r="AJ3742" s="26"/>
    </row>
    <row r="3743" spans="29:36">
      <c r="AC3743" s="26"/>
      <c r="AE3743" s="26"/>
      <c r="AF3743" s="26"/>
      <c r="AJ3743" s="26"/>
    </row>
    <row r="3744" spans="29:36">
      <c r="AC3744" s="26"/>
      <c r="AE3744" s="26"/>
      <c r="AF3744" s="26"/>
      <c r="AJ3744" s="26"/>
    </row>
    <row r="3745" spans="29:36">
      <c r="AC3745" s="26"/>
      <c r="AE3745" s="26"/>
      <c r="AF3745" s="26"/>
      <c r="AJ3745" s="26"/>
    </row>
    <row r="3746" spans="29:36">
      <c r="AC3746" s="26"/>
      <c r="AE3746" s="26"/>
      <c r="AF3746" s="26"/>
      <c r="AJ3746" s="26"/>
    </row>
    <row r="3747" spans="29:36">
      <c r="AC3747" s="26"/>
      <c r="AE3747" s="26"/>
      <c r="AF3747" s="26"/>
      <c r="AJ3747" s="26"/>
    </row>
    <row r="3748" spans="29:36">
      <c r="AC3748" s="26"/>
      <c r="AE3748" s="26"/>
      <c r="AF3748" s="26"/>
      <c r="AJ3748" s="26"/>
    </row>
    <row r="3749" spans="29:36">
      <c r="AC3749" s="26"/>
      <c r="AE3749" s="26"/>
      <c r="AF3749" s="26"/>
      <c r="AJ3749" s="26"/>
    </row>
    <row r="3750" spans="29:36">
      <c r="AC3750" s="26"/>
      <c r="AE3750" s="26"/>
      <c r="AF3750" s="26"/>
      <c r="AJ3750" s="26"/>
    </row>
    <row r="3751" spans="29:36">
      <c r="AC3751" s="26"/>
      <c r="AE3751" s="26"/>
      <c r="AF3751" s="26"/>
      <c r="AJ3751" s="26"/>
    </row>
    <row r="3752" spans="29:36">
      <c r="AC3752" s="26"/>
      <c r="AE3752" s="26"/>
      <c r="AF3752" s="26"/>
      <c r="AJ3752" s="26"/>
    </row>
    <row r="3753" spans="29:36">
      <c r="AC3753" s="26"/>
      <c r="AE3753" s="26"/>
      <c r="AF3753" s="26"/>
      <c r="AJ3753" s="26"/>
    </row>
    <row r="3754" spans="29:36">
      <c r="AC3754" s="26"/>
      <c r="AE3754" s="26"/>
      <c r="AF3754" s="26"/>
      <c r="AJ3754" s="26"/>
    </row>
    <row r="3755" spans="29:36">
      <c r="AC3755" s="26"/>
      <c r="AE3755" s="26"/>
      <c r="AF3755" s="26"/>
      <c r="AJ3755" s="26"/>
    </row>
    <row r="3756" spans="29:36">
      <c r="AC3756" s="26"/>
      <c r="AE3756" s="26"/>
      <c r="AF3756" s="26"/>
      <c r="AJ3756" s="26"/>
    </row>
    <row r="3757" spans="29:36">
      <c r="AC3757" s="26"/>
      <c r="AE3757" s="26"/>
      <c r="AF3757" s="26"/>
      <c r="AJ3757" s="26"/>
    </row>
    <row r="3758" spans="29:36">
      <c r="AC3758" s="26"/>
      <c r="AE3758" s="26"/>
      <c r="AF3758" s="26"/>
      <c r="AJ3758" s="26"/>
    </row>
    <row r="3759" spans="29:36">
      <c r="AC3759" s="26"/>
      <c r="AE3759" s="26"/>
      <c r="AF3759" s="26"/>
      <c r="AJ3759" s="26"/>
    </row>
    <row r="3760" spans="29:36">
      <c r="AC3760" s="26"/>
      <c r="AE3760" s="26"/>
      <c r="AF3760" s="26"/>
      <c r="AJ3760" s="26"/>
    </row>
    <row r="3761" spans="29:36">
      <c r="AC3761" s="26"/>
      <c r="AE3761" s="26"/>
      <c r="AF3761" s="26"/>
      <c r="AJ3761" s="26"/>
    </row>
    <row r="3762" spans="29:36">
      <c r="AC3762" s="26"/>
      <c r="AE3762" s="26"/>
      <c r="AF3762" s="26"/>
      <c r="AJ3762" s="26"/>
    </row>
    <row r="3763" spans="29:36">
      <c r="AC3763" s="26"/>
      <c r="AE3763" s="26"/>
      <c r="AF3763" s="26"/>
      <c r="AJ3763" s="26"/>
    </row>
    <row r="3764" spans="29:36">
      <c r="AC3764" s="26"/>
      <c r="AE3764" s="26"/>
      <c r="AF3764" s="26"/>
      <c r="AJ3764" s="26"/>
    </row>
    <row r="3765" spans="29:36">
      <c r="AC3765" s="26"/>
      <c r="AE3765" s="26"/>
      <c r="AF3765" s="26"/>
      <c r="AJ3765" s="26"/>
    </row>
    <row r="3766" spans="29:36">
      <c r="AC3766" s="26"/>
      <c r="AE3766" s="26"/>
      <c r="AF3766" s="26"/>
      <c r="AJ3766" s="26"/>
    </row>
    <row r="3767" spans="29:36">
      <c r="AC3767" s="26"/>
      <c r="AE3767" s="26"/>
      <c r="AF3767" s="26"/>
      <c r="AJ3767" s="26"/>
    </row>
    <row r="3768" spans="29:36">
      <c r="AC3768" s="26"/>
      <c r="AE3768" s="26"/>
      <c r="AF3768" s="26"/>
      <c r="AJ3768" s="26"/>
    </row>
    <row r="3769" spans="29:36">
      <c r="AC3769" s="26"/>
      <c r="AE3769" s="26"/>
      <c r="AF3769" s="26"/>
      <c r="AJ3769" s="26"/>
    </row>
    <row r="3770" spans="29:36">
      <c r="AC3770" s="26"/>
      <c r="AE3770" s="26"/>
      <c r="AF3770" s="26"/>
      <c r="AJ3770" s="26"/>
    </row>
    <row r="3771" spans="29:36">
      <c r="AC3771" s="26"/>
      <c r="AE3771" s="26"/>
      <c r="AF3771" s="26"/>
      <c r="AJ3771" s="26"/>
    </row>
    <row r="3772" spans="29:36">
      <c r="AC3772" s="26"/>
      <c r="AE3772" s="26"/>
      <c r="AF3772" s="26"/>
      <c r="AJ3772" s="26"/>
    </row>
    <row r="3773" spans="29:36">
      <c r="AC3773" s="26"/>
      <c r="AE3773" s="26"/>
      <c r="AF3773" s="26"/>
      <c r="AJ3773" s="26"/>
    </row>
    <row r="3774" spans="29:36">
      <c r="AC3774" s="26"/>
      <c r="AE3774" s="26"/>
      <c r="AF3774" s="26"/>
      <c r="AJ3774" s="26"/>
    </row>
    <row r="3775" spans="29:36">
      <c r="AC3775" s="26"/>
      <c r="AE3775" s="26"/>
      <c r="AF3775" s="26"/>
      <c r="AJ3775" s="26"/>
    </row>
    <row r="3776" spans="29:36">
      <c r="AC3776" s="26"/>
      <c r="AE3776" s="26"/>
      <c r="AF3776" s="26"/>
      <c r="AJ3776" s="26"/>
    </row>
    <row r="3777" spans="29:36">
      <c r="AC3777" s="26"/>
      <c r="AE3777" s="26"/>
      <c r="AF3777" s="26"/>
      <c r="AJ3777" s="26"/>
    </row>
    <row r="3778" spans="29:36">
      <c r="AC3778" s="26"/>
      <c r="AE3778" s="26"/>
      <c r="AF3778" s="26"/>
      <c r="AJ3778" s="26"/>
    </row>
    <row r="3779" spans="29:36">
      <c r="AC3779" s="26"/>
      <c r="AE3779" s="26"/>
      <c r="AF3779" s="26"/>
      <c r="AJ3779" s="26"/>
    </row>
    <row r="3780" spans="29:36">
      <c r="AC3780" s="26"/>
      <c r="AE3780" s="26"/>
      <c r="AF3780" s="26"/>
      <c r="AJ3780" s="26"/>
    </row>
    <row r="3781" spans="29:36">
      <c r="AC3781" s="26"/>
      <c r="AE3781" s="26"/>
      <c r="AF3781" s="26"/>
      <c r="AJ3781" s="26"/>
    </row>
    <row r="3782" spans="29:36">
      <c r="AC3782" s="26"/>
      <c r="AE3782" s="26"/>
      <c r="AF3782" s="26"/>
      <c r="AJ3782" s="26"/>
    </row>
    <row r="3783" spans="29:36">
      <c r="AC3783" s="26"/>
      <c r="AE3783" s="26"/>
      <c r="AF3783" s="26"/>
      <c r="AJ3783" s="26"/>
    </row>
    <row r="3784" spans="29:36">
      <c r="AC3784" s="26"/>
      <c r="AE3784" s="26"/>
      <c r="AF3784" s="26"/>
      <c r="AJ3784" s="26"/>
    </row>
    <row r="3785" spans="29:36">
      <c r="AC3785" s="26"/>
      <c r="AE3785" s="26"/>
      <c r="AF3785" s="26"/>
      <c r="AJ3785" s="26"/>
    </row>
    <row r="3786" spans="29:36">
      <c r="AC3786" s="26"/>
      <c r="AE3786" s="26"/>
      <c r="AF3786" s="26"/>
      <c r="AJ3786" s="26"/>
    </row>
    <row r="3787" spans="29:36">
      <c r="AC3787" s="26"/>
      <c r="AE3787" s="26"/>
      <c r="AF3787" s="26"/>
      <c r="AJ3787" s="26"/>
    </row>
    <row r="3788" spans="29:36">
      <c r="AC3788" s="26"/>
      <c r="AE3788" s="26"/>
      <c r="AF3788" s="26"/>
      <c r="AJ3788" s="26"/>
    </row>
    <row r="3789" spans="29:36">
      <c r="AC3789" s="26"/>
      <c r="AE3789" s="26"/>
      <c r="AF3789" s="26"/>
      <c r="AJ3789" s="26"/>
    </row>
    <row r="3790" spans="29:36">
      <c r="AC3790" s="26"/>
      <c r="AE3790" s="26"/>
      <c r="AF3790" s="26"/>
      <c r="AJ3790" s="26"/>
    </row>
    <row r="3791" spans="29:36">
      <c r="AC3791" s="26"/>
      <c r="AE3791" s="26"/>
      <c r="AF3791" s="26"/>
      <c r="AJ3791" s="26"/>
    </row>
    <row r="3792" spans="29:36">
      <c r="AC3792" s="26"/>
      <c r="AE3792" s="26"/>
      <c r="AF3792" s="26"/>
      <c r="AJ3792" s="26"/>
    </row>
    <row r="3793" spans="29:36">
      <c r="AC3793" s="26"/>
      <c r="AE3793" s="26"/>
      <c r="AF3793" s="26"/>
      <c r="AJ3793" s="26"/>
    </row>
    <row r="3794" spans="29:36">
      <c r="AC3794" s="26"/>
      <c r="AE3794" s="26"/>
      <c r="AF3794" s="26"/>
      <c r="AJ3794" s="26"/>
    </row>
    <row r="3795" spans="29:36">
      <c r="AC3795" s="26"/>
      <c r="AE3795" s="26"/>
      <c r="AF3795" s="26"/>
      <c r="AJ3795" s="26"/>
    </row>
    <row r="3796" spans="29:36">
      <c r="AC3796" s="26"/>
      <c r="AE3796" s="26"/>
      <c r="AF3796" s="26"/>
      <c r="AJ3796" s="26"/>
    </row>
    <row r="3797" spans="29:36">
      <c r="AC3797" s="26"/>
      <c r="AE3797" s="26"/>
      <c r="AF3797" s="26"/>
      <c r="AJ3797" s="26"/>
    </row>
    <row r="3798" spans="29:36">
      <c r="AC3798" s="26"/>
      <c r="AE3798" s="26"/>
      <c r="AF3798" s="26"/>
      <c r="AJ3798" s="26"/>
    </row>
    <row r="3799" spans="29:36">
      <c r="AC3799" s="26"/>
      <c r="AE3799" s="26"/>
      <c r="AF3799" s="26"/>
      <c r="AJ3799" s="26"/>
    </row>
    <row r="3800" spans="29:36">
      <c r="AC3800" s="26"/>
      <c r="AE3800" s="26"/>
      <c r="AF3800" s="26"/>
      <c r="AJ3800" s="26"/>
    </row>
    <row r="3801" spans="29:36">
      <c r="AC3801" s="26"/>
      <c r="AE3801" s="26"/>
      <c r="AF3801" s="26"/>
      <c r="AJ3801" s="26"/>
    </row>
    <row r="3802" spans="29:36">
      <c r="AC3802" s="26"/>
      <c r="AE3802" s="26"/>
      <c r="AF3802" s="26"/>
      <c r="AJ3802" s="26"/>
    </row>
    <row r="3803" spans="29:36">
      <c r="AC3803" s="26"/>
      <c r="AE3803" s="26"/>
      <c r="AF3803" s="26"/>
      <c r="AJ3803" s="26"/>
    </row>
    <row r="3804" spans="29:36">
      <c r="AC3804" s="26"/>
      <c r="AE3804" s="26"/>
      <c r="AF3804" s="26"/>
      <c r="AJ3804" s="26"/>
    </row>
    <row r="3805" spans="29:36">
      <c r="AC3805" s="26"/>
      <c r="AE3805" s="26"/>
      <c r="AF3805" s="26"/>
      <c r="AJ3805" s="26"/>
    </row>
    <row r="3806" spans="29:36">
      <c r="AC3806" s="26"/>
      <c r="AE3806" s="26"/>
      <c r="AF3806" s="26"/>
      <c r="AJ3806" s="26"/>
    </row>
    <row r="3807" spans="29:36">
      <c r="AC3807" s="26"/>
      <c r="AE3807" s="26"/>
      <c r="AF3807" s="26"/>
      <c r="AJ3807" s="26"/>
    </row>
    <row r="3808" spans="29:36">
      <c r="AC3808" s="26"/>
      <c r="AE3808" s="26"/>
      <c r="AF3808" s="26"/>
      <c r="AJ3808" s="26"/>
    </row>
    <row r="3809" spans="29:36">
      <c r="AC3809" s="26"/>
      <c r="AE3809" s="26"/>
      <c r="AF3809" s="26"/>
      <c r="AJ3809" s="26"/>
    </row>
    <row r="3810" spans="29:36">
      <c r="AC3810" s="26"/>
      <c r="AE3810" s="26"/>
      <c r="AF3810" s="26"/>
      <c r="AJ3810" s="26"/>
    </row>
    <row r="3811" spans="29:36">
      <c r="AC3811" s="26"/>
      <c r="AE3811" s="26"/>
      <c r="AF3811" s="26"/>
      <c r="AJ3811" s="26"/>
    </row>
    <row r="3812" spans="29:36">
      <c r="AC3812" s="26"/>
      <c r="AE3812" s="26"/>
      <c r="AF3812" s="26"/>
      <c r="AJ3812" s="26"/>
    </row>
    <row r="3813" spans="29:36">
      <c r="AC3813" s="26"/>
      <c r="AE3813" s="26"/>
      <c r="AF3813" s="26"/>
      <c r="AJ3813" s="26"/>
    </row>
    <row r="3814" spans="29:36">
      <c r="AC3814" s="26"/>
      <c r="AE3814" s="26"/>
      <c r="AF3814" s="26"/>
      <c r="AJ3814" s="26"/>
    </row>
    <row r="3815" spans="29:36">
      <c r="AC3815" s="26"/>
      <c r="AE3815" s="26"/>
      <c r="AF3815" s="26"/>
      <c r="AJ3815" s="26"/>
    </row>
    <row r="3816" spans="29:36">
      <c r="AC3816" s="26"/>
      <c r="AE3816" s="26"/>
      <c r="AF3816" s="26"/>
      <c r="AJ3816" s="26"/>
    </row>
    <row r="3817" spans="29:36">
      <c r="AC3817" s="26"/>
      <c r="AE3817" s="26"/>
      <c r="AF3817" s="26"/>
      <c r="AJ3817" s="26"/>
    </row>
    <row r="3818" spans="29:36">
      <c r="AC3818" s="26"/>
      <c r="AE3818" s="26"/>
      <c r="AF3818" s="26"/>
      <c r="AJ3818" s="26"/>
    </row>
    <row r="3819" spans="29:36">
      <c r="AC3819" s="26"/>
      <c r="AE3819" s="26"/>
      <c r="AF3819" s="26"/>
      <c r="AJ3819" s="26"/>
    </row>
    <row r="3820" spans="29:36">
      <c r="AC3820" s="26"/>
      <c r="AE3820" s="26"/>
      <c r="AF3820" s="26"/>
      <c r="AJ3820" s="26"/>
    </row>
    <row r="3821" spans="29:36">
      <c r="AC3821" s="26"/>
      <c r="AE3821" s="26"/>
      <c r="AF3821" s="26"/>
      <c r="AJ3821" s="26"/>
    </row>
    <row r="3822" spans="29:36">
      <c r="AC3822" s="26"/>
      <c r="AE3822" s="26"/>
      <c r="AF3822" s="26"/>
      <c r="AJ3822" s="26"/>
    </row>
    <row r="3823" spans="29:36">
      <c r="AC3823" s="26"/>
      <c r="AE3823" s="26"/>
      <c r="AF3823" s="26"/>
      <c r="AJ3823" s="26"/>
    </row>
    <row r="3824" spans="29:36">
      <c r="AC3824" s="26"/>
      <c r="AE3824" s="26"/>
      <c r="AF3824" s="26"/>
      <c r="AJ3824" s="26"/>
    </row>
    <row r="3825" spans="29:36">
      <c r="AC3825" s="26"/>
      <c r="AE3825" s="26"/>
      <c r="AF3825" s="26"/>
      <c r="AJ3825" s="26"/>
    </row>
    <row r="3826" spans="29:36">
      <c r="AC3826" s="26"/>
      <c r="AE3826" s="26"/>
      <c r="AF3826" s="26"/>
      <c r="AJ3826" s="26"/>
    </row>
    <row r="3827" spans="29:36">
      <c r="AC3827" s="26"/>
      <c r="AE3827" s="26"/>
      <c r="AF3827" s="26"/>
      <c r="AJ3827" s="26"/>
    </row>
    <row r="3828" spans="29:36">
      <c r="AC3828" s="26"/>
      <c r="AE3828" s="26"/>
      <c r="AF3828" s="26"/>
      <c r="AJ3828" s="26"/>
    </row>
    <row r="3829" spans="29:36">
      <c r="AC3829" s="26"/>
      <c r="AE3829" s="26"/>
      <c r="AF3829" s="26"/>
      <c r="AJ3829" s="26"/>
    </row>
    <row r="3830" spans="29:36">
      <c r="AC3830" s="26"/>
      <c r="AE3830" s="26"/>
      <c r="AF3830" s="26"/>
      <c r="AJ3830" s="26"/>
    </row>
    <row r="3831" spans="29:36">
      <c r="AC3831" s="26"/>
      <c r="AE3831" s="26"/>
      <c r="AF3831" s="26"/>
      <c r="AJ3831" s="26"/>
    </row>
    <row r="3832" spans="29:36">
      <c r="AC3832" s="26"/>
      <c r="AE3832" s="26"/>
      <c r="AF3832" s="26"/>
      <c r="AJ3832" s="26"/>
    </row>
    <row r="3833" spans="29:36">
      <c r="AC3833" s="26"/>
      <c r="AE3833" s="26"/>
      <c r="AF3833" s="26"/>
      <c r="AJ3833" s="26"/>
    </row>
    <row r="3834" spans="29:36">
      <c r="AC3834" s="26"/>
      <c r="AE3834" s="26"/>
      <c r="AF3834" s="26"/>
      <c r="AJ3834" s="26"/>
    </row>
    <row r="3835" spans="29:36">
      <c r="AC3835" s="26"/>
      <c r="AE3835" s="26"/>
      <c r="AF3835" s="26"/>
      <c r="AJ3835" s="26"/>
    </row>
    <row r="3836" spans="29:36">
      <c r="AC3836" s="26"/>
      <c r="AE3836" s="26"/>
      <c r="AF3836" s="26"/>
      <c r="AJ3836" s="26"/>
    </row>
    <row r="3837" spans="29:36">
      <c r="AC3837" s="26"/>
      <c r="AE3837" s="26"/>
      <c r="AF3837" s="26"/>
      <c r="AJ3837" s="26"/>
    </row>
    <row r="3838" spans="29:36">
      <c r="AC3838" s="26"/>
      <c r="AE3838" s="26"/>
      <c r="AF3838" s="26"/>
      <c r="AJ3838" s="26"/>
    </row>
    <row r="3839" spans="29:36">
      <c r="AC3839" s="26"/>
      <c r="AE3839" s="26"/>
      <c r="AF3839" s="26"/>
      <c r="AJ3839" s="26"/>
    </row>
    <row r="3840" spans="29:36">
      <c r="AC3840" s="26"/>
      <c r="AE3840" s="26"/>
      <c r="AF3840" s="26"/>
      <c r="AJ3840" s="26"/>
    </row>
    <row r="3841" spans="29:36">
      <c r="AC3841" s="26"/>
      <c r="AE3841" s="26"/>
      <c r="AF3841" s="26"/>
      <c r="AJ3841" s="26"/>
    </row>
    <row r="3842" spans="29:36">
      <c r="AC3842" s="26"/>
      <c r="AE3842" s="26"/>
      <c r="AF3842" s="26"/>
      <c r="AJ3842" s="26"/>
    </row>
    <row r="3843" spans="29:36">
      <c r="AC3843" s="26"/>
      <c r="AE3843" s="26"/>
      <c r="AF3843" s="26"/>
      <c r="AJ3843" s="26"/>
    </row>
    <row r="3844" spans="29:36">
      <c r="AC3844" s="26"/>
      <c r="AE3844" s="26"/>
      <c r="AF3844" s="26"/>
      <c r="AJ3844" s="26"/>
    </row>
    <row r="3845" spans="29:36">
      <c r="AC3845" s="26"/>
      <c r="AE3845" s="26"/>
      <c r="AF3845" s="26"/>
      <c r="AJ3845" s="26"/>
    </row>
    <row r="3846" spans="29:36">
      <c r="AC3846" s="26"/>
      <c r="AE3846" s="26"/>
      <c r="AF3846" s="26"/>
      <c r="AJ3846" s="26"/>
    </row>
    <row r="3847" spans="29:36">
      <c r="AC3847" s="26"/>
      <c r="AE3847" s="26"/>
      <c r="AF3847" s="26"/>
      <c r="AJ3847" s="26"/>
    </row>
    <row r="3848" spans="29:36">
      <c r="AC3848" s="26"/>
      <c r="AE3848" s="26"/>
      <c r="AF3848" s="26"/>
      <c r="AJ3848" s="26"/>
    </row>
    <row r="3849" spans="29:36">
      <c r="AC3849" s="26"/>
      <c r="AE3849" s="26"/>
      <c r="AF3849" s="26"/>
      <c r="AJ3849" s="26"/>
    </row>
    <row r="3850" spans="29:36">
      <c r="AC3850" s="26"/>
      <c r="AE3850" s="26"/>
      <c r="AF3850" s="26"/>
      <c r="AJ3850" s="26"/>
    </row>
    <row r="3851" spans="29:36">
      <c r="AC3851" s="26"/>
      <c r="AE3851" s="26"/>
      <c r="AF3851" s="26"/>
      <c r="AJ3851" s="26"/>
    </row>
    <row r="3852" spans="29:36">
      <c r="AC3852" s="26"/>
      <c r="AE3852" s="26"/>
      <c r="AF3852" s="26"/>
      <c r="AJ3852" s="26"/>
    </row>
    <row r="3853" spans="29:36">
      <c r="AC3853" s="26"/>
      <c r="AE3853" s="26"/>
      <c r="AF3853" s="26"/>
      <c r="AJ3853" s="26"/>
    </row>
    <row r="3854" spans="29:36">
      <c r="AC3854" s="26"/>
      <c r="AE3854" s="26"/>
      <c r="AF3854" s="26"/>
      <c r="AJ3854" s="26"/>
    </row>
    <row r="3855" spans="29:36">
      <c r="AC3855" s="26"/>
      <c r="AE3855" s="26"/>
      <c r="AF3855" s="26"/>
      <c r="AJ3855" s="26"/>
    </row>
    <row r="3856" spans="29:36">
      <c r="AC3856" s="26"/>
      <c r="AE3856" s="26"/>
      <c r="AF3856" s="26"/>
      <c r="AJ3856" s="26"/>
    </row>
    <row r="3857" spans="29:36">
      <c r="AC3857" s="26"/>
      <c r="AE3857" s="26"/>
      <c r="AF3857" s="26"/>
      <c r="AJ3857" s="26"/>
    </row>
    <row r="3858" spans="29:36">
      <c r="AC3858" s="26"/>
      <c r="AE3858" s="26"/>
      <c r="AF3858" s="26"/>
      <c r="AJ3858" s="26"/>
    </row>
    <row r="3859" spans="29:36">
      <c r="AC3859" s="26"/>
      <c r="AE3859" s="26"/>
      <c r="AF3859" s="26"/>
      <c r="AJ3859" s="26"/>
    </row>
    <row r="3860" spans="29:36">
      <c r="AC3860" s="26"/>
      <c r="AE3860" s="26"/>
      <c r="AF3860" s="26"/>
      <c r="AJ3860" s="26"/>
    </row>
    <row r="3861" spans="29:36">
      <c r="AC3861" s="26"/>
      <c r="AE3861" s="26"/>
      <c r="AF3861" s="26"/>
      <c r="AJ3861" s="26"/>
    </row>
    <row r="3862" spans="29:36">
      <c r="AC3862" s="26"/>
      <c r="AE3862" s="26"/>
      <c r="AF3862" s="26"/>
      <c r="AJ3862" s="26"/>
    </row>
    <row r="3863" spans="29:36">
      <c r="AC3863" s="26"/>
      <c r="AE3863" s="26"/>
      <c r="AF3863" s="26"/>
      <c r="AJ3863" s="26"/>
    </row>
    <row r="3864" spans="29:36">
      <c r="AC3864" s="26"/>
      <c r="AE3864" s="26"/>
      <c r="AF3864" s="26"/>
      <c r="AJ3864" s="26"/>
    </row>
    <row r="3865" spans="29:36">
      <c r="AC3865" s="26"/>
      <c r="AE3865" s="26"/>
      <c r="AF3865" s="26"/>
      <c r="AJ3865" s="26"/>
    </row>
    <row r="3866" spans="29:36">
      <c r="AC3866" s="26"/>
      <c r="AE3866" s="26"/>
      <c r="AF3866" s="26"/>
      <c r="AJ3866" s="26"/>
    </row>
    <row r="3867" spans="29:36">
      <c r="AC3867" s="26"/>
      <c r="AE3867" s="26"/>
      <c r="AF3867" s="26"/>
      <c r="AJ3867" s="26"/>
    </row>
    <row r="3868" spans="29:36">
      <c r="AC3868" s="26"/>
      <c r="AE3868" s="26"/>
      <c r="AF3868" s="26"/>
      <c r="AJ3868" s="26"/>
    </row>
    <row r="3869" spans="29:36">
      <c r="AC3869" s="26"/>
      <c r="AE3869" s="26"/>
      <c r="AF3869" s="26"/>
      <c r="AJ3869" s="26"/>
    </row>
    <row r="3870" spans="29:36">
      <c r="AC3870" s="26"/>
      <c r="AE3870" s="26"/>
      <c r="AF3870" s="26"/>
      <c r="AJ3870" s="26"/>
    </row>
    <row r="3871" spans="29:36">
      <c r="AC3871" s="26"/>
      <c r="AE3871" s="26"/>
      <c r="AF3871" s="26"/>
      <c r="AJ3871" s="26"/>
    </row>
    <row r="3872" spans="29:36">
      <c r="AC3872" s="26"/>
      <c r="AE3872" s="26"/>
      <c r="AF3872" s="26"/>
      <c r="AJ3872" s="26"/>
    </row>
    <row r="3873" spans="29:36">
      <c r="AC3873" s="26"/>
      <c r="AE3873" s="26"/>
      <c r="AF3873" s="26"/>
      <c r="AJ3873" s="26"/>
    </row>
    <row r="3874" spans="29:36">
      <c r="AC3874" s="26"/>
      <c r="AE3874" s="26"/>
      <c r="AF3874" s="26"/>
      <c r="AJ3874" s="26"/>
    </row>
    <row r="3875" spans="29:36">
      <c r="AC3875" s="26"/>
      <c r="AE3875" s="26"/>
      <c r="AF3875" s="26"/>
      <c r="AJ3875" s="26"/>
    </row>
    <row r="3876" spans="29:36">
      <c r="AC3876" s="26"/>
      <c r="AE3876" s="26"/>
      <c r="AF3876" s="26"/>
      <c r="AJ3876" s="26"/>
    </row>
    <row r="3877" spans="29:36">
      <c r="AC3877" s="26"/>
      <c r="AE3877" s="26"/>
      <c r="AF3877" s="26"/>
      <c r="AJ3877" s="26"/>
    </row>
    <row r="3878" spans="29:36">
      <c r="AC3878" s="26"/>
      <c r="AE3878" s="26"/>
      <c r="AF3878" s="26"/>
      <c r="AJ3878" s="26"/>
    </row>
    <row r="3879" spans="29:36">
      <c r="AC3879" s="26"/>
      <c r="AE3879" s="26"/>
      <c r="AF3879" s="26"/>
      <c r="AJ3879" s="26"/>
    </row>
    <row r="3880" spans="29:36">
      <c r="AC3880" s="26"/>
      <c r="AE3880" s="26"/>
      <c r="AF3880" s="26"/>
      <c r="AJ3880" s="26"/>
    </row>
    <row r="3881" spans="29:36">
      <c r="AC3881" s="26"/>
      <c r="AE3881" s="26"/>
      <c r="AF3881" s="26"/>
      <c r="AJ3881" s="26"/>
    </row>
    <row r="3882" spans="29:36">
      <c r="AC3882" s="26"/>
      <c r="AE3882" s="26"/>
      <c r="AF3882" s="26"/>
      <c r="AJ3882" s="26"/>
    </row>
    <row r="3883" spans="29:36">
      <c r="AC3883" s="26"/>
      <c r="AE3883" s="26"/>
      <c r="AF3883" s="26"/>
      <c r="AJ3883" s="26"/>
    </row>
    <row r="3884" spans="29:36">
      <c r="AC3884" s="26"/>
      <c r="AE3884" s="26"/>
      <c r="AF3884" s="26"/>
      <c r="AJ3884" s="26"/>
    </row>
    <row r="3885" spans="29:36">
      <c r="AC3885" s="26"/>
      <c r="AE3885" s="26"/>
      <c r="AF3885" s="26"/>
      <c r="AJ3885" s="26"/>
    </row>
    <row r="3886" spans="29:36">
      <c r="AC3886" s="26"/>
      <c r="AE3886" s="26"/>
      <c r="AF3886" s="26"/>
      <c r="AJ3886" s="26"/>
    </row>
    <row r="3887" spans="29:36">
      <c r="AC3887" s="26"/>
      <c r="AE3887" s="26"/>
      <c r="AF3887" s="26"/>
      <c r="AJ3887" s="26"/>
    </row>
    <row r="3888" spans="29:36">
      <c r="AC3888" s="26"/>
      <c r="AE3888" s="26"/>
      <c r="AF3888" s="26"/>
      <c r="AJ3888" s="26"/>
    </row>
    <row r="3889" spans="29:36">
      <c r="AC3889" s="26"/>
      <c r="AE3889" s="26"/>
      <c r="AF3889" s="26"/>
      <c r="AJ3889" s="26"/>
    </row>
    <row r="3890" spans="29:36">
      <c r="AC3890" s="26"/>
      <c r="AE3890" s="26"/>
      <c r="AF3890" s="26"/>
      <c r="AJ3890" s="26"/>
    </row>
    <row r="3891" spans="29:36">
      <c r="AC3891" s="26"/>
      <c r="AE3891" s="26"/>
      <c r="AF3891" s="26"/>
      <c r="AJ3891" s="26"/>
    </row>
    <row r="3892" spans="29:36">
      <c r="AC3892" s="26"/>
      <c r="AE3892" s="26"/>
      <c r="AF3892" s="26"/>
      <c r="AJ3892" s="26"/>
    </row>
    <row r="3893" spans="29:36">
      <c r="AC3893" s="26"/>
      <c r="AE3893" s="26"/>
      <c r="AF3893" s="26"/>
      <c r="AJ3893" s="26"/>
    </row>
    <row r="3894" spans="29:36">
      <c r="AC3894" s="26"/>
      <c r="AE3894" s="26"/>
      <c r="AF3894" s="26"/>
      <c r="AJ3894" s="26"/>
    </row>
    <row r="3895" spans="29:36">
      <c r="AC3895" s="26"/>
      <c r="AE3895" s="26"/>
      <c r="AF3895" s="26"/>
      <c r="AJ3895" s="26"/>
    </row>
    <row r="3896" spans="29:36">
      <c r="AC3896" s="26"/>
      <c r="AE3896" s="26"/>
      <c r="AF3896" s="26"/>
      <c r="AJ3896" s="26"/>
    </row>
    <row r="3897" spans="29:36">
      <c r="AC3897" s="26"/>
      <c r="AE3897" s="26"/>
      <c r="AF3897" s="26"/>
      <c r="AJ3897" s="26"/>
    </row>
    <row r="3898" spans="29:36">
      <c r="AC3898" s="26"/>
      <c r="AE3898" s="26"/>
      <c r="AF3898" s="26"/>
      <c r="AJ3898" s="26"/>
    </row>
    <row r="3899" spans="29:36">
      <c r="AC3899" s="26"/>
      <c r="AE3899" s="26"/>
      <c r="AF3899" s="26"/>
      <c r="AJ3899" s="26"/>
    </row>
    <row r="3900" spans="29:36">
      <c r="AC3900" s="26"/>
      <c r="AE3900" s="26"/>
      <c r="AF3900" s="26"/>
      <c r="AJ3900" s="26"/>
    </row>
    <row r="3901" spans="29:36">
      <c r="AC3901" s="26"/>
      <c r="AE3901" s="26"/>
      <c r="AF3901" s="26"/>
      <c r="AJ3901" s="26"/>
    </row>
    <row r="3902" spans="29:36">
      <c r="AC3902" s="26"/>
      <c r="AE3902" s="26"/>
      <c r="AF3902" s="26"/>
      <c r="AJ3902" s="26"/>
    </row>
    <row r="3903" spans="29:36">
      <c r="AC3903" s="26"/>
      <c r="AE3903" s="26"/>
      <c r="AF3903" s="26"/>
      <c r="AJ3903" s="26"/>
    </row>
    <row r="3904" spans="29:36">
      <c r="AC3904" s="26"/>
      <c r="AE3904" s="26"/>
      <c r="AF3904" s="26"/>
      <c r="AJ3904" s="26"/>
    </row>
    <row r="3905" spans="29:36">
      <c r="AC3905" s="26"/>
      <c r="AE3905" s="26"/>
      <c r="AF3905" s="26"/>
      <c r="AJ3905" s="26"/>
    </row>
    <row r="3906" spans="29:36">
      <c r="AC3906" s="26"/>
      <c r="AE3906" s="26"/>
      <c r="AF3906" s="26"/>
      <c r="AJ3906" s="26"/>
    </row>
    <row r="3907" spans="29:36">
      <c r="AC3907" s="26"/>
      <c r="AE3907" s="26"/>
      <c r="AF3907" s="26"/>
      <c r="AJ3907" s="26"/>
    </row>
    <row r="3908" spans="29:36">
      <c r="AC3908" s="26"/>
      <c r="AE3908" s="26"/>
      <c r="AF3908" s="26"/>
      <c r="AJ3908" s="26"/>
    </row>
    <row r="3909" spans="29:36">
      <c r="AC3909" s="26"/>
      <c r="AE3909" s="26"/>
      <c r="AF3909" s="26"/>
      <c r="AJ3909" s="26"/>
    </row>
    <row r="3910" spans="29:36">
      <c r="AC3910" s="26"/>
      <c r="AE3910" s="26"/>
      <c r="AF3910" s="26"/>
      <c r="AJ3910" s="26"/>
    </row>
    <row r="3911" spans="29:36">
      <c r="AC3911" s="26"/>
      <c r="AE3911" s="26"/>
      <c r="AF3911" s="26"/>
      <c r="AJ3911" s="26"/>
    </row>
    <row r="3912" spans="29:36">
      <c r="AC3912" s="26"/>
      <c r="AE3912" s="26"/>
      <c r="AF3912" s="26"/>
      <c r="AJ3912" s="26"/>
    </row>
    <row r="3913" spans="29:36">
      <c r="AC3913" s="26"/>
      <c r="AE3913" s="26"/>
      <c r="AF3913" s="26"/>
      <c r="AJ3913" s="26"/>
    </row>
    <row r="3914" spans="29:36">
      <c r="AC3914" s="26"/>
      <c r="AE3914" s="26"/>
      <c r="AF3914" s="26"/>
      <c r="AJ3914" s="26"/>
    </row>
    <row r="3915" spans="29:36">
      <c r="AC3915" s="26"/>
      <c r="AE3915" s="26"/>
      <c r="AF3915" s="26"/>
      <c r="AJ3915" s="26"/>
    </row>
    <row r="3916" spans="29:36">
      <c r="AC3916" s="26"/>
      <c r="AE3916" s="26"/>
      <c r="AF3916" s="26"/>
      <c r="AJ3916" s="26"/>
    </row>
    <row r="3917" spans="29:36">
      <c r="AC3917" s="26"/>
      <c r="AE3917" s="26"/>
      <c r="AF3917" s="26"/>
      <c r="AJ3917" s="26"/>
    </row>
    <row r="3918" spans="29:36">
      <c r="AC3918" s="26"/>
      <c r="AE3918" s="26"/>
      <c r="AF3918" s="26"/>
      <c r="AJ3918" s="26"/>
    </row>
    <row r="3919" spans="29:36">
      <c r="AC3919" s="26"/>
      <c r="AE3919" s="26"/>
      <c r="AF3919" s="26"/>
      <c r="AJ3919" s="26"/>
    </row>
    <row r="3920" spans="29:36">
      <c r="AC3920" s="26"/>
      <c r="AE3920" s="26"/>
      <c r="AF3920" s="26"/>
      <c r="AJ3920" s="26"/>
    </row>
    <row r="3921" spans="29:36">
      <c r="AC3921" s="26"/>
      <c r="AE3921" s="26"/>
      <c r="AF3921" s="26"/>
      <c r="AJ3921" s="26"/>
    </row>
    <row r="3922" spans="29:36">
      <c r="AC3922" s="26"/>
      <c r="AE3922" s="26"/>
      <c r="AF3922" s="26"/>
      <c r="AJ3922" s="26"/>
    </row>
    <row r="3923" spans="29:36">
      <c r="AC3923" s="26"/>
      <c r="AE3923" s="26"/>
      <c r="AF3923" s="26"/>
      <c r="AJ3923" s="26"/>
    </row>
    <row r="3924" spans="29:36">
      <c r="AC3924" s="26"/>
      <c r="AE3924" s="26"/>
      <c r="AF3924" s="26"/>
      <c r="AJ3924" s="26"/>
    </row>
    <row r="3925" spans="29:36">
      <c r="AC3925" s="26"/>
      <c r="AE3925" s="26"/>
      <c r="AF3925" s="26"/>
      <c r="AJ3925" s="26"/>
    </row>
    <row r="3926" spans="29:36">
      <c r="AC3926" s="26"/>
      <c r="AE3926" s="26"/>
      <c r="AF3926" s="26"/>
      <c r="AJ3926" s="26"/>
    </row>
    <row r="3927" spans="29:36">
      <c r="AC3927" s="26"/>
      <c r="AE3927" s="26"/>
      <c r="AF3927" s="26"/>
      <c r="AJ3927" s="26"/>
    </row>
    <row r="3928" spans="29:36">
      <c r="AC3928" s="26"/>
      <c r="AE3928" s="26"/>
      <c r="AF3928" s="26"/>
      <c r="AJ3928" s="26"/>
    </row>
    <row r="3929" spans="29:36">
      <c r="AC3929" s="26"/>
      <c r="AE3929" s="26"/>
      <c r="AF3929" s="26"/>
      <c r="AJ3929" s="26"/>
    </row>
    <row r="3930" spans="29:36">
      <c r="AC3930" s="26"/>
      <c r="AE3930" s="26"/>
      <c r="AF3930" s="26"/>
      <c r="AJ3930" s="26"/>
    </row>
    <row r="3931" spans="29:36">
      <c r="AC3931" s="26"/>
      <c r="AE3931" s="26"/>
      <c r="AF3931" s="26"/>
      <c r="AJ3931" s="26"/>
    </row>
    <row r="3932" spans="29:36">
      <c r="AC3932" s="26"/>
      <c r="AE3932" s="26"/>
      <c r="AF3932" s="26"/>
      <c r="AJ3932" s="26"/>
    </row>
    <row r="3933" spans="29:36">
      <c r="AC3933" s="26"/>
      <c r="AE3933" s="26"/>
      <c r="AF3933" s="26"/>
      <c r="AJ3933" s="26"/>
    </row>
    <row r="3934" spans="29:36">
      <c r="AC3934" s="26"/>
      <c r="AE3934" s="26"/>
      <c r="AF3934" s="26"/>
      <c r="AJ3934" s="26"/>
    </row>
    <row r="3935" spans="29:36">
      <c r="AC3935" s="26"/>
      <c r="AE3935" s="26"/>
      <c r="AF3935" s="26"/>
      <c r="AJ3935" s="26"/>
    </row>
    <row r="3936" spans="29:36">
      <c r="AC3936" s="26"/>
      <c r="AE3936" s="26"/>
      <c r="AF3936" s="26"/>
      <c r="AJ3936" s="26"/>
    </row>
    <row r="3937" spans="29:36">
      <c r="AC3937" s="26"/>
      <c r="AE3937" s="26"/>
      <c r="AF3937" s="26"/>
      <c r="AJ3937" s="26"/>
    </row>
    <row r="3938" spans="29:36">
      <c r="AC3938" s="26"/>
      <c r="AE3938" s="26"/>
      <c r="AF3938" s="26"/>
      <c r="AJ3938" s="26"/>
    </row>
    <row r="3939" spans="29:36">
      <c r="AC3939" s="26"/>
      <c r="AE3939" s="26"/>
      <c r="AF3939" s="26"/>
      <c r="AJ3939" s="26"/>
    </row>
    <row r="3940" spans="29:36">
      <c r="AC3940" s="26"/>
      <c r="AE3940" s="26"/>
      <c r="AF3940" s="26"/>
      <c r="AJ3940" s="26"/>
    </row>
    <row r="3941" spans="29:36">
      <c r="AC3941" s="26"/>
      <c r="AE3941" s="26"/>
      <c r="AF3941" s="26"/>
      <c r="AJ3941" s="26"/>
    </row>
    <row r="3942" spans="29:36">
      <c r="AC3942" s="26"/>
      <c r="AE3942" s="26"/>
      <c r="AF3942" s="26"/>
      <c r="AJ3942" s="26"/>
    </row>
    <row r="3943" spans="29:36">
      <c r="AC3943" s="26"/>
      <c r="AE3943" s="26"/>
      <c r="AF3943" s="26"/>
      <c r="AJ3943" s="26"/>
    </row>
    <row r="3944" spans="29:36">
      <c r="AC3944" s="26"/>
      <c r="AE3944" s="26"/>
      <c r="AF3944" s="26"/>
      <c r="AJ3944" s="26"/>
    </row>
    <row r="3945" spans="29:36">
      <c r="AC3945" s="26"/>
      <c r="AE3945" s="26"/>
      <c r="AF3945" s="26"/>
      <c r="AJ3945" s="26"/>
    </row>
    <row r="3946" spans="29:36">
      <c r="AC3946" s="26"/>
      <c r="AE3946" s="26"/>
      <c r="AF3946" s="26"/>
      <c r="AJ3946" s="26"/>
    </row>
    <row r="3947" spans="29:36">
      <c r="AC3947" s="26"/>
      <c r="AE3947" s="26"/>
      <c r="AF3947" s="26"/>
      <c r="AJ3947" s="26"/>
    </row>
    <row r="3948" spans="29:36">
      <c r="AC3948" s="26"/>
      <c r="AE3948" s="26"/>
      <c r="AF3948" s="26"/>
      <c r="AJ3948" s="26"/>
    </row>
    <row r="3949" spans="29:36">
      <c r="AC3949" s="26"/>
      <c r="AE3949" s="26"/>
      <c r="AF3949" s="26"/>
      <c r="AJ3949" s="26"/>
    </row>
    <row r="3950" spans="29:36">
      <c r="AC3950" s="26"/>
      <c r="AE3950" s="26"/>
      <c r="AF3950" s="26"/>
      <c r="AJ3950" s="26"/>
    </row>
    <row r="3951" spans="29:36">
      <c r="AC3951" s="26"/>
      <c r="AE3951" s="26"/>
      <c r="AF3951" s="26"/>
      <c r="AJ3951" s="26"/>
    </row>
    <row r="3952" spans="29:36">
      <c r="AC3952" s="26"/>
      <c r="AE3952" s="26"/>
      <c r="AF3952" s="26"/>
      <c r="AJ3952" s="26"/>
    </row>
    <row r="3953" spans="29:36">
      <c r="AC3953" s="26"/>
      <c r="AE3953" s="26"/>
      <c r="AF3953" s="26"/>
      <c r="AJ3953" s="26"/>
    </row>
    <row r="3954" spans="29:36">
      <c r="AC3954" s="26"/>
      <c r="AE3954" s="26"/>
      <c r="AF3954" s="26"/>
      <c r="AJ3954" s="26"/>
    </row>
    <row r="3955" spans="29:36">
      <c r="AC3955" s="26"/>
      <c r="AE3955" s="26"/>
      <c r="AF3955" s="26"/>
      <c r="AJ3955" s="26"/>
    </row>
    <row r="3956" spans="29:36">
      <c r="AC3956" s="26"/>
      <c r="AE3956" s="26"/>
      <c r="AF3956" s="26"/>
      <c r="AJ3956" s="26"/>
    </row>
    <row r="3957" spans="29:36">
      <c r="AC3957" s="26"/>
      <c r="AE3957" s="26"/>
      <c r="AF3957" s="26"/>
      <c r="AJ3957" s="26"/>
    </row>
    <row r="3958" spans="29:36">
      <c r="AC3958" s="26"/>
      <c r="AE3958" s="26"/>
      <c r="AF3958" s="26"/>
      <c r="AJ3958" s="26"/>
    </row>
    <row r="3959" spans="29:36">
      <c r="AC3959" s="26"/>
      <c r="AE3959" s="26"/>
      <c r="AF3959" s="26"/>
      <c r="AJ3959" s="26"/>
    </row>
    <row r="3960" spans="29:36">
      <c r="AC3960" s="26"/>
      <c r="AE3960" s="26"/>
      <c r="AF3960" s="26"/>
      <c r="AJ3960" s="26"/>
    </row>
    <row r="3961" spans="29:36">
      <c r="AC3961" s="26"/>
      <c r="AE3961" s="26"/>
      <c r="AF3961" s="26"/>
      <c r="AJ3961" s="26"/>
    </row>
    <row r="3962" spans="29:36">
      <c r="AC3962" s="26"/>
      <c r="AE3962" s="26"/>
      <c r="AF3962" s="26"/>
      <c r="AJ3962" s="26"/>
    </row>
    <row r="3963" spans="29:36">
      <c r="AC3963" s="26"/>
      <c r="AE3963" s="26"/>
      <c r="AF3963" s="26"/>
      <c r="AJ3963" s="26"/>
    </row>
    <row r="3964" spans="29:36">
      <c r="AC3964" s="26"/>
      <c r="AE3964" s="26"/>
      <c r="AF3964" s="26"/>
      <c r="AJ3964" s="26"/>
    </row>
    <row r="3965" spans="29:36">
      <c r="AC3965" s="26"/>
      <c r="AE3965" s="26"/>
      <c r="AF3965" s="26"/>
      <c r="AJ3965" s="26"/>
    </row>
    <row r="3966" spans="29:36">
      <c r="AC3966" s="26"/>
      <c r="AE3966" s="26"/>
      <c r="AF3966" s="26"/>
      <c r="AJ3966" s="26"/>
    </row>
    <row r="3967" spans="29:36">
      <c r="AC3967" s="26"/>
      <c r="AE3967" s="26"/>
      <c r="AF3967" s="26"/>
      <c r="AJ3967" s="26"/>
    </row>
    <row r="3968" spans="29:36">
      <c r="AC3968" s="26"/>
      <c r="AE3968" s="26"/>
      <c r="AF3968" s="26"/>
      <c r="AJ3968" s="26"/>
    </row>
    <row r="3969" spans="29:36">
      <c r="AC3969" s="26"/>
      <c r="AE3969" s="26"/>
      <c r="AF3969" s="26"/>
      <c r="AJ3969" s="26"/>
    </row>
    <row r="3970" spans="29:36">
      <c r="AC3970" s="26"/>
      <c r="AE3970" s="26"/>
      <c r="AF3970" s="26"/>
      <c r="AJ3970" s="26"/>
    </row>
    <row r="3971" spans="29:36">
      <c r="AC3971" s="26"/>
      <c r="AE3971" s="26"/>
      <c r="AF3971" s="26"/>
      <c r="AJ3971" s="26"/>
    </row>
    <row r="3972" spans="29:36">
      <c r="AC3972" s="26"/>
      <c r="AE3972" s="26"/>
      <c r="AF3972" s="26"/>
      <c r="AJ3972" s="26"/>
    </row>
    <row r="3973" spans="29:36">
      <c r="AC3973" s="26"/>
      <c r="AE3973" s="26"/>
      <c r="AF3973" s="26"/>
      <c r="AJ3973" s="26"/>
    </row>
    <row r="3974" spans="29:36">
      <c r="AC3974" s="26"/>
      <c r="AE3974" s="26"/>
      <c r="AF3974" s="26"/>
      <c r="AJ3974" s="26"/>
    </row>
    <row r="3975" spans="29:36">
      <c r="AC3975" s="26"/>
      <c r="AE3975" s="26"/>
      <c r="AF3975" s="26"/>
      <c r="AJ3975" s="26"/>
    </row>
    <row r="3976" spans="29:36">
      <c r="AC3976" s="26"/>
      <c r="AE3976" s="26"/>
      <c r="AF3976" s="26"/>
      <c r="AJ3976" s="26"/>
    </row>
    <row r="3977" spans="29:36">
      <c r="AC3977" s="26"/>
      <c r="AE3977" s="26"/>
      <c r="AF3977" s="26"/>
      <c r="AJ3977" s="26"/>
    </row>
    <row r="3978" spans="29:36">
      <c r="AC3978" s="26"/>
      <c r="AE3978" s="26"/>
      <c r="AF3978" s="26"/>
      <c r="AJ3978" s="26"/>
    </row>
    <row r="3979" spans="29:36">
      <c r="AC3979" s="26"/>
      <c r="AE3979" s="26"/>
      <c r="AF3979" s="26"/>
      <c r="AJ3979" s="26"/>
    </row>
    <row r="3980" spans="29:36">
      <c r="AC3980" s="26"/>
      <c r="AE3980" s="26"/>
      <c r="AF3980" s="26"/>
      <c r="AJ3980" s="26"/>
    </row>
    <row r="3981" spans="29:36">
      <c r="AC3981" s="26"/>
      <c r="AE3981" s="26"/>
      <c r="AF3981" s="26"/>
      <c r="AJ3981" s="26"/>
    </row>
    <row r="3982" spans="29:36">
      <c r="AC3982" s="26"/>
      <c r="AE3982" s="26"/>
      <c r="AF3982" s="26"/>
      <c r="AJ3982" s="26"/>
    </row>
    <row r="3983" spans="29:36">
      <c r="AC3983" s="26"/>
      <c r="AE3983" s="26"/>
      <c r="AF3983" s="26"/>
      <c r="AJ3983" s="26"/>
    </row>
    <row r="3984" spans="29:36">
      <c r="AC3984" s="26"/>
      <c r="AE3984" s="26"/>
      <c r="AF3984" s="26"/>
      <c r="AJ3984" s="26"/>
    </row>
    <row r="3985" spans="29:36">
      <c r="AC3985" s="26"/>
      <c r="AE3985" s="26"/>
      <c r="AF3985" s="26"/>
      <c r="AJ3985" s="26"/>
    </row>
    <row r="3986" spans="29:36">
      <c r="AC3986" s="26"/>
      <c r="AE3986" s="26"/>
      <c r="AF3986" s="26"/>
      <c r="AJ3986" s="26"/>
    </row>
    <row r="3987" spans="29:36">
      <c r="AC3987" s="26"/>
      <c r="AE3987" s="26"/>
      <c r="AF3987" s="26"/>
      <c r="AJ3987" s="26"/>
    </row>
    <row r="3988" spans="29:36">
      <c r="AC3988" s="26"/>
      <c r="AE3988" s="26"/>
      <c r="AF3988" s="26"/>
      <c r="AJ3988" s="26"/>
    </row>
    <row r="3989" spans="29:36">
      <c r="AC3989" s="26"/>
      <c r="AE3989" s="26"/>
      <c r="AF3989" s="26"/>
      <c r="AJ3989" s="26"/>
    </row>
    <row r="3990" spans="29:36">
      <c r="AC3990" s="26"/>
      <c r="AE3990" s="26"/>
      <c r="AF3990" s="26"/>
      <c r="AJ3990" s="26"/>
    </row>
    <row r="3991" spans="29:36">
      <c r="AC3991" s="26"/>
      <c r="AE3991" s="26"/>
      <c r="AF3991" s="26"/>
      <c r="AJ3991" s="26"/>
    </row>
    <row r="3992" spans="29:36">
      <c r="AC3992" s="26"/>
      <c r="AE3992" s="26"/>
      <c r="AF3992" s="26"/>
      <c r="AJ3992" s="26"/>
    </row>
    <row r="3993" spans="29:36">
      <c r="AC3993" s="26"/>
      <c r="AE3993" s="26"/>
      <c r="AF3993" s="26"/>
      <c r="AJ3993" s="26"/>
    </row>
    <row r="3994" spans="29:36">
      <c r="AC3994" s="26"/>
      <c r="AE3994" s="26"/>
      <c r="AF3994" s="26"/>
      <c r="AJ3994" s="26"/>
    </row>
    <row r="3995" spans="29:36">
      <c r="AC3995" s="26"/>
      <c r="AE3995" s="26"/>
      <c r="AF3995" s="26"/>
      <c r="AJ3995" s="26"/>
    </row>
    <row r="3996" spans="29:36">
      <c r="AC3996" s="26"/>
      <c r="AE3996" s="26"/>
      <c r="AF3996" s="26"/>
      <c r="AJ3996" s="26"/>
    </row>
    <row r="3997" spans="29:36">
      <c r="AC3997" s="26"/>
      <c r="AE3997" s="26"/>
      <c r="AF3997" s="26"/>
      <c r="AJ3997" s="26"/>
    </row>
    <row r="3998" spans="29:36">
      <c r="AC3998" s="26"/>
      <c r="AE3998" s="26"/>
      <c r="AF3998" s="26"/>
      <c r="AJ3998" s="26"/>
    </row>
    <row r="3999" spans="29:36">
      <c r="AC3999" s="26"/>
      <c r="AE3999" s="26"/>
      <c r="AF3999" s="26"/>
      <c r="AJ3999" s="26"/>
    </row>
    <row r="4000" spans="29:36">
      <c r="AC4000" s="26"/>
      <c r="AE4000" s="26"/>
      <c r="AF4000" s="26"/>
      <c r="AJ4000" s="26"/>
    </row>
    <row r="4001" spans="29:36">
      <c r="AC4001" s="26"/>
      <c r="AE4001" s="26"/>
      <c r="AF4001" s="26"/>
      <c r="AJ4001" s="26"/>
    </row>
    <row r="4002" spans="29:36">
      <c r="AC4002" s="26"/>
      <c r="AE4002" s="26"/>
      <c r="AF4002" s="26"/>
      <c r="AJ4002" s="26"/>
    </row>
    <row r="4003" spans="29:36">
      <c r="AC4003" s="26"/>
      <c r="AE4003" s="26"/>
      <c r="AF4003" s="26"/>
      <c r="AJ4003" s="26"/>
    </row>
    <row r="4004" spans="29:36">
      <c r="AC4004" s="26"/>
      <c r="AE4004" s="26"/>
      <c r="AF4004" s="26"/>
      <c r="AJ4004" s="26"/>
    </row>
    <row r="4005" spans="29:36">
      <c r="AC4005" s="26"/>
      <c r="AE4005" s="26"/>
      <c r="AF4005" s="26"/>
      <c r="AJ4005" s="26"/>
    </row>
    <row r="4006" spans="29:36">
      <c r="AC4006" s="26"/>
      <c r="AE4006" s="26"/>
      <c r="AF4006" s="26"/>
      <c r="AJ4006" s="26"/>
    </row>
    <row r="4007" spans="29:36">
      <c r="AC4007" s="26"/>
      <c r="AE4007" s="26"/>
      <c r="AF4007" s="26"/>
      <c r="AJ4007" s="26"/>
    </row>
    <row r="4008" spans="29:36">
      <c r="AC4008" s="26"/>
      <c r="AE4008" s="26"/>
      <c r="AF4008" s="26"/>
      <c r="AJ4008" s="26"/>
    </row>
    <row r="4009" spans="29:36">
      <c r="AC4009" s="26"/>
      <c r="AE4009" s="26"/>
      <c r="AF4009" s="26"/>
      <c r="AJ4009" s="26"/>
    </row>
    <row r="4010" spans="29:36">
      <c r="AC4010" s="26"/>
      <c r="AE4010" s="26"/>
      <c r="AF4010" s="26"/>
      <c r="AJ4010" s="26"/>
    </row>
    <row r="4011" spans="29:36">
      <c r="AC4011" s="26"/>
      <c r="AE4011" s="26"/>
      <c r="AF4011" s="26"/>
      <c r="AJ4011" s="26"/>
    </row>
    <row r="4012" spans="29:36">
      <c r="AC4012" s="26"/>
      <c r="AE4012" s="26"/>
      <c r="AF4012" s="26"/>
      <c r="AJ4012" s="26"/>
    </row>
    <row r="4013" spans="29:36">
      <c r="AC4013" s="26"/>
      <c r="AE4013" s="26"/>
      <c r="AF4013" s="26"/>
      <c r="AJ4013" s="26"/>
    </row>
    <row r="4014" spans="29:36">
      <c r="AC4014" s="26"/>
      <c r="AE4014" s="26"/>
      <c r="AF4014" s="26"/>
      <c r="AJ4014" s="26"/>
    </row>
    <row r="4015" spans="29:36">
      <c r="AC4015" s="26"/>
      <c r="AE4015" s="26"/>
      <c r="AF4015" s="26"/>
      <c r="AJ4015" s="26"/>
    </row>
    <row r="4016" spans="29:36">
      <c r="AC4016" s="26"/>
      <c r="AE4016" s="26"/>
      <c r="AF4016" s="26"/>
      <c r="AJ4016" s="26"/>
    </row>
    <row r="4017" spans="29:36">
      <c r="AC4017" s="26"/>
      <c r="AE4017" s="26"/>
      <c r="AF4017" s="26"/>
      <c r="AJ4017" s="26"/>
    </row>
    <row r="4018" spans="29:36">
      <c r="AC4018" s="26"/>
      <c r="AE4018" s="26"/>
      <c r="AF4018" s="26"/>
      <c r="AJ4018" s="26"/>
    </row>
    <row r="4019" spans="29:36">
      <c r="AC4019" s="26"/>
      <c r="AE4019" s="26"/>
      <c r="AF4019" s="26"/>
      <c r="AJ4019" s="26"/>
    </row>
    <row r="4020" spans="29:36">
      <c r="AC4020" s="26"/>
      <c r="AE4020" s="26"/>
      <c r="AF4020" s="26"/>
      <c r="AJ4020" s="26"/>
    </row>
    <row r="4021" spans="29:36">
      <c r="AC4021" s="26"/>
      <c r="AE4021" s="26"/>
      <c r="AF4021" s="26"/>
      <c r="AJ4021" s="26"/>
    </row>
    <row r="4022" spans="29:36">
      <c r="AC4022" s="26"/>
      <c r="AE4022" s="26"/>
      <c r="AF4022" s="26"/>
      <c r="AJ4022" s="26"/>
    </row>
    <row r="4023" spans="29:36">
      <c r="AC4023" s="26"/>
      <c r="AE4023" s="26"/>
      <c r="AF4023" s="26"/>
      <c r="AJ4023" s="26"/>
    </row>
    <row r="4024" spans="29:36">
      <c r="AC4024" s="26"/>
      <c r="AE4024" s="26"/>
      <c r="AF4024" s="26"/>
      <c r="AJ4024" s="26"/>
    </row>
    <row r="4025" spans="29:36">
      <c r="AC4025" s="26"/>
      <c r="AE4025" s="26"/>
      <c r="AF4025" s="26"/>
      <c r="AJ4025" s="26"/>
    </row>
    <row r="4026" spans="29:36">
      <c r="AC4026" s="26"/>
      <c r="AE4026" s="26"/>
      <c r="AF4026" s="26"/>
      <c r="AJ4026" s="26"/>
    </row>
    <row r="4027" spans="29:36">
      <c r="AC4027" s="26"/>
      <c r="AE4027" s="26"/>
      <c r="AF4027" s="26"/>
      <c r="AJ4027" s="26"/>
    </row>
    <row r="4028" spans="29:36">
      <c r="AC4028" s="26"/>
      <c r="AE4028" s="26"/>
      <c r="AF4028" s="26"/>
      <c r="AJ4028" s="26"/>
    </row>
    <row r="4029" spans="29:36">
      <c r="AC4029" s="26"/>
      <c r="AE4029" s="26"/>
      <c r="AF4029" s="26"/>
      <c r="AJ4029" s="26"/>
    </row>
    <row r="4030" spans="29:36">
      <c r="AC4030" s="26"/>
      <c r="AE4030" s="26"/>
      <c r="AF4030" s="26"/>
      <c r="AJ4030" s="26"/>
    </row>
    <row r="4031" spans="29:36">
      <c r="AC4031" s="26"/>
      <c r="AE4031" s="26"/>
      <c r="AF4031" s="26"/>
      <c r="AJ4031" s="26"/>
    </row>
    <row r="4032" spans="29:36">
      <c r="AC4032" s="26"/>
      <c r="AE4032" s="26"/>
      <c r="AF4032" s="26"/>
      <c r="AJ4032" s="26"/>
    </row>
    <row r="4033" spans="29:36">
      <c r="AC4033" s="26"/>
      <c r="AE4033" s="26"/>
      <c r="AF4033" s="26"/>
      <c r="AJ4033" s="26"/>
    </row>
    <row r="4034" spans="29:36">
      <c r="AC4034" s="26"/>
      <c r="AE4034" s="26"/>
      <c r="AF4034" s="26"/>
      <c r="AJ4034" s="26"/>
    </row>
    <row r="4035" spans="29:36">
      <c r="AC4035" s="26"/>
      <c r="AE4035" s="26"/>
      <c r="AF4035" s="26"/>
      <c r="AJ4035" s="26"/>
    </row>
    <row r="4036" spans="29:36">
      <c r="AC4036" s="26"/>
      <c r="AE4036" s="26"/>
      <c r="AF4036" s="26"/>
      <c r="AJ4036" s="26"/>
    </row>
    <row r="4037" spans="29:36">
      <c r="AC4037" s="26"/>
      <c r="AE4037" s="26"/>
      <c r="AF4037" s="26"/>
      <c r="AJ4037" s="26"/>
    </row>
    <row r="4038" spans="29:36">
      <c r="AC4038" s="26"/>
      <c r="AE4038" s="26"/>
      <c r="AF4038" s="26"/>
      <c r="AJ4038" s="26"/>
    </row>
    <row r="4039" spans="29:36">
      <c r="AC4039" s="26"/>
      <c r="AE4039" s="26"/>
      <c r="AF4039" s="26"/>
      <c r="AJ4039" s="26"/>
    </row>
    <row r="4040" spans="29:36">
      <c r="AC4040" s="26"/>
      <c r="AE4040" s="26"/>
      <c r="AF4040" s="26"/>
      <c r="AJ4040" s="26"/>
    </row>
    <row r="4041" spans="29:36">
      <c r="AC4041" s="26"/>
      <c r="AE4041" s="26"/>
      <c r="AF4041" s="26"/>
      <c r="AJ4041" s="26"/>
    </row>
    <row r="4042" spans="29:36">
      <c r="AC4042" s="26"/>
      <c r="AE4042" s="26"/>
      <c r="AF4042" s="26"/>
      <c r="AJ4042" s="26"/>
    </row>
    <row r="4043" spans="29:36">
      <c r="AC4043" s="26"/>
      <c r="AE4043" s="26"/>
      <c r="AF4043" s="26"/>
      <c r="AJ4043" s="26"/>
    </row>
    <row r="4044" spans="29:36">
      <c r="AC4044" s="26"/>
      <c r="AE4044" s="26"/>
      <c r="AF4044" s="26"/>
      <c r="AJ4044" s="26"/>
    </row>
    <row r="4045" spans="29:36">
      <c r="AC4045" s="26"/>
      <c r="AE4045" s="26"/>
      <c r="AF4045" s="26"/>
      <c r="AJ4045" s="26"/>
    </row>
    <row r="4046" spans="29:36">
      <c r="AC4046" s="26"/>
      <c r="AE4046" s="26"/>
      <c r="AF4046" s="26"/>
      <c r="AJ4046" s="26"/>
    </row>
    <row r="4047" spans="29:36">
      <c r="AC4047" s="26"/>
      <c r="AE4047" s="26"/>
      <c r="AF4047" s="26"/>
      <c r="AJ4047" s="26"/>
    </row>
    <row r="4048" spans="29:36">
      <c r="AC4048" s="26"/>
      <c r="AE4048" s="26"/>
      <c r="AF4048" s="26"/>
      <c r="AJ4048" s="26"/>
    </row>
    <row r="4049" spans="29:36">
      <c r="AC4049" s="26"/>
      <c r="AE4049" s="26"/>
      <c r="AF4049" s="26"/>
      <c r="AJ4049" s="26"/>
    </row>
    <row r="4050" spans="29:36">
      <c r="AC4050" s="26"/>
      <c r="AE4050" s="26"/>
      <c r="AF4050" s="26"/>
      <c r="AJ4050" s="26"/>
    </row>
    <row r="4051" spans="29:36">
      <c r="AC4051" s="26"/>
      <c r="AE4051" s="26"/>
      <c r="AF4051" s="26"/>
      <c r="AJ4051" s="26"/>
    </row>
    <row r="4052" spans="29:36">
      <c r="AC4052" s="26"/>
      <c r="AE4052" s="26"/>
      <c r="AF4052" s="26"/>
      <c r="AJ4052" s="26"/>
    </row>
    <row r="4053" spans="29:36">
      <c r="AC4053" s="26"/>
      <c r="AE4053" s="26"/>
      <c r="AF4053" s="26"/>
      <c r="AJ4053" s="26"/>
    </row>
    <row r="4054" spans="29:36">
      <c r="AC4054" s="26"/>
      <c r="AE4054" s="26"/>
      <c r="AF4054" s="26"/>
      <c r="AJ4054" s="26"/>
    </row>
    <row r="4055" spans="29:36">
      <c r="AC4055" s="26"/>
      <c r="AE4055" s="26"/>
      <c r="AF4055" s="26"/>
      <c r="AJ4055" s="26"/>
    </row>
    <row r="4056" spans="29:36">
      <c r="AC4056" s="26"/>
      <c r="AE4056" s="26"/>
      <c r="AF4056" s="26"/>
      <c r="AJ4056" s="26"/>
    </row>
    <row r="4057" spans="29:36">
      <c r="AC4057" s="26"/>
      <c r="AE4057" s="26"/>
      <c r="AF4057" s="26"/>
      <c r="AJ4057" s="26"/>
    </row>
    <row r="4058" spans="29:36">
      <c r="AC4058" s="26"/>
      <c r="AE4058" s="26"/>
      <c r="AF4058" s="26"/>
      <c r="AJ4058" s="26"/>
    </row>
    <row r="4059" spans="29:36">
      <c r="AC4059" s="26"/>
      <c r="AE4059" s="26"/>
      <c r="AF4059" s="26"/>
      <c r="AJ4059" s="26"/>
    </row>
    <row r="4060" spans="29:36">
      <c r="AC4060" s="26"/>
      <c r="AE4060" s="26"/>
      <c r="AF4060" s="26"/>
      <c r="AJ4060" s="26"/>
    </row>
    <row r="4061" spans="29:36">
      <c r="AC4061" s="26"/>
      <c r="AE4061" s="26"/>
      <c r="AF4061" s="26"/>
      <c r="AJ4061" s="26"/>
    </row>
    <row r="4062" spans="29:36">
      <c r="AC4062" s="26"/>
      <c r="AE4062" s="26"/>
      <c r="AF4062" s="26"/>
      <c r="AJ4062" s="26"/>
    </row>
    <row r="4063" spans="29:36">
      <c r="AC4063" s="26"/>
      <c r="AE4063" s="26"/>
      <c r="AF4063" s="26"/>
      <c r="AJ4063" s="26"/>
    </row>
    <row r="4064" spans="29:36">
      <c r="AC4064" s="26"/>
      <c r="AE4064" s="26"/>
      <c r="AF4064" s="26"/>
      <c r="AJ4064" s="26"/>
    </row>
    <row r="4065" spans="29:36">
      <c r="AC4065" s="26"/>
      <c r="AE4065" s="26"/>
      <c r="AF4065" s="26"/>
      <c r="AJ4065" s="26"/>
    </row>
    <row r="4066" spans="29:36">
      <c r="AC4066" s="26"/>
      <c r="AE4066" s="26"/>
      <c r="AF4066" s="26"/>
      <c r="AJ4066" s="26"/>
    </row>
    <row r="4067" spans="29:36">
      <c r="AC4067" s="26"/>
      <c r="AE4067" s="26"/>
      <c r="AF4067" s="26"/>
      <c r="AJ4067" s="26"/>
    </row>
    <row r="4068" spans="29:36">
      <c r="AC4068" s="26"/>
      <c r="AE4068" s="26"/>
      <c r="AF4068" s="26"/>
      <c r="AJ4068" s="26"/>
    </row>
    <row r="4069" spans="29:36">
      <c r="AC4069" s="26"/>
      <c r="AE4069" s="26"/>
      <c r="AF4069" s="26"/>
      <c r="AJ4069" s="26"/>
    </row>
    <row r="4070" spans="29:36">
      <c r="AC4070" s="26"/>
      <c r="AE4070" s="26"/>
      <c r="AF4070" s="26"/>
      <c r="AJ4070" s="26"/>
    </row>
    <row r="4071" spans="29:36">
      <c r="AC4071" s="26"/>
      <c r="AE4071" s="26"/>
      <c r="AF4071" s="26"/>
      <c r="AJ4071" s="26"/>
    </row>
    <row r="4072" spans="29:36">
      <c r="AC4072" s="26"/>
      <c r="AE4072" s="26"/>
      <c r="AF4072" s="26"/>
      <c r="AJ4072" s="26"/>
    </row>
    <row r="4073" spans="29:36">
      <c r="AC4073" s="26"/>
      <c r="AE4073" s="26"/>
      <c r="AF4073" s="26"/>
      <c r="AJ4073" s="26"/>
    </row>
    <row r="4074" spans="29:36">
      <c r="AC4074" s="26"/>
      <c r="AE4074" s="26"/>
      <c r="AF4074" s="26"/>
      <c r="AJ4074" s="26"/>
    </row>
    <row r="4075" spans="29:36">
      <c r="AC4075" s="26"/>
      <c r="AE4075" s="26"/>
      <c r="AF4075" s="26"/>
      <c r="AJ4075" s="26"/>
    </row>
    <row r="4076" spans="29:36">
      <c r="AC4076" s="26"/>
      <c r="AE4076" s="26"/>
      <c r="AF4076" s="26"/>
      <c r="AJ4076" s="26"/>
    </row>
    <row r="4077" spans="29:36">
      <c r="AC4077" s="26"/>
      <c r="AE4077" s="26"/>
      <c r="AF4077" s="26"/>
      <c r="AJ4077" s="26"/>
    </row>
    <row r="4078" spans="29:36">
      <c r="AC4078" s="26"/>
      <c r="AE4078" s="26"/>
      <c r="AF4078" s="26"/>
      <c r="AJ4078" s="26"/>
    </row>
    <row r="4079" spans="29:36">
      <c r="AC4079" s="26"/>
      <c r="AE4079" s="26"/>
      <c r="AF4079" s="26"/>
      <c r="AJ4079" s="26"/>
    </row>
    <row r="4080" spans="29:36">
      <c r="AC4080" s="26"/>
      <c r="AE4080" s="26"/>
      <c r="AF4080" s="26"/>
      <c r="AJ4080" s="26"/>
    </row>
    <row r="4081" spans="29:36">
      <c r="AC4081" s="26"/>
      <c r="AE4081" s="26"/>
      <c r="AF4081" s="26"/>
      <c r="AJ4081" s="26"/>
    </row>
    <row r="4082" spans="29:36">
      <c r="AC4082" s="26"/>
      <c r="AE4082" s="26"/>
      <c r="AF4082" s="26"/>
      <c r="AJ4082" s="26"/>
    </row>
    <row r="4083" spans="29:36">
      <c r="AC4083" s="26"/>
      <c r="AE4083" s="26"/>
      <c r="AF4083" s="26"/>
      <c r="AJ4083" s="26"/>
    </row>
    <row r="4084" spans="29:36">
      <c r="AC4084" s="26"/>
      <c r="AE4084" s="26"/>
      <c r="AF4084" s="26"/>
      <c r="AJ4084" s="26"/>
    </row>
    <row r="4085" spans="29:36">
      <c r="AC4085" s="26"/>
      <c r="AE4085" s="26"/>
      <c r="AF4085" s="26"/>
      <c r="AJ4085" s="26"/>
    </row>
    <row r="4086" spans="29:36">
      <c r="AC4086" s="26"/>
      <c r="AE4086" s="26"/>
      <c r="AF4086" s="26"/>
      <c r="AJ4086" s="26"/>
    </row>
    <row r="4087" spans="29:36">
      <c r="AC4087" s="26"/>
      <c r="AE4087" s="26"/>
      <c r="AF4087" s="26"/>
      <c r="AJ4087" s="26"/>
    </row>
    <row r="4088" spans="29:36">
      <c r="AC4088" s="26"/>
      <c r="AE4088" s="26"/>
      <c r="AF4088" s="26"/>
      <c r="AJ4088" s="26"/>
    </row>
    <row r="4089" spans="29:36">
      <c r="AC4089" s="26"/>
      <c r="AE4089" s="26"/>
      <c r="AF4089" s="26"/>
      <c r="AJ4089" s="26"/>
    </row>
    <row r="4090" spans="29:36">
      <c r="AC4090" s="26"/>
      <c r="AE4090" s="26"/>
      <c r="AF4090" s="26"/>
      <c r="AJ4090" s="26"/>
    </row>
    <row r="4091" spans="29:36">
      <c r="AC4091" s="26"/>
      <c r="AE4091" s="26"/>
      <c r="AF4091" s="26"/>
      <c r="AJ4091" s="26"/>
    </row>
    <row r="4092" spans="29:36">
      <c r="AC4092" s="26"/>
      <c r="AE4092" s="26"/>
      <c r="AF4092" s="26"/>
      <c r="AJ4092" s="26"/>
    </row>
    <row r="4093" spans="29:36">
      <c r="AC4093" s="26"/>
      <c r="AE4093" s="26"/>
      <c r="AF4093" s="26"/>
      <c r="AJ4093" s="26"/>
    </row>
    <row r="4094" spans="29:36">
      <c r="AC4094" s="26"/>
      <c r="AE4094" s="26"/>
      <c r="AF4094" s="26"/>
      <c r="AJ4094" s="26"/>
    </row>
    <row r="4095" spans="29:36">
      <c r="AC4095" s="26"/>
      <c r="AE4095" s="26"/>
      <c r="AF4095" s="26"/>
      <c r="AJ4095" s="26"/>
    </row>
    <row r="4096" spans="29:36">
      <c r="AC4096" s="26"/>
      <c r="AE4096" s="26"/>
      <c r="AF4096" s="26"/>
      <c r="AJ4096" s="26"/>
    </row>
    <row r="4097" spans="29:36">
      <c r="AC4097" s="26"/>
      <c r="AE4097" s="26"/>
      <c r="AF4097" s="26"/>
      <c r="AJ4097" s="26"/>
    </row>
    <row r="4098" spans="29:36">
      <c r="AC4098" s="26"/>
      <c r="AE4098" s="26"/>
      <c r="AF4098" s="26"/>
      <c r="AJ4098" s="26"/>
    </row>
    <row r="4099" spans="29:36">
      <c r="AC4099" s="26"/>
      <c r="AE4099" s="26"/>
      <c r="AF4099" s="26"/>
      <c r="AJ4099" s="26"/>
    </row>
    <row r="4100" spans="29:36">
      <c r="AC4100" s="26"/>
      <c r="AE4100" s="26"/>
      <c r="AF4100" s="26"/>
      <c r="AJ4100" s="26"/>
    </row>
    <row r="4101" spans="29:36">
      <c r="AC4101" s="26"/>
      <c r="AE4101" s="26"/>
      <c r="AF4101" s="26"/>
      <c r="AJ4101" s="26"/>
    </row>
    <row r="4102" spans="29:36">
      <c r="AC4102" s="26"/>
      <c r="AE4102" s="26"/>
      <c r="AF4102" s="26"/>
      <c r="AJ4102" s="26"/>
    </row>
    <row r="4103" spans="29:36">
      <c r="AC4103" s="26"/>
      <c r="AE4103" s="26"/>
      <c r="AF4103" s="26"/>
      <c r="AJ4103" s="26"/>
    </row>
    <row r="4104" spans="29:36">
      <c r="AC4104" s="26"/>
      <c r="AE4104" s="26"/>
      <c r="AF4104" s="26"/>
      <c r="AJ4104" s="26"/>
    </row>
    <row r="4105" spans="29:36">
      <c r="AC4105" s="26"/>
      <c r="AE4105" s="26"/>
      <c r="AF4105" s="26"/>
      <c r="AJ4105" s="26"/>
    </row>
    <row r="4106" spans="29:36">
      <c r="AC4106" s="26"/>
      <c r="AE4106" s="26"/>
      <c r="AF4106" s="26"/>
      <c r="AJ4106" s="26"/>
    </row>
    <row r="4107" spans="29:36">
      <c r="AC4107" s="26"/>
      <c r="AE4107" s="26"/>
      <c r="AF4107" s="26"/>
      <c r="AJ4107" s="26"/>
    </row>
    <row r="4108" spans="29:36">
      <c r="AC4108" s="26"/>
      <c r="AE4108" s="26"/>
      <c r="AF4108" s="26"/>
      <c r="AJ4108" s="26"/>
    </row>
    <row r="4109" spans="29:36">
      <c r="AC4109" s="26"/>
      <c r="AE4109" s="26"/>
      <c r="AF4109" s="26"/>
      <c r="AJ4109" s="26"/>
    </row>
    <row r="4110" spans="29:36">
      <c r="AC4110" s="26"/>
      <c r="AE4110" s="26"/>
      <c r="AF4110" s="26"/>
      <c r="AJ4110" s="26"/>
    </row>
    <row r="4111" spans="29:36">
      <c r="AC4111" s="26"/>
      <c r="AE4111" s="26"/>
      <c r="AF4111" s="26"/>
      <c r="AJ4111" s="26"/>
    </row>
    <row r="4112" spans="29:36">
      <c r="AC4112" s="26"/>
      <c r="AE4112" s="26"/>
      <c r="AF4112" s="26"/>
      <c r="AJ4112" s="26"/>
    </row>
    <row r="4113" spans="29:36">
      <c r="AC4113" s="26"/>
      <c r="AE4113" s="26"/>
      <c r="AF4113" s="26"/>
      <c r="AJ4113" s="26"/>
    </row>
    <row r="4114" spans="29:36">
      <c r="AC4114" s="26"/>
      <c r="AE4114" s="26"/>
      <c r="AF4114" s="26"/>
      <c r="AJ4114" s="26"/>
    </row>
    <row r="4115" spans="29:36">
      <c r="AC4115" s="26"/>
      <c r="AE4115" s="26"/>
      <c r="AF4115" s="26"/>
      <c r="AJ4115" s="26"/>
    </row>
    <row r="4116" spans="29:36">
      <c r="AC4116" s="26"/>
      <c r="AE4116" s="26"/>
      <c r="AF4116" s="26"/>
      <c r="AJ4116" s="26"/>
    </row>
    <row r="4117" spans="29:36">
      <c r="AC4117" s="26"/>
      <c r="AE4117" s="26"/>
      <c r="AF4117" s="26"/>
      <c r="AJ4117" s="26"/>
    </row>
    <row r="4118" spans="29:36">
      <c r="AC4118" s="26"/>
      <c r="AE4118" s="26"/>
      <c r="AF4118" s="26"/>
      <c r="AJ4118" s="26"/>
    </row>
    <row r="4119" spans="29:36">
      <c r="AC4119" s="26"/>
      <c r="AE4119" s="26"/>
      <c r="AF4119" s="26"/>
      <c r="AJ4119" s="26"/>
    </row>
    <row r="4120" spans="29:36">
      <c r="AC4120" s="26"/>
      <c r="AE4120" s="26"/>
      <c r="AF4120" s="26"/>
      <c r="AJ4120" s="26"/>
    </row>
    <row r="4121" spans="29:36">
      <c r="AC4121" s="26"/>
      <c r="AE4121" s="26"/>
      <c r="AF4121" s="26"/>
      <c r="AJ4121" s="26"/>
    </row>
    <row r="4122" spans="29:36">
      <c r="AC4122" s="26"/>
      <c r="AE4122" s="26"/>
      <c r="AF4122" s="26"/>
      <c r="AJ4122" s="26"/>
    </row>
    <row r="4123" spans="29:36">
      <c r="AC4123" s="26"/>
      <c r="AE4123" s="26"/>
      <c r="AF4123" s="26"/>
      <c r="AJ4123" s="26"/>
    </row>
    <row r="4124" spans="29:36">
      <c r="AC4124" s="26"/>
      <c r="AE4124" s="26"/>
      <c r="AF4124" s="26"/>
      <c r="AJ4124" s="26"/>
    </row>
    <row r="4125" spans="29:36">
      <c r="AC4125" s="26"/>
      <c r="AE4125" s="26"/>
      <c r="AF4125" s="26"/>
      <c r="AJ4125" s="26"/>
    </row>
    <row r="4126" spans="29:36">
      <c r="AC4126" s="26"/>
      <c r="AE4126" s="26"/>
      <c r="AF4126" s="26"/>
      <c r="AJ4126" s="26"/>
    </row>
    <row r="4127" spans="29:36">
      <c r="AC4127" s="26"/>
      <c r="AE4127" s="26"/>
      <c r="AF4127" s="26"/>
      <c r="AJ4127" s="26"/>
    </row>
    <row r="4128" spans="29:36">
      <c r="AC4128" s="26"/>
      <c r="AE4128" s="26"/>
      <c r="AF4128" s="26"/>
      <c r="AJ4128" s="26"/>
    </row>
    <row r="4129" spans="29:36">
      <c r="AC4129" s="26"/>
      <c r="AE4129" s="26"/>
      <c r="AF4129" s="26"/>
      <c r="AJ4129" s="26"/>
    </row>
    <row r="4130" spans="29:36">
      <c r="AC4130" s="26"/>
      <c r="AE4130" s="26"/>
      <c r="AF4130" s="26"/>
      <c r="AJ4130" s="26"/>
    </row>
    <row r="4131" spans="29:36">
      <c r="AC4131" s="26"/>
      <c r="AE4131" s="26"/>
      <c r="AF4131" s="26"/>
      <c r="AJ4131" s="26"/>
    </row>
    <row r="4132" spans="29:36">
      <c r="AC4132" s="26"/>
      <c r="AE4132" s="26"/>
      <c r="AF4132" s="26"/>
      <c r="AJ4132" s="26"/>
    </row>
    <row r="4133" spans="29:36">
      <c r="AC4133" s="26"/>
      <c r="AE4133" s="26"/>
      <c r="AF4133" s="26"/>
      <c r="AJ4133" s="26"/>
    </row>
    <row r="4134" spans="29:36">
      <c r="AC4134" s="26"/>
      <c r="AE4134" s="26"/>
      <c r="AF4134" s="26"/>
      <c r="AJ4134" s="26"/>
    </row>
    <row r="4135" spans="29:36">
      <c r="AC4135" s="26"/>
      <c r="AE4135" s="26"/>
      <c r="AF4135" s="26"/>
      <c r="AJ4135" s="26"/>
    </row>
    <row r="4136" spans="29:36">
      <c r="AC4136" s="26"/>
      <c r="AE4136" s="26"/>
      <c r="AF4136" s="26"/>
      <c r="AJ4136" s="26"/>
    </row>
    <row r="4137" spans="29:36">
      <c r="AC4137" s="26"/>
      <c r="AE4137" s="26"/>
      <c r="AF4137" s="26"/>
      <c r="AJ4137" s="26"/>
    </row>
    <row r="4138" spans="29:36">
      <c r="AC4138" s="26"/>
      <c r="AE4138" s="26"/>
      <c r="AF4138" s="26"/>
      <c r="AJ4138" s="26"/>
    </row>
    <row r="4139" spans="29:36">
      <c r="AC4139" s="26"/>
      <c r="AE4139" s="26"/>
      <c r="AF4139" s="26"/>
      <c r="AJ4139" s="26"/>
    </row>
    <row r="4140" spans="29:36">
      <c r="AC4140" s="26"/>
      <c r="AE4140" s="26"/>
      <c r="AF4140" s="26"/>
      <c r="AJ4140" s="26"/>
    </row>
    <row r="4141" spans="29:36">
      <c r="AC4141" s="26"/>
      <c r="AE4141" s="26"/>
      <c r="AF4141" s="26"/>
      <c r="AJ4141" s="26"/>
    </row>
    <row r="4142" spans="29:36">
      <c r="AC4142" s="26"/>
      <c r="AE4142" s="26"/>
      <c r="AF4142" s="26"/>
      <c r="AJ4142" s="26"/>
    </row>
    <row r="4143" spans="29:36">
      <c r="AC4143" s="26"/>
      <c r="AE4143" s="26"/>
      <c r="AF4143" s="26"/>
      <c r="AJ4143" s="26"/>
    </row>
    <row r="4144" spans="29:36">
      <c r="AC4144" s="26"/>
      <c r="AE4144" s="26"/>
      <c r="AF4144" s="26"/>
      <c r="AJ4144" s="26"/>
    </row>
    <row r="4145" spans="29:36">
      <c r="AC4145" s="26"/>
      <c r="AE4145" s="26"/>
      <c r="AF4145" s="26"/>
      <c r="AJ4145" s="26"/>
    </row>
    <row r="4146" spans="29:36">
      <c r="AC4146" s="26"/>
      <c r="AE4146" s="26"/>
      <c r="AF4146" s="26"/>
      <c r="AJ4146" s="26"/>
    </row>
    <row r="4147" spans="29:36">
      <c r="AC4147" s="26"/>
      <c r="AE4147" s="26"/>
      <c r="AF4147" s="26"/>
      <c r="AJ4147" s="26"/>
    </row>
    <row r="4148" spans="29:36">
      <c r="AC4148" s="26"/>
      <c r="AE4148" s="26"/>
      <c r="AF4148" s="26"/>
      <c r="AJ4148" s="26"/>
    </row>
    <row r="4149" spans="29:36">
      <c r="AC4149" s="26"/>
      <c r="AE4149" s="26"/>
      <c r="AF4149" s="26"/>
      <c r="AJ4149" s="26"/>
    </row>
    <row r="4150" spans="29:36">
      <c r="AC4150" s="26"/>
      <c r="AE4150" s="26"/>
      <c r="AF4150" s="26"/>
      <c r="AJ4150" s="26"/>
    </row>
    <row r="4151" spans="29:36">
      <c r="AC4151" s="26"/>
      <c r="AE4151" s="26"/>
      <c r="AF4151" s="26"/>
      <c r="AJ4151" s="26"/>
    </row>
    <row r="4152" spans="29:36">
      <c r="AC4152" s="26"/>
      <c r="AE4152" s="26"/>
      <c r="AF4152" s="26"/>
      <c r="AJ4152" s="26"/>
    </row>
    <row r="4153" spans="29:36">
      <c r="AC4153" s="26"/>
      <c r="AE4153" s="26"/>
      <c r="AF4153" s="26"/>
      <c r="AJ4153" s="26"/>
    </row>
    <row r="4154" spans="29:36">
      <c r="AC4154" s="26"/>
      <c r="AE4154" s="26"/>
      <c r="AF4154" s="26"/>
      <c r="AJ4154" s="26"/>
    </row>
    <row r="4155" spans="29:36">
      <c r="AC4155" s="26"/>
      <c r="AE4155" s="26"/>
      <c r="AF4155" s="26"/>
      <c r="AJ4155" s="26"/>
    </row>
    <row r="4156" spans="29:36">
      <c r="AC4156" s="26"/>
      <c r="AE4156" s="26"/>
      <c r="AF4156" s="26"/>
      <c r="AJ4156" s="26"/>
    </row>
    <row r="4157" spans="29:36">
      <c r="AC4157" s="26"/>
      <c r="AE4157" s="26"/>
      <c r="AF4157" s="26"/>
      <c r="AJ4157" s="26"/>
    </row>
    <row r="4158" spans="29:36">
      <c r="AC4158" s="26"/>
      <c r="AE4158" s="26"/>
      <c r="AF4158" s="26"/>
      <c r="AJ4158" s="26"/>
    </row>
    <row r="4159" spans="29:36">
      <c r="AC4159" s="26"/>
      <c r="AE4159" s="26"/>
      <c r="AF4159" s="26"/>
      <c r="AJ4159" s="26"/>
    </row>
    <row r="4160" spans="29:36">
      <c r="AC4160" s="26"/>
      <c r="AE4160" s="26"/>
      <c r="AF4160" s="26"/>
      <c r="AJ4160" s="26"/>
    </row>
    <row r="4161" spans="29:36">
      <c r="AC4161" s="26"/>
      <c r="AE4161" s="26"/>
      <c r="AF4161" s="26"/>
      <c r="AJ4161" s="26"/>
    </row>
    <row r="4162" spans="29:36">
      <c r="AC4162" s="26"/>
      <c r="AE4162" s="26"/>
      <c r="AF4162" s="26"/>
      <c r="AJ4162" s="26"/>
    </row>
    <row r="4163" spans="29:36">
      <c r="AC4163" s="26"/>
      <c r="AE4163" s="26"/>
      <c r="AF4163" s="26"/>
      <c r="AJ4163" s="26"/>
    </row>
    <row r="4164" spans="29:36">
      <c r="AC4164" s="26"/>
      <c r="AE4164" s="26"/>
      <c r="AF4164" s="26"/>
      <c r="AJ4164" s="26"/>
    </row>
    <row r="4165" spans="29:36">
      <c r="AC4165" s="26"/>
      <c r="AE4165" s="26"/>
      <c r="AF4165" s="26"/>
      <c r="AJ4165" s="26"/>
    </row>
    <row r="4166" spans="29:36">
      <c r="AC4166" s="26"/>
      <c r="AE4166" s="26"/>
      <c r="AF4166" s="26"/>
      <c r="AJ4166" s="26"/>
    </row>
    <row r="4167" spans="29:36">
      <c r="AC4167" s="26"/>
      <c r="AE4167" s="26"/>
      <c r="AF4167" s="26"/>
      <c r="AJ4167" s="26"/>
    </row>
    <row r="4168" spans="29:36">
      <c r="AC4168" s="26"/>
      <c r="AE4168" s="26"/>
      <c r="AF4168" s="26"/>
      <c r="AJ4168" s="26"/>
    </row>
    <row r="4169" spans="29:36">
      <c r="AC4169" s="26"/>
      <c r="AE4169" s="26"/>
      <c r="AF4169" s="26"/>
      <c r="AJ4169" s="26"/>
    </row>
    <row r="4170" spans="29:36">
      <c r="AC4170" s="26"/>
      <c r="AE4170" s="26"/>
      <c r="AF4170" s="26"/>
      <c r="AJ4170" s="26"/>
    </row>
    <row r="4171" spans="29:36">
      <c r="AC4171" s="26"/>
      <c r="AE4171" s="26"/>
      <c r="AF4171" s="26"/>
      <c r="AJ4171" s="26"/>
    </row>
    <row r="4172" spans="29:36">
      <c r="AC4172" s="26"/>
      <c r="AE4172" s="26"/>
      <c r="AF4172" s="26"/>
      <c r="AJ4172" s="26"/>
    </row>
    <row r="4173" spans="29:36">
      <c r="AC4173" s="26"/>
      <c r="AE4173" s="26"/>
      <c r="AF4173" s="26"/>
      <c r="AJ4173" s="26"/>
    </row>
    <row r="4174" spans="29:36">
      <c r="AC4174" s="26"/>
      <c r="AE4174" s="26"/>
      <c r="AF4174" s="26"/>
      <c r="AJ4174" s="26"/>
    </row>
    <row r="4175" spans="29:36">
      <c r="AC4175" s="26"/>
      <c r="AE4175" s="26"/>
      <c r="AF4175" s="26"/>
      <c r="AJ4175" s="26"/>
    </row>
    <row r="4176" spans="29:36">
      <c r="AC4176" s="26"/>
      <c r="AE4176" s="26"/>
      <c r="AF4176" s="26"/>
      <c r="AJ4176" s="26"/>
    </row>
    <row r="4177" spans="29:36">
      <c r="AC4177" s="26"/>
      <c r="AE4177" s="26"/>
      <c r="AF4177" s="26"/>
      <c r="AJ4177" s="26"/>
    </row>
    <row r="4178" spans="29:36">
      <c r="AC4178" s="26"/>
      <c r="AE4178" s="26"/>
      <c r="AF4178" s="26"/>
      <c r="AJ4178" s="26"/>
    </row>
    <row r="4179" spans="29:36">
      <c r="AC4179" s="26"/>
      <c r="AE4179" s="26"/>
      <c r="AF4179" s="26"/>
      <c r="AJ4179" s="26"/>
    </row>
    <row r="4180" spans="29:36">
      <c r="AC4180" s="26"/>
      <c r="AE4180" s="26"/>
      <c r="AF4180" s="26"/>
      <c r="AJ4180" s="26"/>
    </row>
    <row r="4181" spans="29:36">
      <c r="AC4181" s="26"/>
      <c r="AE4181" s="26"/>
      <c r="AF4181" s="26"/>
      <c r="AJ4181" s="26"/>
    </row>
    <row r="4182" spans="29:36">
      <c r="AC4182" s="26"/>
      <c r="AE4182" s="26"/>
      <c r="AF4182" s="26"/>
      <c r="AJ4182" s="26"/>
    </row>
    <row r="4183" spans="29:36">
      <c r="AC4183" s="26"/>
      <c r="AE4183" s="26"/>
      <c r="AF4183" s="26"/>
      <c r="AJ4183" s="26"/>
    </row>
    <row r="4184" spans="29:36">
      <c r="AC4184" s="26"/>
      <c r="AE4184" s="26"/>
      <c r="AF4184" s="26"/>
      <c r="AJ4184" s="26"/>
    </row>
    <row r="4185" spans="29:36">
      <c r="AC4185" s="26"/>
      <c r="AE4185" s="26"/>
      <c r="AF4185" s="26"/>
      <c r="AJ4185" s="26"/>
    </row>
    <row r="4186" spans="29:36">
      <c r="AC4186" s="26"/>
      <c r="AE4186" s="26"/>
      <c r="AF4186" s="26"/>
      <c r="AJ4186" s="26"/>
    </row>
    <row r="4187" spans="29:36">
      <c r="AC4187" s="26"/>
      <c r="AE4187" s="26"/>
      <c r="AF4187" s="26"/>
      <c r="AJ4187" s="26"/>
    </row>
    <row r="4188" spans="29:36">
      <c r="AC4188" s="26"/>
      <c r="AE4188" s="26"/>
      <c r="AF4188" s="26"/>
      <c r="AJ4188" s="26"/>
    </row>
    <row r="4189" spans="29:36">
      <c r="AC4189" s="26"/>
      <c r="AE4189" s="26"/>
      <c r="AF4189" s="26"/>
      <c r="AJ4189" s="26"/>
    </row>
    <row r="4190" spans="29:36">
      <c r="AC4190" s="26"/>
      <c r="AE4190" s="26"/>
      <c r="AF4190" s="26"/>
      <c r="AJ4190" s="26"/>
    </row>
    <row r="4191" spans="29:36">
      <c r="AC4191" s="26"/>
      <c r="AE4191" s="26"/>
      <c r="AF4191" s="26"/>
      <c r="AJ4191" s="26"/>
    </row>
    <row r="4192" spans="29:36">
      <c r="AC4192" s="26"/>
      <c r="AE4192" s="26"/>
      <c r="AF4192" s="26"/>
      <c r="AJ4192" s="26"/>
    </row>
    <row r="4193" spans="29:36">
      <c r="AC4193" s="26"/>
      <c r="AE4193" s="26"/>
      <c r="AF4193" s="26"/>
      <c r="AJ4193" s="26"/>
    </row>
    <row r="4194" spans="29:36">
      <c r="AC4194" s="26"/>
      <c r="AE4194" s="26"/>
      <c r="AF4194" s="26"/>
      <c r="AJ4194" s="26"/>
    </row>
    <row r="4195" spans="29:36">
      <c r="AC4195" s="26"/>
      <c r="AE4195" s="26"/>
      <c r="AF4195" s="26"/>
      <c r="AJ4195" s="26"/>
    </row>
    <row r="4196" spans="29:36">
      <c r="AC4196" s="26"/>
      <c r="AE4196" s="26"/>
      <c r="AF4196" s="26"/>
      <c r="AJ4196" s="26"/>
    </row>
    <row r="4197" spans="29:36">
      <c r="AC4197" s="26"/>
      <c r="AE4197" s="26"/>
      <c r="AF4197" s="26"/>
      <c r="AJ4197" s="26"/>
    </row>
    <row r="4198" spans="29:36">
      <c r="AC4198" s="26"/>
      <c r="AE4198" s="26"/>
      <c r="AF4198" s="26"/>
      <c r="AJ4198" s="26"/>
    </row>
    <row r="4199" spans="29:36">
      <c r="AC4199" s="26"/>
      <c r="AE4199" s="26"/>
      <c r="AF4199" s="26"/>
      <c r="AJ4199" s="26"/>
    </row>
    <row r="4200" spans="29:36">
      <c r="AC4200" s="26"/>
      <c r="AE4200" s="26"/>
      <c r="AF4200" s="26"/>
      <c r="AJ4200" s="26"/>
    </row>
    <row r="4201" spans="29:36">
      <c r="AC4201" s="26"/>
      <c r="AE4201" s="26"/>
      <c r="AF4201" s="26"/>
      <c r="AJ4201" s="26"/>
    </row>
    <row r="4202" spans="29:36">
      <c r="AC4202" s="26"/>
      <c r="AE4202" s="26"/>
      <c r="AF4202" s="26"/>
      <c r="AJ4202" s="26"/>
    </row>
    <row r="4203" spans="29:36">
      <c r="AC4203" s="26"/>
      <c r="AE4203" s="26"/>
      <c r="AF4203" s="26"/>
      <c r="AJ4203" s="26"/>
    </row>
    <row r="4204" spans="29:36">
      <c r="AC4204" s="26"/>
      <c r="AE4204" s="26"/>
      <c r="AF4204" s="26"/>
      <c r="AJ4204" s="26"/>
    </row>
    <row r="4205" spans="29:36">
      <c r="AC4205" s="26"/>
      <c r="AE4205" s="26"/>
      <c r="AF4205" s="26"/>
      <c r="AJ4205" s="26"/>
    </row>
    <row r="4206" spans="29:36">
      <c r="AC4206" s="26"/>
      <c r="AE4206" s="26"/>
      <c r="AF4206" s="26"/>
      <c r="AJ4206" s="26"/>
    </row>
    <row r="4207" spans="29:36">
      <c r="AC4207" s="26"/>
      <c r="AE4207" s="26"/>
      <c r="AF4207" s="26"/>
      <c r="AJ4207" s="26"/>
    </row>
    <row r="4208" spans="29:36">
      <c r="AC4208" s="26"/>
      <c r="AE4208" s="26"/>
      <c r="AF4208" s="26"/>
      <c r="AJ4208" s="26"/>
    </row>
    <row r="4209" spans="29:36">
      <c r="AC4209" s="26"/>
      <c r="AE4209" s="26"/>
      <c r="AF4209" s="26"/>
      <c r="AJ4209" s="26"/>
    </row>
    <row r="4210" spans="29:36">
      <c r="AC4210" s="26"/>
      <c r="AE4210" s="26"/>
      <c r="AF4210" s="26"/>
      <c r="AJ4210" s="26"/>
    </row>
    <row r="4211" spans="29:36">
      <c r="AC4211" s="26"/>
      <c r="AE4211" s="26"/>
      <c r="AF4211" s="26"/>
      <c r="AJ4211" s="26"/>
    </row>
    <row r="4212" spans="29:36">
      <c r="AC4212" s="26"/>
      <c r="AE4212" s="26"/>
      <c r="AF4212" s="26"/>
      <c r="AJ4212" s="26"/>
    </row>
    <row r="4213" spans="29:36">
      <c r="AC4213" s="26"/>
      <c r="AE4213" s="26"/>
      <c r="AF4213" s="26"/>
      <c r="AJ4213" s="26"/>
    </row>
    <row r="4214" spans="29:36">
      <c r="AC4214" s="26"/>
      <c r="AE4214" s="26"/>
      <c r="AF4214" s="26"/>
      <c r="AJ4214" s="26"/>
    </row>
    <row r="4215" spans="29:36">
      <c r="AC4215" s="26"/>
      <c r="AE4215" s="26"/>
      <c r="AF4215" s="26"/>
      <c r="AJ4215" s="26"/>
    </row>
    <row r="4216" spans="29:36">
      <c r="AC4216" s="26"/>
      <c r="AE4216" s="26"/>
      <c r="AF4216" s="26"/>
      <c r="AJ4216" s="26"/>
    </row>
    <row r="4217" spans="29:36">
      <c r="AC4217" s="26"/>
      <c r="AE4217" s="26"/>
      <c r="AF4217" s="26"/>
      <c r="AJ4217" s="26"/>
    </row>
    <row r="4218" spans="29:36">
      <c r="AC4218" s="26"/>
      <c r="AE4218" s="26"/>
      <c r="AF4218" s="26"/>
      <c r="AJ4218" s="26"/>
    </row>
    <row r="4219" spans="29:36">
      <c r="AC4219" s="26"/>
      <c r="AE4219" s="26"/>
      <c r="AF4219" s="26"/>
      <c r="AJ4219" s="26"/>
    </row>
    <row r="4220" spans="29:36">
      <c r="AC4220" s="26"/>
      <c r="AE4220" s="26"/>
      <c r="AF4220" s="26"/>
      <c r="AJ4220" s="26"/>
    </row>
    <row r="4221" spans="29:36">
      <c r="AC4221" s="26"/>
      <c r="AE4221" s="26"/>
      <c r="AF4221" s="26"/>
      <c r="AJ4221" s="26"/>
    </row>
    <row r="4222" spans="29:36">
      <c r="AC4222" s="26"/>
      <c r="AE4222" s="26"/>
      <c r="AF4222" s="26"/>
      <c r="AJ4222" s="26"/>
    </row>
    <row r="4223" spans="29:36">
      <c r="AC4223" s="26"/>
      <c r="AE4223" s="26"/>
      <c r="AF4223" s="26"/>
      <c r="AJ4223" s="26"/>
    </row>
    <row r="4224" spans="29:36">
      <c r="AC4224" s="26"/>
      <c r="AE4224" s="26"/>
      <c r="AF4224" s="26"/>
      <c r="AJ4224" s="26"/>
    </row>
    <row r="4225" spans="29:36">
      <c r="AC4225" s="26"/>
      <c r="AE4225" s="26"/>
      <c r="AF4225" s="26"/>
      <c r="AJ4225" s="26"/>
    </row>
    <row r="4226" spans="29:36">
      <c r="AC4226" s="26"/>
      <c r="AE4226" s="26"/>
      <c r="AF4226" s="26"/>
      <c r="AJ4226" s="26"/>
    </row>
    <row r="4227" spans="29:36">
      <c r="AC4227" s="26"/>
      <c r="AE4227" s="26"/>
      <c r="AF4227" s="26"/>
      <c r="AJ4227" s="26"/>
    </row>
    <row r="4228" spans="29:36">
      <c r="AC4228" s="26"/>
      <c r="AE4228" s="26"/>
      <c r="AF4228" s="26"/>
      <c r="AJ4228" s="26"/>
    </row>
    <row r="4229" spans="29:36">
      <c r="AC4229" s="26"/>
      <c r="AE4229" s="26"/>
      <c r="AF4229" s="26"/>
      <c r="AJ4229" s="26"/>
    </row>
    <row r="4230" spans="29:36">
      <c r="AC4230" s="26"/>
      <c r="AE4230" s="26"/>
      <c r="AF4230" s="26"/>
      <c r="AJ4230" s="26"/>
    </row>
    <row r="4231" spans="29:36">
      <c r="AC4231" s="26"/>
      <c r="AE4231" s="26"/>
      <c r="AF4231" s="26"/>
      <c r="AJ4231" s="26"/>
    </row>
    <row r="4232" spans="29:36">
      <c r="AC4232" s="26"/>
      <c r="AE4232" s="26"/>
      <c r="AF4232" s="26"/>
      <c r="AJ4232" s="26"/>
    </row>
    <row r="4233" spans="29:36">
      <c r="AC4233" s="26"/>
      <c r="AE4233" s="26"/>
      <c r="AF4233" s="26"/>
      <c r="AJ4233" s="26"/>
    </row>
    <row r="4234" spans="29:36">
      <c r="AC4234" s="26"/>
      <c r="AE4234" s="26"/>
      <c r="AF4234" s="26"/>
      <c r="AJ4234" s="26"/>
    </row>
    <row r="4235" spans="29:36">
      <c r="AC4235" s="26"/>
      <c r="AE4235" s="26"/>
      <c r="AF4235" s="26"/>
      <c r="AJ4235" s="26"/>
    </row>
    <row r="4236" spans="29:36">
      <c r="AC4236" s="26"/>
      <c r="AE4236" s="26"/>
      <c r="AF4236" s="26"/>
      <c r="AJ4236" s="26"/>
    </row>
    <row r="4237" spans="29:36">
      <c r="AC4237" s="26"/>
      <c r="AE4237" s="26"/>
      <c r="AF4237" s="26"/>
      <c r="AJ4237" s="26"/>
    </row>
    <row r="4238" spans="29:36">
      <c r="AC4238" s="26"/>
      <c r="AE4238" s="26"/>
      <c r="AF4238" s="26"/>
      <c r="AJ4238" s="26"/>
    </row>
    <row r="4239" spans="29:36">
      <c r="AC4239" s="26"/>
      <c r="AE4239" s="26"/>
      <c r="AF4239" s="26"/>
      <c r="AJ4239" s="26"/>
    </row>
    <row r="4240" spans="29:36">
      <c r="AC4240" s="26"/>
      <c r="AE4240" s="26"/>
      <c r="AF4240" s="26"/>
      <c r="AJ4240" s="26"/>
    </row>
    <row r="4241" spans="29:36">
      <c r="AC4241" s="26"/>
      <c r="AE4241" s="26"/>
      <c r="AF4241" s="26"/>
      <c r="AJ4241" s="26"/>
    </row>
    <row r="4242" spans="29:36">
      <c r="AC4242" s="26"/>
      <c r="AE4242" s="26"/>
      <c r="AF4242" s="26"/>
      <c r="AJ4242" s="26"/>
    </row>
    <row r="4243" spans="29:36">
      <c r="AC4243" s="26"/>
      <c r="AE4243" s="26"/>
      <c r="AF4243" s="26"/>
      <c r="AJ4243" s="26"/>
    </row>
    <row r="4244" spans="29:36">
      <c r="AC4244" s="26"/>
      <c r="AE4244" s="26"/>
      <c r="AF4244" s="26"/>
      <c r="AJ4244" s="26"/>
    </row>
    <row r="4245" spans="29:36">
      <c r="AC4245" s="26"/>
      <c r="AE4245" s="26"/>
      <c r="AF4245" s="26"/>
      <c r="AJ4245" s="26"/>
    </row>
    <row r="4246" spans="29:36">
      <c r="AC4246" s="26"/>
      <c r="AE4246" s="26"/>
      <c r="AF4246" s="26"/>
      <c r="AJ4246" s="26"/>
    </row>
    <row r="4247" spans="29:36">
      <c r="AC4247" s="26"/>
      <c r="AE4247" s="26"/>
      <c r="AF4247" s="26"/>
      <c r="AJ4247" s="26"/>
    </row>
    <row r="4248" spans="29:36">
      <c r="AC4248" s="26"/>
      <c r="AE4248" s="26"/>
      <c r="AF4248" s="26"/>
      <c r="AJ4248" s="26"/>
    </row>
    <row r="4249" spans="29:36">
      <c r="AC4249" s="26"/>
      <c r="AE4249" s="26"/>
      <c r="AF4249" s="26"/>
      <c r="AJ4249" s="26"/>
    </row>
    <row r="4250" spans="29:36">
      <c r="AC4250" s="26"/>
      <c r="AE4250" s="26"/>
      <c r="AF4250" s="26"/>
      <c r="AJ4250" s="26"/>
    </row>
    <row r="4251" spans="29:36">
      <c r="AC4251" s="26"/>
      <c r="AE4251" s="26"/>
      <c r="AF4251" s="26"/>
      <c r="AJ4251" s="26"/>
    </row>
    <row r="4252" spans="29:36">
      <c r="AC4252" s="26"/>
      <c r="AE4252" s="26"/>
      <c r="AF4252" s="26"/>
      <c r="AJ4252" s="26"/>
    </row>
    <row r="4253" spans="29:36">
      <c r="AC4253" s="26"/>
      <c r="AE4253" s="26"/>
      <c r="AF4253" s="26"/>
      <c r="AJ4253" s="26"/>
    </row>
    <row r="4254" spans="29:36">
      <c r="AC4254" s="26"/>
      <c r="AE4254" s="26"/>
      <c r="AF4254" s="26"/>
      <c r="AJ4254" s="26"/>
    </row>
    <row r="4255" spans="29:36">
      <c r="AC4255" s="26"/>
      <c r="AE4255" s="26"/>
      <c r="AF4255" s="26"/>
      <c r="AJ4255" s="26"/>
    </row>
    <row r="4256" spans="29:36">
      <c r="AC4256" s="26"/>
      <c r="AE4256" s="26"/>
      <c r="AF4256" s="26"/>
      <c r="AJ4256" s="26"/>
    </row>
    <row r="4257" spans="29:36">
      <c r="AC4257" s="26"/>
      <c r="AE4257" s="26"/>
      <c r="AF4257" s="26"/>
      <c r="AJ4257" s="26"/>
    </row>
    <row r="4258" spans="29:36">
      <c r="AC4258" s="26"/>
      <c r="AE4258" s="26"/>
      <c r="AF4258" s="26"/>
      <c r="AJ4258" s="26"/>
    </row>
    <row r="4259" spans="29:36">
      <c r="AC4259" s="26"/>
      <c r="AE4259" s="26"/>
      <c r="AF4259" s="26"/>
      <c r="AJ4259" s="26"/>
    </row>
    <row r="4260" spans="29:36">
      <c r="AC4260" s="26"/>
      <c r="AE4260" s="26"/>
      <c r="AF4260" s="26"/>
      <c r="AJ4260" s="26"/>
    </row>
    <row r="4261" spans="29:36">
      <c r="AC4261" s="26"/>
      <c r="AE4261" s="26"/>
      <c r="AF4261" s="26"/>
      <c r="AJ4261" s="26"/>
    </row>
    <row r="4262" spans="29:36">
      <c r="AC4262" s="26"/>
      <c r="AE4262" s="26"/>
      <c r="AF4262" s="26"/>
      <c r="AJ4262" s="26"/>
    </row>
    <row r="4263" spans="29:36">
      <c r="AC4263" s="26"/>
      <c r="AE4263" s="26"/>
      <c r="AF4263" s="26"/>
      <c r="AJ4263" s="26"/>
    </row>
    <row r="4264" spans="29:36">
      <c r="AC4264" s="26"/>
      <c r="AE4264" s="26"/>
      <c r="AF4264" s="26"/>
      <c r="AJ4264" s="26"/>
    </row>
    <row r="4265" spans="29:36">
      <c r="AC4265" s="26"/>
      <c r="AE4265" s="26"/>
      <c r="AF4265" s="26"/>
      <c r="AJ4265" s="26"/>
    </row>
    <row r="4266" spans="29:36">
      <c r="AC4266" s="26"/>
      <c r="AE4266" s="26"/>
      <c r="AF4266" s="26"/>
      <c r="AJ4266" s="26"/>
    </row>
    <row r="4267" spans="29:36">
      <c r="AC4267" s="26"/>
      <c r="AE4267" s="26"/>
      <c r="AF4267" s="26"/>
      <c r="AJ4267" s="26"/>
    </row>
    <row r="4268" spans="29:36">
      <c r="AC4268" s="26"/>
      <c r="AE4268" s="26"/>
      <c r="AF4268" s="26"/>
      <c r="AJ4268" s="26"/>
    </row>
    <row r="4269" spans="29:36">
      <c r="AC4269" s="26"/>
      <c r="AE4269" s="26"/>
      <c r="AF4269" s="26"/>
      <c r="AJ4269" s="26"/>
    </row>
    <row r="4270" spans="29:36">
      <c r="AC4270" s="26"/>
      <c r="AE4270" s="26"/>
      <c r="AF4270" s="26"/>
      <c r="AJ4270" s="26"/>
    </row>
    <row r="4271" spans="29:36">
      <c r="AC4271" s="26"/>
      <c r="AE4271" s="26"/>
      <c r="AF4271" s="26"/>
      <c r="AJ4271" s="26"/>
    </row>
    <row r="4272" spans="29:36">
      <c r="AC4272" s="26"/>
      <c r="AE4272" s="26"/>
      <c r="AF4272" s="26"/>
      <c r="AJ4272" s="26"/>
    </row>
    <row r="4273" spans="29:36">
      <c r="AC4273" s="26"/>
      <c r="AE4273" s="26"/>
      <c r="AF4273" s="26"/>
      <c r="AJ4273" s="26"/>
    </row>
    <row r="4274" spans="29:36">
      <c r="AC4274" s="26"/>
      <c r="AE4274" s="26"/>
      <c r="AF4274" s="26"/>
      <c r="AJ4274" s="26"/>
    </row>
    <row r="4275" spans="29:36">
      <c r="AC4275" s="26"/>
      <c r="AE4275" s="26"/>
      <c r="AF4275" s="26"/>
      <c r="AJ4275" s="26"/>
    </row>
    <row r="4276" spans="29:36">
      <c r="AC4276" s="26"/>
      <c r="AE4276" s="26"/>
      <c r="AF4276" s="26"/>
      <c r="AJ4276" s="26"/>
    </row>
    <row r="4277" spans="29:36">
      <c r="AC4277" s="26"/>
      <c r="AE4277" s="26"/>
      <c r="AF4277" s="26"/>
      <c r="AJ4277" s="26"/>
    </row>
    <row r="4278" spans="29:36">
      <c r="AC4278" s="26"/>
      <c r="AE4278" s="26"/>
      <c r="AF4278" s="26"/>
      <c r="AJ4278" s="26"/>
    </row>
    <row r="4279" spans="29:36">
      <c r="AC4279" s="26"/>
      <c r="AE4279" s="26"/>
      <c r="AF4279" s="26"/>
      <c r="AJ4279" s="26"/>
    </row>
    <row r="4280" spans="29:36">
      <c r="AC4280" s="26"/>
      <c r="AE4280" s="26"/>
      <c r="AF4280" s="26"/>
      <c r="AJ4280" s="26"/>
    </row>
    <row r="4281" spans="29:36">
      <c r="AC4281" s="26"/>
      <c r="AE4281" s="26"/>
      <c r="AF4281" s="26"/>
      <c r="AJ4281" s="26"/>
    </row>
    <row r="4282" spans="29:36">
      <c r="AC4282" s="26"/>
      <c r="AE4282" s="26"/>
      <c r="AF4282" s="26"/>
      <c r="AJ4282" s="26"/>
    </row>
    <row r="4283" spans="29:36">
      <c r="AC4283" s="26"/>
      <c r="AE4283" s="26"/>
      <c r="AF4283" s="26"/>
      <c r="AJ4283" s="26"/>
    </row>
    <row r="4284" spans="29:36">
      <c r="AC4284" s="26"/>
      <c r="AE4284" s="26"/>
      <c r="AF4284" s="26"/>
      <c r="AJ4284" s="26"/>
    </row>
    <row r="4285" spans="29:36">
      <c r="AC4285" s="26"/>
      <c r="AE4285" s="26"/>
      <c r="AF4285" s="26"/>
      <c r="AJ4285" s="26"/>
    </row>
    <row r="4286" spans="29:36">
      <c r="AC4286" s="26"/>
      <c r="AE4286" s="26"/>
      <c r="AF4286" s="26"/>
      <c r="AJ4286" s="26"/>
    </row>
    <row r="4287" spans="29:36">
      <c r="AC4287" s="26"/>
      <c r="AE4287" s="26"/>
      <c r="AF4287" s="26"/>
      <c r="AJ4287" s="26"/>
    </row>
    <row r="4288" spans="29:36">
      <c r="AC4288" s="26"/>
      <c r="AE4288" s="26"/>
      <c r="AF4288" s="26"/>
      <c r="AJ4288" s="26"/>
    </row>
    <row r="4289" spans="29:36">
      <c r="AC4289" s="26"/>
      <c r="AE4289" s="26"/>
      <c r="AF4289" s="26"/>
      <c r="AJ4289" s="26"/>
    </row>
    <row r="4290" spans="29:36">
      <c r="AC4290" s="26"/>
      <c r="AE4290" s="26"/>
      <c r="AF4290" s="26"/>
      <c r="AJ4290" s="26"/>
    </row>
    <row r="4291" spans="29:36">
      <c r="AC4291" s="26"/>
      <c r="AE4291" s="26"/>
      <c r="AF4291" s="26"/>
      <c r="AJ4291" s="26"/>
    </row>
    <row r="4292" spans="29:36">
      <c r="AC4292" s="26"/>
      <c r="AE4292" s="26"/>
      <c r="AF4292" s="26"/>
      <c r="AJ4292" s="26"/>
    </row>
    <row r="4293" spans="29:36">
      <c r="AC4293" s="26"/>
      <c r="AE4293" s="26"/>
      <c r="AF4293" s="26"/>
      <c r="AJ4293" s="26"/>
    </row>
    <row r="4294" spans="29:36">
      <c r="AC4294" s="26"/>
      <c r="AE4294" s="26"/>
      <c r="AF4294" s="26"/>
      <c r="AJ4294" s="26"/>
    </row>
    <row r="4295" spans="29:36">
      <c r="AC4295" s="26"/>
      <c r="AE4295" s="26"/>
      <c r="AF4295" s="26"/>
      <c r="AJ4295" s="26"/>
    </row>
    <row r="4296" spans="29:36">
      <c r="AC4296" s="26"/>
      <c r="AE4296" s="26"/>
      <c r="AF4296" s="26"/>
      <c r="AJ4296" s="26"/>
    </row>
    <row r="4297" spans="29:36">
      <c r="AC4297" s="26"/>
      <c r="AE4297" s="26"/>
      <c r="AF4297" s="26"/>
      <c r="AJ4297" s="26"/>
    </row>
    <row r="4298" spans="29:36">
      <c r="AC4298" s="26"/>
      <c r="AE4298" s="26"/>
      <c r="AF4298" s="26"/>
      <c r="AJ4298" s="26"/>
    </row>
    <row r="4299" spans="29:36">
      <c r="AC4299" s="26"/>
      <c r="AE4299" s="26"/>
      <c r="AF4299" s="26"/>
      <c r="AJ4299" s="26"/>
    </row>
    <row r="4300" spans="29:36">
      <c r="AC4300" s="26"/>
      <c r="AE4300" s="26"/>
      <c r="AF4300" s="26"/>
      <c r="AJ4300" s="26"/>
    </row>
    <row r="4301" spans="29:36">
      <c r="AC4301" s="26"/>
      <c r="AE4301" s="26"/>
      <c r="AF4301" s="26"/>
      <c r="AJ4301" s="26"/>
    </row>
    <row r="4302" spans="29:36">
      <c r="AC4302" s="26"/>
      <c r="AE4302" s="26"/>
      <c r="AF4302" s="26"/>
      <c r="AJ4302" s="26"/>
    </row>
    <row r="4303" spans="29:36">
      <c r="AC4303" s="26"/>
      <c r="AE4303" s="26"/>
      <c r="AF4303" s="26"/>
      <c r="AJ4303" s="26"/>
    </row>
    <row r="4304" spans="29:36">
      <c r="AC4304" s="26"/>
      <c r="AE4304" s="26"/>
      <c r="AF4304" s="26"/>
      <c r="AJ4304" s="26"/>
    </row>
    <row r="4305" spans="29:36">
      <c r="AC4305" s="26"/>
      <c r="AE4305" s="26"/>
      <c r="AF4305" s="26"/>
      <c r="AJ4305" s="26"/>
    </row>
    <row r="4306" spans="29:36">
      <c r="AC4306" s="26"/>
      <c r="AE4306" s="26"/>
      <c r="AF4306" s="26"/>
      <c r="AJ4306" s="26"/>
    </row>
    <row r="4307" spans="29:36">
      <c r="AC4307" s="26"/>
      <c r="AE4307" s="26"/>
      <c r="AF4307" s="26"/>
      <c r="AJ4307" s="26"/>
    </row>
    <row r="4308" spans="29:36">
      <c r="AC4308" s="26"/>
      <c r="AE4308" s="26"/>
      <c r="AF4308" s="26"/>
      <c r="AJ4308" s="26"/>
    </row>
    <row r="4309" spans="29:36">
      <c r="AC4309" s="26"/>
      <c r="AE4309" s="26"/>
      <c r="AF4309" s="26"/>
      <c r="AJ4309" s="26"/>
    </row>
    <row r="4310" spans="29:36">
      <c r="AC4310" s="26"/>
      <c r="AE4310" s="26"/>
      <c r="AF4310" s="26"/>
      <c r="AJ4310" s="26"/>
    </row>
    <row r="4311" spans="29:36">
      <c r="AC4311" s="26"/>
      <c r="AE4311" s="26"/>
      <c r="AF4311" s="26"/>
      <c r="AJ4311" s="26"/>
    </row>
    <row r="4312" spans="29:36">
      <c r="AC4312" s="26"/>
      <c r="AE4312" s="26"/>
      <c r="AF4312" s="26"/>
      <c r="AJ4312" s="26"/>
    </row>
    <row r="4313" spans="29:36">
      <c r="AC4313" s="26"/>
      <c r="AE4313" s="26"/>
      <c r="AF4313" s="26"/>
      <c r="AJ4313" s="26"/>
    </row>
    <row r="4314" spans="29:36">
      <c r="AC4314" s="26"/>
      <c r="AE4314" s="26"/>
      <c r="AF4314" s="26"/>
      <c r="AJ4314" s="26"/>
    </row>
    <row r="4315" spans="29:36">
      <c r="AC4315" s="26"/>
      <c r="AE4315" s="26"/>
      <c r="AF4315" s="26"/>
      <c r="AJ4315" s="26"/>
    </row>
    <row r="4316" spans="29:36">
      <c r="AC4316" s="26"/>
      <c r="AE4316" s="26"/>
      <c r="AF4316" s="26"/>
      <c r="AJ4316" s="26"/>
    </row>
    <row r="4317" spans="29:36">
      <c r="AC4317" s="26"/>
      <c r="AE4317" s="26"/>
      <c r="AF4317" s="26"/>
      <c r="AJ4317" s="26"/>
    </row>
    <row r="4318" spans="29:36">
      <c r="AC4318" s="26"/>
      <c r="AE4318" s="26"/>
      <c r="AF4318" s="26"/>
      <c r="AJ4318" s="26"/>
    </row>
    <row r="4319" spans="29:36">
      <c r="AC4319" s="26"/>
      <c r="AE4319" s="26"/>
      <c r="AF4319" s="26"/>
      <c r="AJ4319" s="26"/>
    </row>
    <row r="4320" spans="29:36">
      <c r="AC4320" s="26"/>
      <c r="AE4320" s="26"/>
      <c r="AF4320" s="26"/>
      <c r="AJ4320" s="26"/>
    </row>
    <row r="4321" spans="29:36">
      <c r="AC4321" s="26"/>
      <c r="AE4321" s="26"/>
      <c r="AF4321" s="26"/>
      <c r="AJ4321" s="26"/>
    </row>
    <row r="4322" spans="29:36">
      <c r="AC4322" s="26"/>
      <c r="AE4322" s="26"/>
      <c r="AF4322" s="26"/>
      <c r="AJ4322" s="26"/>
    </row>
    <row r="4323" spans="29:36">
      <c r="AC4323" s="26"/>
      <c r="AE4323" s="26"/>
      <c r="AF4323" s="26"/>
      <c r="AJ4323" s="26"/>
    </row>
    <row r="4324" spans="29:36">
      <c r="AC4324" s="26"/>
      <c r="AE4324" s="26"/>
      <c r="AF4324" s="26"/>
      <c r="AJ4324" s="26"/>
    </row>
    <row r="4325" spans="29:36">
      <c r="AC4325" s="26"/>
      <c r="AE4325" s="26"/>
      <c r="AF4325" s="26"/>
      <c r="AJ4325" s="26"/>
    </row>
    <row r="4326" spans="29:36">
      <c r="AC4326" s="26"/>
      <c r="AE4326" s="26"/>
      <c r="AF4326" s="26"/>
      <c r="AJ4326" s="26"/>
    </row>
    <row r="4327" spans="29:36">
      <c r="AC4327" s="26"/>
      <c r="AE4327" s="26"/>
      <c r="AF4327" s="26"/>
      <c r="AJ4327" s="26"/>
    </row>
    <row r="4328" spans="29:36">
      <c r="AC4328" s="26"/>
      <c r="AE4328" s="26"/>
      <c r="AF4328" s="26"/>
      <c r="AJ4328" s="26"/>
    </row>
    <row r="4329" spans="29:36">
      <c r="AC4329" s="26"/>
      <c r="AE4329" s="26"/>
      <c r="AF4329" s="26"/>
      <c r="AJ4329" s="26"/>
    </row>
    <row r="4330" spans="29:36">
      <c r="AC4330" s="26"/>
      <c r="AE4330" s="26"/>
      <c r="AF4330" s="26"/>
      <c r="AJ4330" s="26"/>
    </row>
    <row r="4331" spans="29:36">
      <c r="AC4331" s="26"/>
      <c r="AE4331" s="26"/>
      <c r="AF4331" s="26"/>
      <c r="AJ4331" s="26"/>
    </row>
    <row r="4332" spans="29:36">
      <c r="AC4332" s="26"/>
      <c r="AE4332" s="26"/>
      <c r="AF4332" s="26"/>
      <c r="AJ4332" s="26"/>
    </row>
    <row r="4333" spans="29:36">
      <c r="AC4333" s="26"/>
      <c r="AE4333" s="26"/>
      <c r="AF4333" s="26"/>
      <c r="AJ4333" s="26"/>
    </row>
    <row r="4334" spans="29:36">
      <c r="AC4334" s="26"/>
      <c r="AE4334" s="26"/>
      <c r="AF4334" s="26"/>
      <c r="AJ4334" s="26"/>
    </row>
    <row r="4335" spans="29:36">
      <c r="AC4335" s="26"/>
      <c r="AE4335" s="26"/>
      <c r="AF4335" s="26"/>
      <c r="AJ4335" s="26"/>
    </row>
    <row r="4336" spans="29:36">
      <c r="AC4336" s="26"/>
      <c r="AE4336" s="26"/>
      <c r="AF4336" s="26"/>
      <c r="AJ4336" s="26"/>
    </row>
    <row r="4337" spans="29:36">
      <c r="AC4337" s="26"/>
      <c r="AE4337" s="26"/>
      <c r="AF4337" s="26"/>
      <c r="AJ4337" s="26"/>
    </row>
    <row r="4338" spans="29:36">
      <c r="AC4338" s="26"/>
      <c r="AE4338" s="26"/>
      <c r="AF4338" s="26"/>
      <c r="AJ4338" s="26"/>
    </row>
    <row r="4339" spans="29:36">
      <c r="AC4339" s="26"/>
      <c r="AE4339" s="26"/>
      <c r="AF4339" s="26"/>
      <c r="AJ4339" s="26"/>
    </row>
    <row r="4340" spans="29:36">
      <c r="AC4340" s="26"/>
      <c r="AE4340" s="26"/>
      <c r="AF4340" s="26"/>
      <c r="AJ4340" s="26"/>
    </row>
    <row r="4341" spans="29:36">
      <c r="AC4341" s="26"/>
      <c r="AE4341" s="26"/>
      <c r="AF4341" s="26"/>
      <c r="AJ4341" s="26"/>
    </row>
    <row r="4342" spans="29:36">
      <c r="AC4342" s="26"/>
      <c r="AE4342" s="26"/>
      <c r="AF4342" s="26"/>
      <c r="AJ4342" s="26"/>
    </row>
    <row r="4343" spans="29:36">
      <c r="AC4343" s="26"/>
      <c r="AE4343" s="26"/>
      <c r="AF4343" s="26"/>
      <c r="AJ4343" s="26"/>
    </row>
    <row r="4344" spans="29:36">
      <c r="AC4344" s="26"/>
      <c r="AE4344" s="26"/>
      <c r="AF4344" s="26"/>
      <c r="AJ4344" s="26"/>
    </row>
    <row r="4345" spans="29:36">
      <c r="AC4345" s="26"/>
      <c r="AE4345" s="26"/>
      <c r="AF4345" s="26"/>
      <c r="AJ4345" s="26"/>
    </row>
    <row r="4346" spans="29:36">
      <c r="AC4346" s="26"/>
      <c r="AE4346" s="26"/>
      <c r="AF4346" s="26"/>
      <c r="AJ4346" s="26"/>
    </row>
    <row r="4347" spans="29:36">
      <c r="AC4347" s="26"/>
      <c r="AE4347" s="26"/>
      <c r="AF4347" s="26"/>
      <c r="AJ4347" s="26"/>
    </row>
    <row r="4348" spans="29:36">
      <c r="AC4348" s="26"/>
      <c r="AE4348" s="26"/>
      <c r="AF4348" s="26"/>
      <c r="AJ4348" s="26"/>
    </row>
    <row r="4349" spans="29:36">
      <c r="AC4349" s="26"/>
      <c r="AE4349" s="26"/>
      <c r="AF4349" s="26"/>
      <c r="AJ4349" s="26"/>
    </row>
    <row r="4350" spans="29:36">
      <c r="AC4350" s="26"/>
      <c r="AE4350" s="26"/>
      <c r="AF4350" s="26"/>
      <c r="AJ4350" s="26"/>
    </row>
    <row r="4351" spans="29:36">
      <c r="AC4351" s="26"/>
      <c r="AE4351" s="26"/>
      <c r="AF4351" s="26"/>
      <c r="AJ4351" s="26"/>
    </row>
    <row r="4352" spans="29:36">
      <c r="AC4352" s="26"/>
      <c r="AE4352" s="26"/>
      <c r="AF4352" s="26"/>
      <c r="AJ4352" s="26"/>
    </row>
    <row r="4353" spans="29:36">
      <c r="AC4353" s="26"/>
      <c r="AE4353" s="26"/>
      <c r="AF4353" s="26"/>
      <c r="AJ4353" s="26"/>
    </row>
    <row r="4354" spans="29:36">
      <c r="AC4354" s="26"/>
      <c r="AE4354" s="26"/>
      <c r="AF4354" s="26"/>
      <c r="AJ4354" s="26"/>
    </row>
    <row r="4355" spans="29:36">
      <c r="AC4355" s="26"/>
      <c r="AE4355" s="26"/>
      <c r="AF4355" s="26"/>
      <c r="AJ4355" s="26"/>
    </row>
    <row r="4356" spans="29:36">
      <c r="AC4356" s="26"/>
      <c r="AE4356" s="26"/>
      <c r="AF4356" s="26"/>
      <c r="AJ4356" s="26"/>
    </row>
    <row r="4357" spans="29:36">
      <c r="AC4357" s="26"/>
      <c r="AE4357" s="26"/>
      <c r="AF4357" s="26"/>
      <c r="AJ4357" s="26"/>
    </row>
    <row r="4358" spans="29:36">
      <c r="AC4358" s="26"/>
      <c r="AE4358" s="26"/>
      <c r="AF4358" s="26"/>
      <c r="AJ4358" s="26"/>
    </row>
    <row r="4359" spans="29:36">
      <c r="AC4359" s="26"/>
      <c r="AE4359" s="26"/>
      <c r="AF4359" s="26"/>
      <c r="AJ4359" s="26"/>
    </row>
    <row r="4360" spans="29:36">
      <c r="AC4360" s="26"/>
      <c r="AE4360" s="26"/>
      <c r="AF4360" s="26"/>
      <c r="AJ4360" s="26"/>
    </row>
    <row r="4361" spans="29:36">
      <c r="AC4361" s="26"/>
      <c r="AE4361" s="26"/>
      <c r="AF4361" s="26"/>
      <c r="AJ4361" s="26"/>
    </row>
    <row r="4362" spans="29:36">
      <c r="AC4362" s="26"/>
      <c r="AE4362" s="26"/>
      <c r="AF4362" s="26"/>
      <c r="AJ4362" s="26"/>
    </row>
    <row r="4363" spans="29:36">
      <c r="AC4363" s="26"/>
      <c r="AE4363" s="26"/>
      <c r="AF4363" s="26"/>
      <c r="AJ4363" s="26"/>
    </row>
    <row r="4364" spans="29:36">
      <c r="AC4364" s="26"/>
      <c r="AE4364" s="26"/>
      <c r="AF4364" s="26"/>
      <c r="AJ4364" s="26"/>
    </row>
    <row r="4365" spans="29:36">
      <c r="AC4365" s="26"/>
      <c r="AE4365" s="26"/>
      <c r="AF4365" s="26"/>
      <c r="AJ4365" s="26"/>
    </row>
    <row r="4366" spans="29:36">
      <c r="AC4366" s="26"/>
      <c r="AE4366" s="26"/>
      <c r="AF4366" s="26"/>
      <c r="AJ4366" s="26"/>
    </row>
    <row r="4367" spans="29:36">
      <c r="AC4367" s="26"/>
      <c r="AE4367" s="26"/>
      <c r="AF4367" s="26"/>
      <c r="AJ4367" s="26"/>
    </row>
    <row r="4368" spans="29:36">
      <c r="AC4368" s="26"/>
      <c r="AE4368" s="26"/>
      <c r="AF4368" s="26"/>
      <c r="AJ4368" s="26"/>
    </row>
    <row r="4369" spans="29:36">
      <c r="AC4369" s="26"/>
      <c r="AE4369" s="26"/>
      <c r="AF4369" s="26"/>
      <c r="AJ4369" s="26"/>
    </row>
    <row r="4370" spans="29:36">
      <c r="AC4370" s="26"/>
      <c r="AE4370" s="26"/>
      <c r="AF4370" s="26"/>
      <c r="AJ4370" s="26"/>
    </row>
    <row r="4371" spans="29:36">
      <c r="AC4371" s="26"/>
      <c r="AE4371" s="26"/>
      <c r="AF4371" s="26"/>
      <c r="AJ4371" s="26"/>
    </row>
    <row r="4372" spans="29:36">
      <c r="AC4372" s="26"/>
      <c r="AE4372" s="26"/>
      <c r="AF4372" s="26"/>
      <c r="AJ4372" s="26"/>
    </row>
    <row r="4373" spans="29:36">
      <c r="AC4373" s="26"/>
      <c r="AE4373" s="26"/>
      <c r="AF4373" s="26"/>
      <c r="AJ4373" s="26"/>
    </row>
    <row r="4374" spans="29:36">
      <c r="AC4374" s="26"/>
      <c r="AE4374" s="26"/>
      <c r="AF4374" s="26"/>
      <c r="AJ4374" s="26"/>
    </row>
    <row r="4375" spans="29:36">
      <c r="AC4375" s="26"/>
      <c r="AE4375" s="26"/>
      <c r="AF4375" s="26"/>
      <c r="AJ4375" s="26"/>
    </row>
    <row r="4376" spans="29:36">
      <c r="AC4376" s="26"/>
      <c r="AE4376" s="26"/>
      <c r="AF4376" s="26"/>
      <c r="AJ4376" s="26"/>
    </row>
    <row r="4377" spans="29:36">
      <c r="AC4377" s="26"/>
      <c r="AE4377" s="26"/>
      <c r="AF4377" s="26"/>
      <c r="AJ4377" s="26"/>
    </row>
    <row r="4378" spans="29:36">
      <c r="AC4378" s="26"/>
      <c r="AE4378" s="26"/>
      <c r="AF4378" s="26"/>
      <c r="AJ4378" s="26"/>
    </row>
    <row r="4379" spans="29:36">
      <c r="AC4379" s="26"/>
      <c r="AE4379" s="26"/>
      <c r="AF4379" s="26"/>
      <c r="AJ4379" s="26"/>
    </row>
    <row r="4380" spans="29:36">
      <c r="AC4380" s="26"/>
      <c r="AE4380" s="26"/>
      <c r="AF4380" s="26"/>
      <c r="AJ4380" s="26"/>
    </row>
    <row r="4381" spans="29:36">
      <c r="AC4381" s="26"/>
      <c r="AE4381" s="26"/>
      <c r="AF4381" s="26"/>
      <c r="AJ4381" s="26"/>
    </row>
    <row r="4382" spans="29:36">
      <c r="AC4382" s="26"/>
      <c r="AE4382" s="26"/>
      <c r="AF4382" s="26"/>
      <c r="AJ4382" s="26"/>
    </row>
    <row r="4383" spans="29:36">
      <c r="AC4383" s="26"/>
      <c r="AE4383" s="26"/>
      <c r="AF4383" s="26"/>
      <c r="AJ4383" s="26"/>
    </row>
    <row r="4384" spans="29:36">
      <c r="AC4384" s="26"/>
      <c r="AE4384" s="26"/>
      <c r="AF4384" s="26"/>
      <c r="AJ4384" s="26"/>
    </row>
    <row r="4385" spans="29:36">
      <c r="AC4385" s="26"/>
      <c r="AE4385" s="26"/>
      <c r="AF4385" s="26"/>
      <c r="AJ4385" s="26"/>
    </row>
    <row r="4386" spans="29:36">
      <c r="AC4386" s="26"/>
      <c r="AE4386" s="26"/>
      <c r="AF4386" s="26"/>
      <c r="AJ4386" s="26"/>
    </row>
    <row r="4387" spans="29:36">
      <c r="AC4387" s="26"/>
      <c r="AE4387" s="26"/>
      <c r="AF4387" s="26"/>
      <c r="AJ4387" s="26"/>
    </row>
    <row r="4388" spans="29:36">
      <c r="AC4388" s="26"/>
      <c r="AE4388" s="26"/>
      <c r="AF4388" s="26"/>
      <c r="AJ4388" s="26"/>
    </row>
    <row r="4389" spans="29:36">
      <c r="AC4389" s="26"/>
      <c r="AE4389" s="26"/>
      <c r="AF4389" s="26"/>
      <c r="AJ4389" s="26"/>
    </row>
    <row r="4390" spans="29:36">
      <c r="AC4390" s="26"/>
      <c r="AE4390" s="26"/>
      <c r="AF4390" s="26"/>
      <c r="AJ4390" s="26"/>
    </row>
    <row r="4391" spans="29:36">
      <c r="AC4391" s="26"/>
      <c r="AE4391" s="26"/>
      <c r="AF4391" s="26"/>
      <c r="AJ4391" s="26"/>
    </row>
    <row r="4392" spans="29:36">
      <c r="AC4392" s="26"/>
      <c r="AE4392" s="26"/>
      <c r="AF4392" s="26"/>
      <c r="AJ4392" s="26"/>
    </row>
    <row r="4393" spans="29:36">
      <c r="AC4393" s="26"/>
      <c r="AE4393" s="26"/>
      <c r="AF4393" s="26"/>
      <c r="AJ4393" s="26"/>
    </row>
    <row r="4394" spans="29:36">
      <c r="AC4394" s="26"/>
      <c r="AE4394" s="26"/>
      <c r="AF4394" s="26"/>
      <c r="AJ4394" s="26"/>
    </row>
    <row r="4395" spans="29:36">
      <c r="AC4395" s="26"/>
      <c r="AE4395" s="26"/>
      <c r="AF4395" s="26"/>
      <c r="AJ4395" s="26"/>
    </row>
    <row r="4396" spans="29:36">
      <c r="AC4396" s="26"/>
      <c r="AE4396" s="26"/>
      <c r="AF4396" s="26"/>
      <c r="AJ4396" s="26"/>
    </row>
    <row r="4397" spans="29:36">
      <c r="AC4397" s="26"/>
      <c r="AE4397" s="26"/>
      <c r="AF4397" s="26"/>
      <c r="AJ4397" s="26"/>
    </row>
    <row r="4398" spans="29:36">
      <c r="AC4398" s="26"/>
      <c r="AE4398" s="26"/>
      <c r="AF4398" s="26"/>
      <c r="AJ4398" s="26"/>
    </row>
    <row r="4399" spans="29:36">
      <c r="AC4399" s="26"/>
      <c r="AE4399" s="26"/>
      <c r="AF4399" s="26"/>
      <c r="AJ4399" s="26"/>
    </row>
    <row r="4400" spans="29:36">
      <c r="AC4400" s="26"/>
      <c r="AE4400" s="26"/>
      <c r="AF4400" s="26"/>
      <c r="AJ4400" s="26"/>
    </row>
    <row r="4401" spans="29:36">
      <c r="AC4401" s="26"/>
      <c r="AE4401" s="26"/>
      <c r="AF4401" s="26"/>
      <c r="AJ4401" s="26"/>
    </row>
    <row r="4402" spans="29:36">
      <c r="AC4402" s="26"/>
      <c r="AE4402" s="26"/>
      <c r="AF4402" s="26"/>
      <c r="AJ4402" s="26"/>
    </row>
    <row r="4403" spans="29:36">
      <c r="AC4403" s="26"/>
      <c r="AE4403" s="26"/>
      <c r="AF4403" s="26"/>
      <c r="AJ4403" s="26"/>
    </row>
    <row r="4404" spans="29:36">
      <c r="AC4404" s="26"/>
      <c r="AE4404" s="26"/>
      <c r="AF4404" s="26"/>
      <c r="AJ4404" s="26"/>
    </row>
    <row r="4405" spans="29:36">
      <c r="AC4405" s="26"/>
      <c r="AE4405" s="26"/>
      <c r="AF4405" s="26"/>
      <c r="AJ4405" s="26"/>
    </row>
    <row r="4406" spans="29:36">
      <c r="AC4406" s="26"/>
      <c r="AE4406" s="26"/>
      <c r="AF4406" s="26"/>
      <c r="AJ4406" s="26"/>
    </row>
    <row r="4407" spans="29:36">
      <c r="AC4407" s="26"/>
      <c r="AE4407" s="26"/>
      <c r="AF4407" s="26"/>
      <c r="AJ4407" s="26"/>
    </row>
    <row r="4408" spans="29:36">
      <c r="AC4408" s="26"/>
      <c r="AE4408" s="26"/>
      <c r="AF4408" s="26"/>
      <c r="AJ4408" s="26"/>
    </row>
    <row r="4409" spans="29:36">
      <c r="AC4409" s="26"/>
      <c r="AE4409" s="26"/>
      <c r="AF4409" s="26"/>
      <c r="AJ4409" s="26"/>
    </row>
    <row r="4410" spans="29:36">
      <c r="AC4410" s="26"/>
      <c r="AE4410" s="26"/>
      <c r="AF4410" s="26"/>
      <c r="AJ4410" s="26"/>
    </row>
    <row r="4411" spans="29:36">
      <c r="AC4411" s="26"/>
      <c r="AE4411" s="26"/>
      <c r="AF4411" s="26"/>
      <c r="AJ4411" s="26"/>
    </row>
    <row r="4412" spans="29:36">
      <c r="AC4412" s="26"/>
      <c r="AE4412" s="26"/>
      <c r="AF4412" s="26"/>
      <c r="AJ4412" s="26"/>
    </row>
    <row r="4413" spans="29:36">
      <c r="AC4413" s="26"/>
      <c r="AE4413" s="26"/>
      <c r="AF4413" s="26"/>
      <c r="AJ4413" s="26"/>
    </row>
    <row r="4414" spans="29:36">
      <c r="AC4414" s="26"/>
      <c r="AE4414" s="26"/>
      <c r="AF4414" s="26"/>
      <c r="AJ4414" s="26"/>
    </row>
    <row r="4415" spans="29:36">
      <c r="AC4415" s="26"/>
      <c r="AE4415" s="26"/>
      <c r="AF4415" s="26"/>
      <c r="AJ4415" s="26"/>
    </row>
    <row r="4416" spans="29:36">
      <c r="AC4416" s="26"/>
      <c r="AE4416" s="26"/>
      <c r="AF4416" s="26"/>
      <c r="AJ4416" s="26"/>
    </row>
    <row r="4417" spans="29:36">
      <c r="AC4417" s="26"/>
      <c r="AE4417" s="26"/>
      <c r="AF4417" s="26"/>
      <c r="AJ4417" s="26"/>
    </row>
    <row r="4418" spans="29:36">
      <c r="AC4418" s="26"/>
      <c r="AE4418" s="26"/>
      <c r="AF4418" s="26"/>
      <c r="AJ4418" s="26"/>
    </row>
    <row r="4419" spans="29:36">
      <c r="AC4419" s="26"/>
      <c r="AE4419" s="26"/>
      <c r="AF4419" s="26"/>
      <c r="AJ4419" s="26"/>
    </row>
    <row r="4420" spans="29:36">
      <c r="AC4420" s="26"/>
      <c r="AE4420" s="26"/>
      <c r="AF4420" s="26"/>
      <c r="AJ4420" s="26"/>
    </row>
    <row r="4421" spans="29:36">
      <c r="AC4421" s="26"/>
      <c r="AE4421" s="26"/>
      <c r="AF4421" s="26"/>
      <c r="AJ4421" s="26"/>
    </row>
    <row r="4422" spans="29:36">
      <c r="AC4422" s="26"/>
      <c r="AE4422" s="26"/>
      <c r="AF4422" s="26"/>
      <c r="AJ4422" s="26"/>
    </row>
    <row r="4423" spans="29:36">
      <c r="AC4423" s="26"/>
      <c r="AE4423" s="26"/>
      <c r="AF4423" s="26"/>
      <c r="AJ4423" s="26"/>
    </row>
    <row r="4424" spans="29:36">
      <c r="AC4424" s="26"/>
      <c r="AE4424" s="26"/>
      <c r="AF4424" s="26"/>
      <c r="AJ4424" s="26"/>
    </row>
    <row r="4425" spans="29:36">
      <c r="AC4425" s="26"/>
      <c r="AE4425" s="26"/>
      <c r="AF4425" s="26"/>
      <c r="AJ4425" s="26"/>
    </row>
    <row r="4426" spans="29:36">
      <c r="AC4426" s="26"/>
      <c r="AE4426" s="26"/>
      <c r="AF4426" s="26"/>
      <c r="AJ4426" s="26"/>
    </row>
    <row r="4427" spans="29:36">
      <c r="AC4427" s="26"/>
      <c r="AE4427" s="26"/>
      <c r="AF4427" s="26"/>
      <c r="AJ4427" s="26"/>
    </row>
    <row r="4428" spans="29:36">
      <c r="AC4428" s="26"/>
      <c r="AE4428" s="26"/>
      <c r="AF4428" s="26"/>
      <c r="AJ4428" s="26"/>
    </row>
    <row r="4429" spans="29:36">
      <c r="AC4429" s="26"/>
      <c r="AE4429" s="26"/>
      <c r="AF4429" s="26"/>
      <c r="AJ4429" s="26"/>
    </row>
    <row r="4430" spans="29:36">
      <c r="AC4430" s="26"/>
      <c r="AE4430" s="26"/>
      <c r="AF4430" s="26"/>
      <c r="AJ4430" s="26"/>
    </row>
    <row r="4431" spans="29:36">
      <c r="AC4431" s="26"/>
      <c r="AE4431" s="26"/>
      <c r="AF4431" s="26"/>
      <c r="AJ4431" s="26"/>
    </row>
    <row r="4432" spans="29:36">
      <c r="AC4432" s="26"/>
      <c r="AE4432" s="26"/>
      <c r="AF4432" s="26"/>
      <c r="AJ4432" s="26"/>
    </row>
    <row r="4433" spans="29:36">
      <c r="AC4433" s="26"/>
      <c r="AE4433" s="26"/>
      <c r="AF4433" s="26"/>
      <c r="AJ4433" s="26"/>
    </row>
    <row r="4434" spans="29:36">
      <c r="AC4434" s="26"/>
      <c r="AE4434" s="26"/>
      <c r="AF4434" s="26"/>
      <c r="AJ4434" s="26"/>
    </row>
    <row r="4435" spans="29:36">
      <c r="AC4435" s="26"/>
      <c r="AE4435" s="26"/>
      <c r="AF4435" s="26"/>
      <c r="AJ4435" s="26"/>
    </row>
    <row r="4436" spans="29:36">
      <c r="AC4436" s="26"/>
      <c r="AE4436" s="26"/>
      <c r="AF4436" s="26"/>
      <c r="AJ4436" s="26"/>
    </row>
    <row r="4437" spans="29:36">
      <c r="AC4437" s="26"/>
      <c r="AE4437" s="26"/>
      <c r="AF4437" s="26"/>
      <c r="AJ4437" s="26"/>
    </row>
    <row r="4438" spans="29:36">
      <c r="AC4438" s="26"/>
      <c r="AE4438" s="26"/>
      <c r="AF4438" s="26"/>
      <c r="AJ4438" s="26"/>
    </row>
    <row r="4439" spans="29:36">
      <c r="AC4439" s="26"/>
      <c r="AE4439" s="26"/>
      <c r="AF4439" s="26"/>
      <c r="AJ4439" s="26"/>
    </row>
    <row r="4440" spans="29:36">
      <c r="AC4440" s="26"/>
      <c r="AE4440" s="26"/>
      <c r="AF4440" s="26"/>
      <c r="AJ4440" s="26"/>
    </row>
    <row r="4441" spans="29:36">
      <c r="AC4441" s="26"/>
      <c r="AE4441" s="26"/>
      <c r="AF4441" s="26"/>
      <c r="AJ4441" s="26"/>
    </row>
    <row r="4442" spans="29:36">
      <c r="AC4442" s="26"/>
      <c r="AE4442" s="26"/>
      <c r="AF4442" s="26"/>
      <c r="AJ4442" s="26"/>
    </row>
    <row r="4443" spans="29:36">
      <c r="AC4443" s="26"/>
      <c r="AE4443" s="26"/>
      <c r="AF4443" s="26"/>
      <c r="AJ4443" s="26"/>
    </row>
    <row r="4444" spans="29:36">
      <c r="AC4444" s="26"/>
      <c r="AE4444" s="26"/>
      <c r="AF4444" s="26"/>
      <c r="AJ4444" s="26"/>
    </row>
    <row r="4445" spans="29:36">
      <c r="AC4445" s="26"/>
      <c r="AE4445" s="26"/>
      <c r="AF4445" s="26"/>
      <c r="AJ4445" s="26"/>
    </row>
    <row r="4446" spans="29:36">
      <c r="AC4446" s="26"/>
      <c r="AE4446" s="26"/>
      <c r="AF4446" s="26"/>
      <c r="AJ4446" s="26"/>
    </row>
    <row r="4447" spans="29:36">
      <c r="AC4447" s="26"/>
      <c r="AE4447" s="26"/>
      <c r="AF4447" s="26"/>
      <c r="AJ4447" s="26"/>
    </row>
    <row r="4448" spans="29:36">
      <c r="AC4448" s="26"/>
      <c r="AE4448" s="26"/>
      <c r="AF4448" s="26"/>
      <c r="AJ4448" s="26"/>
    </row>
    <row r="4449" spans="29:36">
      <c r="AC4449" s="26"/>
      <c r="AE4449" s="26"/>
      <c r="AF4449" s="26"/>
      <c r="AJ4449" s="26"/>
    </row>
    <row r="4450" spans="29:36">
      <c r="AC4450" s="26"/>
      <c r="AE4450" s="26"/>
      <c r="AF4450" s="26"/>
      <c r="AJ4450" s="26"/>
    </row>
    <row r="4451" spans="29:36">
      <c r="AC4451" s="26"/>
      <c r="AE4451" s="26"/>
      <c r="AF4451" s="26"/>
      <c r="AJ4451" s="26"/>
    </row>
    <row r="4452" spans="29:36">
      <c r="AC4452" s="26"/>
      <c r="AE4452" s="26"/>
      <c r="AF4452" s="26"/>
      <c r="AJ4452" s="26"/>
    </row>
    <row r="4453" spans="29:36">
      <c r="AC4453" s="26"/>
      <c r="AE4453" s="26"/>
      <c r="AF4453" s="26"/>
      <c r="AJ4453" s="26"/>
    </row>
    <row r="4454" spans="29:36">
      <c r="AC4454" s="26"/>
      <c r="AE4454" s="26"/>
      <c r="AF4454" s="26"/>
      <c r="AJ4454" s="26"/>
    </row>
    <row r="4455" spans="29:36">
      <c r="AC4455" s="26"/>
      <c r="AE4455" s="26"/>
      <c r="AF4455" s="26"/>
      <c r="AJ4455" s="26"/>
    </row>
    <row r="4456" spans="29:36">
      <c r="AC4456" s="26"/>
      <c r="AE4456" s="26"/>
      <c r="AF4456" s="26"/>
      <c r="AJ4456" s="26"/>
    </row>
    <row r="4457" spans="29:36">
      <c r="AC4457" s="26"/>
      <c r="AE4457" s="26"/>
      <c r="AF4457" s="26"/>
      <c r="AJ4457" s="26"/>
    </row>
    <row r="4458" spans="29:36">
      <c r="AC4458" s="26"/>
      <c r="AE4458" s="26"/>
      <c r="AF4458" s="26"/>
      <c r="AJ4458" s="26"/>
    </row>
    <row r="4459" spans="29:36">
      <c r="AC4459" s="26"/>
      <c r="AE4459" s="26"/>
      <c r="AF4459" s="26"/>
      <c r="AJ4459" s="26"/>
    </row>
    <row r="4460" spans="29:36">
      <c r="AC4460" s="26"/>
      <c r="AE4460" s="26"/>
      <c r="AF4460" s="26"/>
      <c r="AJ4460" s="26"/>
    </row>
    <row r="4461" spans="29:36">
      <c r="AC4461" s="26"/>
      <c r="AE4461" s="26"/>
      <c r="AF4461" s="26"/>
      <c r="AJ4461" s="26"/>
    </row>
    <row r="4462" spans="29:36">
      <c r="AC4462" s="26"/>
      <c r="AE4462" s="26"/>
      <c r="AF4462" s="26"/>
      <c r="AJ4462" s="26"/>
    </row>
    <row r="4463" spans="29:36">
      <c r="AC4463" s="26"/>
      <c r="AE4463" s="26"/>
      <c r="AF4463" s="26"/>
      <c r="AJ4463" s="26"/>
    </row>
    <row r="4464" spans="29:36">
      <c r="AC4464" s="26"/>
      <c r="AE4464" s="26"/>
      <c r="AF4464" s="26"/>
      <c r="AJ4464" s="26"/>
    </row>
    <row r="4465" spans="29:36">
      <c r="AC4465" s="26"/>
      <c r="AE4465" s="26"/>
      <c r="AF4465" s="26"/>
      <c r="AJ4465" s="26"/>
    </row>
    <row r="4466" spans="29:36">
      <c r="AC4466" s="26"/>
      <c r="AE4466" s="26"/>
      <c r="AF4466" s="26"/>
      <c r="AJ4466" s="26"/>
    </row>
    <row r="4467" spans="29:36">
      <c r="AC4467" s="26"/>
      <c r="AE4467" s="26"/>
      <c r="AF4467" s="26"/>
      <c r="AJ4467" s="26"/>
    </row>
    <row r="4468" spans="29:36">
      <c r="AC4468" s="26"/>
      <c r="AE4468" s="26"/>
      <c r="AF4468" s="26"/>
      <c r="AJ4468" s="26"/>
    </row>
    <row r="4469" spans="29:36">
      <c r="AC4469" s="26"/>
      <c r="AE4469" s="26"/>
      <c r="AF4469" s="26"/>
      <c r="AJ4469" s="26"/>
    </row>
    <row r="4470" spans="29:36">
      <c r="AC4470" s="26"/>
      <c r="AE4470" s="26"/>
      <c r="AF4470" s="26"/>
      <c r="AJ4470" s="26"/>
    </row>
    <row r="4471" spans="29:36">
      <c r="AC4471" s="26"/>
      <c r="AE4471" s="26"/>
      <c r="AF4471" s="26"/>
      <c r="AJ4471" s="26"/>
    </row>
    <row r="4472" spans="29:36">
      <c r="AC4472" s="26"/>
      <c r="AE4472" s="26"/>
      <c r="AF4472" s="26"/>
      <c r="AJ4472" s="26"/>
    </row>
    <row r="4473" spans="29:36">
      <c r="AC4473" s="26"/>
      <c r="AE4473" s="26"/>
      <c r="AF4473" s="26"/>
      <c r="AJ4473" s="26"/>
    </row>
    <row r="4474" spans="29:36">
      <c r="AC4474" s="26"/>
      <c r="AE4474" s="26"/>
      <c r="AF4474" s="26"/>
      <c r="AJ4474" s="26"/>
    </row>
    <row r="4475" spans="29:36">
      <c r="AC4475" s="26"/>
      <c r="AE4475" s="26"/>
      <c r="AF4475" s="26"/>
      <c r="AJ4475" s="26"/>
    </row>
    <row r="4476" spans="29:36">
      <c r="AC4476" s="26"/>
      <c r="AE4476" s="26"/>
      <c r="AF4476" s="26"/>
      <c r="AJ4476" s="26"/>
    </row>
    <row r="4477" spans="29:36">
      <c r="AC4477" s="26"/>
      <c r="AE4477" s="26"/>
      <c r="AF4477" s="26"/>
      <c r="AJ4477" s="26"/>
    </row>
    <row r="4478" spans="29:36">
      <c r="AC4478" s="26"/>
      <c r="AE4478" s="26"/>
      <c r="AF4478" s="26"/>
      <c r="AJ4478" s="26"/>
    </row>
    <row r="4479" spans="29:36">
      <c r="AC4479" s="26"/>
      <c r="AE4479" s="26"/>
      <c r="AF4479" s="26"/>
      <c r="AJ4479" s="26"/>
    </row>
    <row r="4480" spans="29:36">
      <c r="AC4480" s="26"/>
      <c r="AE4480" s="26"/>
      <c r="AF4480" s="26"/>
      <c r="AJ4480" s="26"/>
    </row>
    <row r="4481" spans="29:36">
      <c r="AC4481" s="26"/>
      <c r="AE4481" s="26"/>
      <c r="AF4481" s="26"/>
      <c r="AJ4481" s="26"/>
    </row>
    <row r="4482" spans="29:36">
      <c r="AC4482" s="26"/>
      <c r="AE4482" s="26"/>
      <c r="AF4482" s="26"/>
      <c r="AJ4482" s="26"/>
    </row>
    <row r="4483" spans="29:36">
      <c r="AC4483" s="26"/>
      <c r="AE4483" s="26"/>
      <c r="AF4483" s="26"/>
      <c r="AJ4483" s="26"/>
    </row>
    <row r="4484" spans="29:36">
      <c r="AC4484" s="26"/>
      <c r="AE4484" s="26"/>
      <c r="AF4484" s="26"/>
      <c r="AJ4484" s="26"/>
    </row>
    <row r="4485" spans="29:36">
      <c r="AC4485" s="26"/>
      <c r="AE4485" s="26"/>
      <c r="AF4485" s="26"/>
      <c r="AJ4485" s="26"/>
    </row>
    <row r="4486" spans="29:36">
      <c r="AC4486" s="26"/>
      <c r="AE4486" s="26"/>
      <c r="AF4486" s="26"/>
      <c r="AJ4486" s="26"/>
    </row>
    <row r="4487" spans="29:36">
      <c r="AC4487" s="26"/>
      <c r="AE4487" s="26"/>
      <c r="AF4487" s="26"/>
      <c r="AJ4487" s="26"/>
    </row>
    <row r="4488" spans="29:36">
      <c r="AC4488" s="26"/>
      <c r="AE4488" s="26"/>
      <c r="AF4488" s="26"/>
      <c r="AJ4488" s="26"/>
    </row>
    <row r="4489" spans="29:36">
      <c r="AC4489" s="26"/>
      <c r="AE4489" s="26"/>
      <c r="AF4489" s="26"/>
      <c r="AJ4489" s="26"/>
    </row>
    <row r="4490" spans="29:36">
      <c r="AC4490" s="26"/>
      <c r="AE4490" s="26"/>
      <c r="AF4490" s="26"/>
      <c r="AJ4490" s="26"/>
    </row>
    <row r="4491" spans="29:36">
      <c r="AC4491" s="26"/>
      <c r="AE4491" s="26"/>
      <c r="AF4491" s="26"/>
      <c r="AJ4491" s="26"/>
    </row>
    <row r="4492" spans="29:36">
      <c r="AC4492" s="26"/>
      <c r="AE4492" s="26"/>
      <c r="AF4492" s="26"/>
      <c r="AJ4492" s="26"/>
    </row>
    <row r="4493" spans="29:36">
      <c r="AC4493" s="26"/>
      <c r="AE4493" s="26"/>
      <c r="AF4493" s="26"/>
      <c r="AJ4493" s="26"/>
    </row>
    <row r="4494" spans="29:36">
      <c r="AC4494" s="26"/>
      <c r="AE4494" s="26"/>
      <c r="AF4494" s="26"/>
      <c r="AJ4494" s="26"/>
    </row>
    <row r="4495" spans="29:36">
      <c r="AC4495" s="26"/>
      <c r="AE4495" s="26"/>
      <c r="AF4495" s="26"/>
      <c r="AJ4495" s="26"/>
    </row>
    <row r="4496" spans="29:36">
      <c r="AC4496" s="26"/>
      <c r="AE4496" s="26"/>
      <c r="AF4496" s="26"/>
      <c r="AJ4496" s="26"/>
    </row>
    <row r="4497" spans="29:36">
      <c r="AC4497" s="26"/>
      <c r="AE4497" s="26"/>
      <c r="AF4497" s="26"/>
      <c r="AJ4497" s="26"/>
    </row>
    <row r="4498" spans="29:36">
      <c r="AC4498" s="26"/>
      <c r="AE4498" s="26"/>
      <c r="AF4498" s="26"/>
      <c r="AJ4498" s="26"/>
    </row>
    <row r="4499" spans="29:36">
      <c r="AC4499" s="26"/>
      <c r="AE4499" s="26"/>
      <c r="AF4499" s="26"/>
      <c r="AJ4499" s="26"/>
    </row>
    <row r="4500" spans="29:36">
      <c r="AC4500" s="26"/>
      <c r="AE4500" s="26"/>
      <c r="AF4500" s="26"/>
      <c r="AJ4500" s="26"/>
    </row>
    <row r="4501" spans="29:36">
      <c r="AC4501" s="26"/>
      <c r="AE4501" s="26"/>
      <c r="AF4501" s="26"/>
      <c r="AJ4501" s="26"/>
    </row>
    <row r="4502" spans="29:36">
      <c r="AC4502" s="26"/>
      <c r="AE4502" s="26"/>
      <c r="AF4502" s="26"/>
      <c r="AJ4502" s="26"/>
    </row>
    <row r="4503" spans="29:36">
      <c r="AC4503" s="26"/>
      <c r="AE4503" s="26"/>
      <c r="AF4503" s="26"/>
      <c r="AJ4503" s="26"/>
    </row>
    <row r="4504" spans="29:36">
      <c r="AC4504" s="26"/>
      <c r="AE4504" s="26"/>
      <c r="AF4504" s="26"/>
      <c r="AJ4504" s="26"/>
    </row>
    <row r="4505" spans="29:36">
      <c r="AC4505" s="26"/>
      <c r="AE4505" s="26"/>
      <c r="AF4505" s="26"/>
      <c r="AJ4505" s="26"/>
    </row>
    <row r="4506" spans="29:36">
      <c r="AC4506" s="26"/>
      <c r="AE4506" s="26"/>
      <c r="AF4506" s="26"/>
      <c r="AJ4506" s="26"/>
    </row>
    <row r="4507" spans="29:36">
      <c r="AC4507" s="26"/>
      <c r="AE4507" s="26"/>
      <c r="AF4507" s="26"/>
      <c r="AJ4507" s="26"/>
    </row>
    <row r="4508" spans="29:36">
      <c r="AC4508" s="26"/>
      <c r="AE4508" s="26"/>
      <c r="AF4508" s="26"/>
      <c r="AJ4508" s="26"/>
    </row>
    <row r="4509" spans="29:36">
      <c r="AC4509" s="26"/>
      <c r="AE4509" s="26"/>
      <c r="AF4509" s="26"/>
      <c r="AJ4509" s="26"/>
    </row>
    <row r="4510" spans="29:36">
      <c r="AC4510" s="26"/>
      <c r="AE4510" s="26"/>
      <c r="AF4510" s="26"/>
      <c r="AJ4510" s="26"/>
    </row>
    <row r="4511" spans="29:36">
      <c r="AC4511" s="26"/>
      <c r="AE4511" s="26"/>
      <c r="AF4511" s="26"/>
      <c r="AJ4511" s="26"/>
    </row>
    <row r="4512" spans="29:36">
      <c r="AC4512" s="26"/>
      <c r="AE4512" s="26"/>
      <c r="AF4512" s="26"/>
      <c r="AJ4512" s="26"/>
    </row>
    <row r="4513" spans="29:36">
      <c r="AC4513" s="26"/>
      <c r="AE4513" s="26"/>
      <c r="AF4513" s="26"/>
      <c r="AJ4513" s="26"/>
    </row>
    <row r="4514" spans="29:36">
      <c r="AC4514" s="26"/>
      <c r="AE4514" s="26"/>
      <c r="AF4514" s="26"/>
      <c r="AJ4514" s="26"/>
    </row>
    <row r="4515" spans="29:36">
      <c r="AC4515" s="26"/>
      <c r="AE4515" s="26"/>
      <c r="AF4515" s="26"/>
      <c r="AJ4515" s="26"/>
    </row>
    <row r="4516" spans="29:36">
      <c r="AC4516" s="26"/>
      <c r="AE4516" s="26"/>
      <c r="AF4516" s="26"/>
      <c r="AJ4516" s="26"/>
    </row>
    <row r="4517" spans="29:36">
      <c r="AC4517" s="26"/>
      <c r="AE4517" s="26"/>
      <c r="AF4517" s="26"/>
      <c r="AJ4517" s="26"/>
    </row>
    <row r="4518" spans="29:36">
      <c r="AC4518" s="26"/>
      <c r="AE4518" s="26"/>
      <c r="AF4518" s="26"/>
      <c r="AJ4518" s="26"/>
    </row>
    <row r="4519" spans="29:36">
      <c r="AC4519" s="26"/>
      <c r="AE4519" s="26"/>
      <c r="AF4519" s="26"/>
      <c r="AJ4519" s="26"/>
    </row>
    <row r="4520" spans="29:36">
      <c r="AC4520" s="26"/>
      <c r="AE4520" s="26"/>
      <c r="AF4520" s="26"/>
      <c r="AJ4520" s="26"/>
    </row>
    <row r="4521" spans="29:36">
      <c r="AC4521" s="26"/>
      <c r="AE4521" s="26"/>
      <c r="AF4521" s="26"/>
      <c r="AJ4521" s="26"/>
    </row>
    <row r="4522" spans="29:36">
      <c r="AC4522" s="26"/>
      <c r="AE4522" s="26"/>
      <c r="AF4522" s="26"/>
      <c r="AJ4522" s="26"/>
    </row>
    <row r="4523" spans="29:36">
      <c r="AC4523" s="26"/>
      <c r="AE4523" s="26"/>
      <c r="AF4523" s="26"/>
      <c r="AJ4523" s="26"/>
    </row>
    <row r="4524" spans="29:36">
      <c r="AC4524" s="26"/>
      <c r="AE4524" s="26"/>
      <c r="AF4524" s="26"/>
      <c r="AJ4524" s="26"/>
    </row>
    <row r="4525" spans="29:36">
      <c r="AC4525" s="26"/>
      <c r="AE4525" s="26"/>
      <c r="AF4525" s="26"/>
      <c r="AJ4525" s="26"/>
    </row>
    <row r="4526" spans="29:36">
      <c r="AC4526" s="26"/>
      <c r="AE4526" s="26"/>
      <c r="AF4526" s="26"/>
      <c r="AJ4526" s="26"/>
    </row>
    <row r="4527" spans="29:36">
      <c r="AC4527" s="26"/>
      <c r="AE4527" s="26"/>
      <c r="AF4527" s="26"/>
      <c r="AJ4527" s="26"/>
    </row>
    <row r="4528" spans="29:36">
      <c r="AC4528" s="26"/>
      <c r="AE4528" s="26"/>
      <c r="AF4528" s="26"/>
      <c r="AJ4528" s="26"/>
    </row>
    <row r="4529" spans="29:36">
      <c r="AC4529" s="26"/>
      <c r="AE4529" s="26"/>
      <c r="AF4529" s="26"/>
      <c r="AJ4529" s="26"/>
    </row>
    <row r="4530" spans="29:36">
      <c r="AC4530" s="26"/>
      <c r="AE4530" s="26"/>
      <c r="AF4530" s="26"/>
      <c r="AJ4530" s="26"/>
    </row>
    <row r="4531" spans="29:36">
      <c r="AC4531" s="26"/>
      <c r="AE4531" s="26"/>
      <c r="AF4531" s="26"/>
      <c r="AJ4531" s="26"/>
    </row>
    <row r="4532" spans="29:36">
      <c r="AC4532" s="26"/>
      <c r="AE4532" s="26"/>
      <c r="AF4532" s="26"/>
      <c r="AJ4532" s="26"/>
    </row>
    <row r="4533" spans="29:36">
      <c r="AC4533" s="26"/>
      <c r="AE4533" s="26"/>
      <c r="AF4533" s="26"/>
      <c r="AJ4533" s="26"/>
    </row>
    <row r="4534" spans="29:36">
      <c r="AC4534" s="26"/>
      <c r="AE4534" s="26"/>
      <c r="AF4534" s="26"/>
      <c r="AJ4534" s="26"/>
    </row>
    <row r="4535" spans="29:36">
      <c r="AC4535" s="26"/>
      <c r="AE4535" s="26"/>
      <c r="AF4535" s="26"/>
      <c r="AJ4535" s="26"/>
    </row>
    <row r="4536" spans="29:36">
      <c r="AC4536" s="26"/>
      <c r="AE4536" s="26"/>
      <c r="AF4536" s="26"/>
      <c r="AJ4536" s="26"/>
    </row>
    <row r="4537" spans="29:36">
      <c r="AC4537" s="26"/>
      <c r="AE4537" s="26"/>
      <c r="AF4537" s="26"/>
      <c r="AJ4537" s="26"/>
    </row>
    <row r="4538" spans="29:36">
      <c r="AC4538" s="26"/>
      <c r="AE4538" s="26"/>
      <c r="AF4538" s="26"/>
      <c r="AJ4538" s="26"/>
    </row>
    <row r="4539" spans="29:36">
      <c r="AC4539" s="26"/>
      <c r="AE4539" s="26"/>
      <c r="AF4539" s="26"/>
      <c r="AJ4539" s="26"/>
    </row>
    <row r="4540" spans="29:36">
      <c r="AC4540" s="26"/>
      <c r="AE4540" s="26"/>
      <c r="AF4540" s="26"/>
      <c r="AJ4540" s="26"/>
    </row>
    <row r="4541" spans="29:36">
      <c r="AC4541" s="26"/>
      <c r="AE4541" s="26"/>
      <c r="AF4541" s="26"/>
      <c r="AJ4541" s="26"/>
    </row>
    <row r="4542" spans="29:36">
      <c r="AC4542" s="26"/>
      <c r="AE4542" s="26"/>
      <c r="AF4542" s="26"/>
      <c r="AJ4542" s="26"/>
    </row>
    <row r="4543" spans="29:36">
      <c r="AC4543" s="26"/>
      <c r="AE4543" s="26"/>
      <c r="AF4543" s="26"/>
      <c r="AJ4543" s="26"/>
    </row>
    <row r="4544" spans="29:36">
      <c r="AC4544" s="26"/>
      <c r="AE4544" s="26"/>
      <c r="AF4544" s="26"/>
      <c r="AJ4544" s="26"/>
    </row>
    <row r="4545" spans="29:36">
      <c r="AC4545" s="26"/>
      <c r="AE4545" s="26"/>
      <c r="AF4545" s="26"/>
      <c r="AJ4545" s="26"/>
    </row>
    <row r="4546" spans="29:36">
      <c r="AC4546" s="26"/>
      <c r="AE4546" s="26"/>
      <c r="AF4546" s="26"/>
      <c r="AJ4546" s="26"/>
    </row>
    <row r="4547" spans="29:36">
      <c r="AC4547" s="26"/>
      <c r="AE4547" s="26"/>
      <c r="AF4547" s="26"/>
      <c r="AJ4547" s="26"/>
    </row>
    <row r="4548" spans="29:36">
      <c r="AC4548" s="26"/>
      <c r="AE4548" s="26"/>
      <c r="AF4548" s="26"/>
      <c r="AJ4548" s="26"/>
    </row>
    <row r="4549" spans="29:36">
      <c r="AC4549" s="26"/>
      <c r="AE4549" s="26"/>
      <c r="AF4549" s="26"/>
      <c r="AJ4549" s="26"/>
    </row>
    <row r="4550" spans="29:36">
      <c r="AC4550" s="26"/>
      <c r="AE4550" s="26"/>
      <c r="AF4550" s="26"/>
      <c r="AJ4550" s="26"/>
    </row>
    <row r="4551" spans="29:36">
      <c r="AC4551" s="26"/>
      <c r="AE4551" s="26"/>
      <c r="AF4551" s="26"/>
      <c r="AJ4551" s="26"/>
    </row>
    <row r="4552" spans="29:36">
      <c r="AC4552" s="26"/>
      <c r="AE4552" s="26"/>
      <c r="AF4552" s="26"/>
      <c r="AJ4552" s="26"/>
    </row>
    <row r="4553" spans="29:36">
      <c r="AC4553" s="26"/>
      <c r="AE4553" s="26"/>
      <c r="AF4553" s="26"/>
      <c r="AJ4553" s="26"/>
    </row>
    <row r="4554" spans="29:36">
      <c r="AC4554" s="26"/>
      <c r="AE4554" s="26"/>
      <c r="AF4554" s="26"/>
      <c r="AJ4554" s="26"/>
    </row>
    <row r="4555" spans="29:36">
      <c r="AC4555" s="26"/>
      <c r="AE4555" s="26"/>
      <c r="AF4555" s="26"/>
      <c r="AJ4555" s="26"/>
    </row>
    <row r="4556" spans="29:36">
      <c r="AC4556" s="26"/>
      <c r="AE4556" s="26"/>
      <c r="AF4556" s="26"/>
      <c r="AJ4556" s="26"/>
    </row>
    <row r="4557" spans="29:36">
      <c r="AC4557" s="26"/>
      <c r="AE4557" s="26"/>
      <c r="AF4557" s="26"/>
      <c r="AJ4557" s="26"/>
    </row>
    <row r="4558" spans="29:36">
      <c r="AC4558" s="26"/>
      <c r="AE4558" s="26"/>
      <c r="AF4558" s="26"/>
      <c r="AJ4558" s="26"/>
    </row>
    <row r="4559" spans="29:36">
      <c r="AC4559" s="26"/>
      <c r="AE4559" s="26"/>
      <c r="AF4559" s="26"/>
      <c r="AJ4559" s="26"/>
    </row>
    <row r="4560" spans="29:36">
      <c r="AC4560" s="26"/>
      <c r="AE4560" s="26"/>
      <c r="AF4560" s="26"/>
      <c r="AJ4560" s="26"/>
    </row>
    <row r="4561" spans="29:36">
      <c r="AC4561" s="26"/>
      <c r="AE4561" s="26"/>
      <c r="AF4561" s="26"/>
      <c r="AJ4561" s="26"/>
    </row>
    <row r="4562" spans="29:36">
      <c r="AC4562" s="26"/>
      <c r="AE4562" s="26"/>
      <c r="AF4562" s="26"/>
      <c r="AJ4562" s="26"/>
    </row>
    <row r="4563" spans="29:36">
      <c r="AC4563" s="26"/>
      <c r="AE4563" s="26"/>
      <c r="AF4563" s="26"/>
      <c r="AJ4563" s="26"/>
    </row>
    <row r="4564" spans="29:36">
      <c r="AC4564" s="26"/>
      <c r="AE4564" s="26"/>
      <c r="AF4564" s="26"/>
      <c r="AJ4564" s="26"/>
    </row>
    <row r="4565" spans="29:36">
      <c r="AC4565" s="26"/>
      <c r="AE4565" s="26"/>
      <c r="AF4565" s="26"/>
      <c r="AJ4565" s="26"/>
    </row>
    <row r="4566" spans="29:36">
      <c r="AC4566" s="26"/>
      <c r="AE4566" s="26"/>
      <c r="AF4566" s="26"/>
      <c r="AJ4566" s="26"/>
    </row>
    <row r="4567" spans="29:36">
      <c r="AC4567" s="26"/>
      <c r="AE4567" s="26"/>
      <c r="AF4567" s="26"/>
      <c r="AJ4567" s="26"/>
    </row>
    <row r="4568" spans="29:36">
      <c r="AC4568" s="26"/>
      <c r="AE4568" s="26"/>
      <c r="AF4568" s="26"/>
      <c r="AJ4568" s="26"/>
    </row>
    <row r="4569" spans="29:36">
      <c r="AC4569" s="26"/>
      <c r="AE4569" s="26"/>
      <c r="AF4569" s="26"/>
      <c r="AJ4569" s="26"/>
    </row>
    <row r="4570" spans="29:36">
      <c r="AC4570" s="26"/>
      <c r="AE4570" s="26"/>
      <c r="AF4570" s="26"/>
      <c r="AJ4570" s="26"/>
    </row>
    <row r="4571" spans="29:36">
      <c r="AC4571" s="26"/>
      <c r="AE4571" s="26"/>
      <c r="AF4571" s="26"/>
      <c r="AJ4571" s="26"/>
    </row>
    <row r="4572" spans="29:36">
      <c r="AC4572" s="26"/>
      <c r="AE4572" s="26"/>
      <c r="AF4572" s="26"/>
      <c r="AJ4572" s="26"/>
    </row>
    <row r="4573" spans="29:36">
      <c r="AC4573" s="26"/>
      <c r="AE4573" s="26"/>
      <c r="AF4573" s="26"/>
      <c r="AJ4573" s="26"/>
    </row>
    <row r="4574" spans="29:36">
      <c r="AC4574" s="26"/>
      <c r="AE4574" s="26"/>
      <c r="AF4574" s="26"/>
      <c r="AJ4574" s="26"/>
    </row>
    <row r="4575" spans="29:36">
      <c r="AC4575" s="26"/>
      <c r="AE4575" s="26"/>
      <c r="AF4575" s="26"/>
      <c r="AJ4575" s="26"/>
    </row>
    <row r="4576" spans="29:36">
      <c r="AC4576" s="26"/>
      <c r="AE4576" s="26"/>
      <c r="AF4576" s="26"/>
      <c r="AJ4576" s="26"/>
    </row>
    <row r="4577" spans="29:36">
      <c r="AC4577" s="26"/>
      <c r="AE4577" s="26"/>
      <c r="AF4577" s="26"/>
      <c r="AJ4577" s="26"/>
    </row>
    <row r="4578" spans="29:36">
      <c r="AC4578" s="26"/>
      <c r="AE4578" s="26"/>
      <c r="AF4578" s="26"/>
      <c r="AJ4578" s="26"/>
    </row>
    <row r="4579" spans="29:36">
      <c r="AC4579" s="26"/>
      <c r="AE4579" s="26"/>
      <c r="AF4579" s="26"/>
      <c r="AJ4579" s="26"/>
    </row>
    <row r="4580" spans="29:36">
      <c r="AC4580" s="26"/>
      <c r="AE4580" s="26"/>
      <c r="AF4580" s="26"/>
      <c r="AJ4580" s="26"/>
    </row>
    <row r="4581" spans="29:36">
      <c r="AC4581" s="26"/>
      <c r="AE4581" s="26"/>
      <c r="AF4581" s="26"/>
      <c r="AJ4581" s="26"/>
    </row>
    <row r="4582" spans="29:36">
      <c r="AC4582" s="26"/>
      <c r="AE4582" s="26"/>
      <c r="AF4582" s="26"/>
      <c r="AJ4582" s="26"/>
    </row>
    <row r="4583" spans="29:36">
      <c r="AC4583" s="26"/>
      <c r="AE4583" s="26"/>
      <c r="AF4583" s="26"/>
      <c r="AJ4583" s="26"/>
    </row>
    <row r="4584" spans="29:36">
      <c r="AC4584" s="26"/>
      <c r="AE4584" s="26"/>
      <c r="AF4584" s="26"/>
      <c r="AJ4584" s="26"/>
    </row>
    <row r="4585" spans="29:36">
      <c r="AC4585" s="26"/>
      <c r="AE4585" s="26"/>
      <c r="AF4585" s="26"/>
      <c r="AJ4585" s="26"/>
    </row>
    <row r="4586" spans="29:36">
      <c r="AC4586" s="26"/>
      <c r="AE4586" s="26"/>
      <c r="AF4586" s="26"/>
      <c r="AJ4586" s="26"/>
    </row>
    <row r="4587" spans="29:36">
      <c r="AC4587" s="26"/>
      <c r="AE4587" s="26"/>
      <c r="AF4587" s="26"/>
      <c r="AJ4587" s="26"/>
    </row>
    <row r="4588" spans="29:36">
      <c r="AC4588" s="26"/>
      <c r="AE4588" s="26"/>
      <c r="AF4588" s="26"/>
      <c r="AJ4588" s="26"/>
    </row>
    <row r="4589" spans="29:36">
      <c r="AC4589" s="26"/>
      <c r="AE4589" s="26"/>
      <c r="AF4589" s="26"/>
      <c r="AJ4589" s="26"/>
    </row>
    <row r="4590" spans="29:36">
      <c r="AC4590" s="26"/>
      <c r="AE4590" s="26"/>
      <c r="AF4590" s="26"/>
      <c r="AJ4590" s="26"/>
    </row>
    <row r="4591" spans="29:36">
      <c r="AC4591" s="26"/>
      <c r="AE4591" s="26"/>
      <c r="AF4591" s="26"/>
      <c r="AJ4591" s="26"/>
    </row>
    <row r="4592" spans="29:36">
      <c r="AC4592" s="26"/>
      <c r="AE4592" s="26"/>
      <c r="AF4592" s="26"/>
      <c r="AJ4592" s="26"/>
    </row>
    <row r="4593" spans="29:36">
      <c r="AC4593" s="26"/>
      <c r="AE4593" s="26"/>
      <c r="AF4593" s="26"/>
      <c r="AJ4593" s="26"/>
    </row>
    <row r="4594" spans="29:36">
      <c r="AC4594" s="26"/>
      <c r="AE4594" s="26"/>
      <c r="AF4594" s="26"/>
      <c r="AJ4594" s="26"/>
    </row>
    <row r="4595" spans="29:36">
      <c r="AC4595" s="26"/>
      <c r="AE4595" s="26"/>
      <c r="AF4595" s="26"/>
      <c r="AJ4595" s="26"/>
    </row>
    <row r="4596" spans="29:36">
      <c r="AC4596" s="26"/>
      <c r="AE4596" s="26"/>
      <c r="AF4596" s="26"/>
      <c r="AJ4596" s="26"/>
    </row>
    <row r="4597" spans="29:36">
      <c r="AC4597" s="26"/>
      <c r="AE4597" s="26"/>
      <c r="AF4597" s="26"/>
      <c r="AJ4597" s="26"/>
    </row>
    <row r="4598" spans="29:36">
      <c r="AC4598" s="26"/>
      <c r="AE4598" s="26"/>
      <c r="AF4598" s="26"/>
      <c r="AJ4598" s="26"/>
    </row>
    <row r="4599" spans="29:36">
      <c r="AC4599" s="26"/>
      <c r="AE4599" s="26"/>
      <c r="AF4599" s="26"/>
      <c r="AJ4599" s="26"/>
    </row>
    <row r="4600" spans="29:36">
      <c r="AC4600" s="26"/>
      <c r="AE4600" s="26"/>
      <c r="AF4600" s="26"/>
      <c r="AJ4600" s="26"/>
    </row>
    <row r="4601" spans="29:36">
      <c r="AC4601" s="26"/>
      <c r="AE4601" s="26"/>
      <c r="AF4601" s="26"/>
      <c r="AJ4601" s="26"/>
    </row>
    <row r="4602" spans="29:36">
      <c r="AC4602" s="26"/>
      <c r="AE4602" s="26"/>
      <c r="AF4602" s="26"/>
      <c r="AJ4602" s="26"/>
    </row>
    <row r="4603" spans="29:36">
      <c r="AC4603" s="26"/>
      <c r="AE4603" s="26"/>
      <c r="AF4603" s="26"/>
      <c r="AJ4603" s="26"/>
    </row>
    <row r="4604" spans="29:36">
      <c r="AC4604" s="26"/>
      <c r="AE4604" s="26"/>
      <c r="AF4604" s="26"/>
      <c r="AJ4604" s="26"/>
    </row>
    <row r="4605" spans="29:36">
      <c r="AC4605" s="26"/>
      <c r="AE4605" s="26"/>
      <c r="AF4605" s="26"/>
      <c r="AJ4605" s="26"/>
    </row>
    <row r="4606" spans="29:36">
      <c r="AC4606" s="26"/>
      <c r="AE4606" s="26"/>
      <c r="AF4606" s="26"/>
      <c r="AJ4606" s="26"/>
    </row>
    <row r="4607" spans="29:36">
      <c r="AC4607" s="26"/>
      <c r="AE4607" s="26"/>
      <c r="AF4607" s="26"/>
      <c r="AJ4607" s="26"/>
    </row>
    <row r="4608" spans="29:36">
      <c r="AC4608" s="26"/>
      <c r="AE4608" s="26"/>
      <c r="AF4608" s="26"/>
      <c r="AJ4608" s="26"/>
    </row>
    <row r="4609" spans="29:36">
      <c r="AC4609" s="26"/>
      <c r="AE4609" s="26"/>
      <c r="AF4609" s="26"/>
      <c r="AJ4609" s="26"/>
    </row>
    <row r="4610" spans="29:36">
      <c r="AC4610" s="26"/>
      <c r="AE4610" s="26"/>
      <c r="AF4610" s="26"/>
      <c r="AJ4610" s="26"/>
    </row>
    <row r="4611" spans="29:36">
      <c r="AC4611" s="26"/>
      <c r="AE4611" s="26"/>
      <c r="AF4611" s="26"/>
      <c r="AJ4611" s="26"/>
    </row>
    <row r="4612" spans="29:36">
      <c r="AC4612" s="26"/>
      <c r="AE4612" s="26"/>
      <c r="AF4612" s="26"/>
      <c r="AJ4612" s="26"/>
    </row>
    <row r="4613" spans="29:36">
      <c r="AC4613" s="26"/>
      <c r="AE4613" s="26"/>
      <c r="AF4613" s="26"/>
      <c r="AJ4613" s="26"/>
    </row>
    <row r="4614" spans="29:36">
      <c r="AC4614" s="26"/>
      <c r="AE4614" s="26"/>
      <c r="AF4614" s="26"/>
      <c r="AJ4614" s="26"/>
    </row>
    <row r="4615" spans="29:36">
      <c r="AC4615" s="26"/>
      <c r="AE4615" s="26"/>
      <c r="AF4615" s="26"/>
      <c r="AJ4615" s="26"/>
    </row>
    <row r="4616" spans="29:36">
      <c r="AC4616" s="26"/>
      <c r="AE4616" s="26"/>
      <c r="AF4616" s="26"/>
      <c r="AJ4616" s="26"/>
    </row>
    <row r="4617" spans="29:36">
      <c r="AC4617" s="26"/>
      <c r="AE4617" s="26"/>
      <c r="AF4617" s="26"/>
      <c r="AJ4617" s="26"/>
    </row>
    <row r="4618" spans="29:36">
      <c r="AC4618" s="26"/>
      <c r="AE4618" s="26"/>
      <c r="AF4618" s="26"/>
      <c r="AJ4618" s="26"/>
    </row>
    <row r="4619" spans="29:36">
      <c r="AC4619" s="26"/>
      <c r="AE4619" s="26"/>
      <c r="AF4619" s="26"/>
      <c r="AJ4619" s="26"/>
    </row>
    <row r="4620" spans="29:36">
      <c r="AC4620" s="26"/>
      <c r="AE4620" s="26"/>
      <c r="AF4620" s="26"/>
      <c r="AJ4620" s="26"/>
    </row>
    <row r="4621" spans="29:36">
      <c r="AC4621" s="26"/>
      <c r="AE4621" s="26"/>
      <c r="AF4621" s="26"/>
      <c r="AJ4621" s="26"/>
    </row>
    <row r="4622" spans="29:36">
      <c r="AC4622" s="26"/>
      <c r="AE4622" s="26"/>
      <c r="AF4622" s="26"/>
      <c r="AJ4622" s="26"/>
    </row>
    <row r="4623" spans="29:36">
      <c r="AC4623" s="26"/>
      <c r="AE4623" s="26"/>
      <c r="AF4623" s="26"/>
      <c r="AJ4623" s="26"/>
    </row>
    <row r="4624" spans="29:36">
      <c r="AC4624" s="26"/>
      <c r="AE4624" s="26"/>
      <c r="AF4624" s="26"/>
      <c r="AJ4624" s="26"/>
    </row>
    <row r="4625" spans="29:36">
      <c r="AC4625" s="26"/>
      <c r="AE4625" s="26"/>
      <c r="AF4625" s="26"/>
      <c r="AJ4625" s="26"/>
    </row>
    <row r="4626" spans="29:36">
      <c r="AC4626" s="26"/>
      <c r="AE4626" s="26"/>
      <c r="AF4626" s="26"/>
      <c r="AJ4626" s="26"/>
    </row>
    <row r="4627" spans="29:36">
      <c r="AC4627" s="26"/>
      <c r="AE4627" s="26"/>
      <c r="AF4627" s="26"/>
      <c r="AJ4627" s="26"/>
    </row>
    <row r="4628" spans="29:36">
      <c r="AC4628" s="26"/>
      <c r="AE4628" s="26"/>
      <c r="AF4628" s="26"/>
      <c r="AJ4628" s="26"/>
    </row>
    <row r="4629" spans="29:36">
      <c r="AC4629" s="26"/>
      <c r="AE4629" s="26"/>
      <c r="AF4629" s="26"/>
      <c r="AJ4629" s="26"/>
    </row>
    <row r="4630" spans="29:36">
      <c r="AC4630" s="26"/>
      <c r="AE4630" s="26"/>
      <c r="AF4630" s="26"/>
      <c r="AJ4630" s="26"/>
    </row>
    <row r="4631" spans="29:36">
      <c r="AC4631" s="26"/>
      <c r="AE4631" s="26"/>
      <c r="AF4631" s="26"/>
      <c r="AJ4631" s="26"/>
    </row>
    <row r="4632" spans="29:36">
      <c r="AC4632" s="26"/>
      <c r="AE4632" s="26"/>
      <c r="AF4632" s="26"/>
      <c r="AJ4632" s="26"/>
    </row>
    <row r="4633" spans="29:36">
      <c r="AC4633" s="26"/>
      <c r="AE4633" s="26"/>
      <c r="AF4633" s="26"/>
      <c r="AJ4633" s="26"/>
    </row>
    <row r="4634" spans="29:36">
      <c r="AC4634" s="26"/>
      <c r="AE4634" s="26"/>
      <c r="AF4634" s="26"/>
      <c r="AJ4634" s="26"/>
    </row>
    <row r="4635" spans="29:36">
      <c r="AC4635" s="26"/>
      <c r="AE4635" s="26"/>
      <c r="AF4635" s="26"/>
      <c r="AJ4635" s="26"/>
    </row>
    <row r="4636" spans="29:36">
      <c r="AC4636" s="26"/>
      <c r="AE4636" s="26"/>
      <c r="AF4636" s="26"/>
      <c r="AJ4636" s="26"/>
    </row>
    <row r="4637" spans="29:36">
      <c r="AC4637" s="26"/>
      <c r="AE4637" s="26"/>
      <c r="AF4637" s="26"/>
      <c r="AJ4637" s="26"/>
    </row>
    <row r="4638" spans="29:36">
      <c r="AC4638" s="26"/>
      <c r="AE4638" s="26"/>
      <c r="AF4638" s="26"/>
      <c r="AJ4638" s="26"/>
    </row>
    <row r="4639" spans="29:36">
      <c r="AC4639" s="26"/>
      <c r="AE4639" s="26"/>
      <c r="AF4639" s="26"/>
      <c r="AJ4639" s="26"/>
    </row>
    <row r="4640" spans="29:36">
      <c r="AC4640" s="26"/>
      <c r="AE4640" s="26"/>
      <c r="AF4640" s="26"/>
      <c r="AJ4640" s="26"/>
    </row>
    <row r="4641" spans="29:36">
      <c r="AC4641" s="26"/>
      <c r="AE4641" s="26"/>
      <c r="AF4641" s="26"/>
      <c r="AJ4641" s="26"/>
    </row>
    <row r="4642" spans="29:36">
      <c r="AC4642" s="26"/>
      <c r="AE4642" s="26"/>
      <c r="AF4642" s="26"/>
      <c r="AJ4642" s="26"/>
    </row>
    <row r="4643" spans="29:36">
      <c r="AC4643" s="26"/>
      <c r="AE4643" s="26"/>
      <c r="AF4643" s="26"/>
      <c r="AJ4643" s="26"/>
    </row>
    <row r="4644" spans="29:36">
      <c r="AC4644" s="26"/>
      <c r="AE4644" s="26"/>
      <c r="AF4644" s="26"/>
      <c r="AJ4644" s="26"/>
    </row>
    <row r="4645" spans="29:36">
      <c r="AC4645" s="26"/>
      <c r="AE4645" s="26"/>
      <c r="AF4645" s="26"/>
      <c r="AJ4645" s="26"/>
    </row>
    <row r="4646" spans="29:36">
      <c r="AC4646" s="26"/>
      <c r="AE4646" s="26"/>
      <c r="AF4646" s="26"/>
      <c r="AJ4646" s="26"/>
    </row>
    <row r="4647" spans="29:36">
      <c r="AC4647" s="26"/>
      <c r="AE4647" s="26"/>
      <c r="AF4647" s="26"/>
      <c r="AJ4647" s="26"/>
    </row>
    <row r="4648" spans="29:36">
      <c r="AC4648" s="26"/>
      <c r="AE4648" s="26"/>
      <c r="AF4648" s="26"/>
      <c r="AJ4648" s="26"/>
    </row>
    <row r="4649" spans="29:36">
      <c r="AC4649" s="26"/>
      <c r="AE4649" s="26"/>
      <c r="AF4649" s="26"/>
      <c r="AJ4649" s="26"/>
    </row>
    <row r="4650" spans="29:36">
      <c r="AC4650" s="26"/>
      <c r="AE4650" s="26"/>
      <c r="AF4650" s="26"/>
      <c r="AJ4650" s="26"/>
    </row>
    <row r="4651" spans="29:36">
      <c r="AC4651" s="26"/>
      <c r="AE4651" s="26"/>
      <c r="AF4651" s="26"/>
      <c r="AJ4651" s="26"/>
    </row>
    <row r="4652" spans="29:36">
      <c r="AC4652" s="26"/>
      <c r="AE4652" s="26"/>
      <c r="AF4652" s="26"/>
      <c r="AJ4652" s="26"/>
    </row>
    <row r="4653" spans="29:36">
      <c r="AC4653" s="26"/>
      <c r="AE4653" s="26"/>
      <c r="AF4653" s="26"/>
      <c r="AJ4653" s="26"/>
    </row>
    <row r="4654" spans="29:36">
      <c r="AC4654" s="26"/>
      <c r="AE4654" s="26"/>
      <c r="AF4654" s="26"/>
      <c r="AJ4654" s="26"/>
    </row>
    <row r="4655" spans="29:36">
      <c r="AC4655" s="26"/>
      <c r="AE4655" s="26"/>
      <c r="AF4655" s="26"/>
      <c r="AJ4655" s="26"/>
    </row>
    <row r="4656" spans="29:36">
      <c r="AC4656" s="26"/>
      <c r="AE4656" s="26"/>
      <c r="AF4656" s="26"/>
      <c r="AJ4656" s="26"/>
    </row>
    <row r="4657" spans="29:36">
      <c r="AC4657" s="26"/>
      <c r="AE4657" s="26"/>
      <c r="AF4657" s="26"/>
      <c r="AJ4657" s="26"/>
    </row>
    <row r="4658" spans="29:36">
      <c r="AC4658" s="26"/>
      <c r="AE4658" s="26"/>
      <c r="AF4658" s="26"/>
      <c r="AJ4658" s="26"/>
    </row>
    <row r="4659" spans="29:36">
      <c r="AC4659" s="26"/>
      <c r="AE4659" s="26"/>
      <c r="AF4659" s="26"/>
      <c r="AJ4659" s="26"/>
    </row>
    <row r="4660" spans="29:36">
      <c r="AC4660" s="26"/>
      <c r="AE4660" s="26"/>
      <c r="AF4660" s="26"/>
      <c r="AJ4660" s="26"/>
    </row>
    <row r="4661" spans="29:36">
      <c r="AC4661" s="26"/>
      <c r="AE4661" s="26"/>
      <c r="AF4661" s="26"/>
      <c r="AJ4661" s="26"/>
    </row>
    <row r="4662" spans="29:36">
      <c r="AC4662" s="26"/>
      <c r="AE4662" s="26"/>
      <c r="AF4662" s="26"/>
      <c r="AJ4662" s="26"/>
    </row>
    <row r="4663" spans="29:36">
      <c r="AC4663" s="26"/>
      <c r="AE4663" s="26"/>
      <c r="AF4663" s="26"/>
      <c r="AJ4663" s="26"/>
    </row>
    <row r="4664" spans="29:36">
      <c r="AC4664" s="26"/>
      <c r="AE4664" s="26"/>
      <c r="AF4664" s="26"/>
      <c r="AJ4664" s="26"/>
    </row>
    <row r="4665" spans="29:36">
      <c r="AC4665" s="26"/>
      <c r="AE4665" s="26"/>
      <c r="AF4665" s="26"/>
      <c r="AJ4665" s="26"/>
    </row>
    <row r="4666" spans="29:36">
      <c r="AC4666" s="26"/>
      <c r="AE4666" s="26"/>
      <c r="AF4666" s="26"/>
      <c r="AJ4666" s="26"/>
    </row>
    <row r="4667" spans="29:36">
      <c r="AC4667" s="26"/>
      <c r="AE4667" s="26"/>
      <c r="AF4667" s="26"/>
      <c r="AJ4667" s="26"/>
    </row>
    <row r="4668" spans="29:36">
      <c r="AC4668" s="26"/>
      <c r="AE4668" s="26"/>
      <c r="AF4668" s="26"/>
      <c r="AJ4668" s="26"/>
    </row>
    <row r="4669" spans="29:36">
      <c r="AC4669" s="26"/>
      <c r="AE4669" s="26"/>
      <c r="AF4669" s="26"/>
      <c r="AJ4669" s="26"/>
    </row>
    <row r="4670" spans="29:36">
      <c r="AC4670" s="26"/>
      <c r="AE4670" s="26"/>
      <c r="AF4670" s="26"/>
      <c r="AJ4670" s="26"/>
    </row>
    <row r="4671" spans="29:36">
      <c r="AC4671" s="26"/>
      <c r="AE4671" s="26"/>
      <c r="AF4671" s="26"/>
      <c r="AJ4671" s="26"/>
    </row>
    <row r="4672" spans="29:36">
      <c r="AC4672" s="26"/>
      <c r="AE4672" s="26"/>
      <c r="AF4672" s="26"/>
      <c r="AJ4672" s="26"/>
    </row>
    <row r="4673" spans="29:36">
      <c r="AC4673" s="26"/>
      <c r="AE4673" s="26"/>
      <c r="AF4673" s="26"/>
      <c r="AJ4673" s="26"/>
    </row>
    <row r="4674" spans="29:36">
      <c r="AC4674" s="26"/>
      <c r="AE4674" s="26"/>
      <c r="AF4674" s="26"/>
      <c r="AJ4674" s="26"/>
    </row>
    <row r="4675" spans="29:36">
      <c r="AC4675" s="26"/>
      <c r="AE4675" s="26"/>
      <c r="AF4675" s="26"/>
      <c r="AJ4675" s="26"/>
    </row>
    <row r="4676" spans="29:36">
      <c r="AC4676" s="26"/>
      <c r="AE4676" s="26"/>
      <c r="AF4676" s="26"/>
      <c r="AJ4676" s="26"/>
    </row>
    <row r="4677" spans="29:36">
      <c r="AC4677" s="26"/>
      <c r="AE4677" s="26"/>
      <c r="AF4677" s="26"/>
      <c r="AJ4677" s="26"/>
    </row>
    <row r="4678" spans="29:36">
      <c r="AC4678" s="26"/>
      <c r="AE4678" s="26"/>
      <c r="AF4678" s="26"/>
      <c r="AJ4678" s="26"/>
    </row>
    <row r="4679" spans="29:36">
      <c r="AC4679" s="26"/>
      <c r="AE4679" s="26"/>
      <c r="AF4679" s="26"/>
      <c r="AJ4679" s="26"/>
    </row>
    <row r="4680" spans="29:36">
      <c r="AC4680" s="26"/>
      <c r="AE4680" s="26"/>
      <c r="AF4680" s="26"/>
      <c r="AJ4680" s="26"/>
    </row>
    <row r="4681" spans="29:36">
      <c r="AC4681" s="26"/>
      <c r="AE4681" s="26"/>
      <c r="AF4681" s="26"/>
      <c r="AJ4681" s="26"/>
    </row>
    <row r="4682" spans="29:36">
      <c r="AC4682" s="26"/>
      <c r="AE4682" s="26"/>
      <c r="AF4682" s="26"/>
      <c r="AJ4682" s="26"/>
    </row>
    <row r="4683" spans="29:36">
      <c r="AC4683" s="26"/>
      <c r="AE4683" s="26"/>
      <c r="AF4683" s="26"/>
      <c r="AJ4683" s="26"/>
    </row>
    <row r="4684" spans="29:36">
      <c r="AC4684" s="26"/>
      <c r="AE4684" s="26"/>
      <c r="AF4684" s="26"/>
      <c r="AJ4684" s="26"/>
    </row>
    <row r="4685" spans="29:36">
      <c r="AC4685" s="26"/>
      <c r="AE4685" s="26"/>
      <c r="AF4685" s="26"/>
      <c r="AJ4685" s="26"/>
    </row>
    <row r="4686" spans="29:36">
      <c r="AC4686" s="26"/>
      <c r="AE4686" s="26"/>
      <c r="AF4686" s="26"/>
      <c r="AJ4686" s="26"/>
    </row>
    <row r="4687" spans="29:36">
      <c r="AC4687" s="26"/>
      <c r="AE4687" s="26"/>
      <c r="AF4687" s="26"/>
      <c r="AJ4687" s="26"/>
    </row>
    <row r="4688" spans="29:36">
      <c r="AC4688" s="26"/>
      <c r="AE4688" s="26"/>
      <c r="AF4688" s="26"/>
      <c r="AJ4688" s="26"/>
    </row>
    <row r="4689" spans="29:36">
      <c r="AC4689" s="26"/>
      <c r="AE4689" s="26"/>
      <c r="AF4689" s="26"/>
      <c r="AJ4689" s="26"/>
    </row>
    <row r="4690" spans="29:36">
      <c r="AC4690" s="26"/>
      <c r="AE4690" s="26"/>
      <c r="AF4690" s="26"/>
      <c r="AJ4690" s="26"/>
    </row>
    <row r="4691" spans="29:36">
      <c r="AC4691" s="26"/>
      <c r="AE4691" s="26"/>
      <c r="AF4691" s="26"/>
      <c r="AJ4691" s="26"/>
    </row>
    <row r="4692" spans="29:36">
      <c r="AC4692" s="26"/>
      <c r="AE4692" s="26"/>
      <c r="AF4692" s="26"/>
      <c r="AJ4692" s="26"/>
    </row>
    <row r="4693" spans="29:36">
      <c r="AC4693" s="26"/>
      <c r="AE4693" s="26"/>
      <c r="AF4693" s="26"/>
      <c r="AJ4693" s="26"/>
    </row>
    <row r="4694" spans="29:36">
      <c r="AC4694" s="26"/>
      <c r="AE4694" s="26"/>
      <c r="AF4694" s="26"/>
      <c r="AJ4694" s="26"/>
    </row>
    <row r="4695" spans="29:36">
      <c r="AC4695" s="26"/>
      <c r="AE4695" s="26"/>
      <c r="AF4695" s="26"/>
      <c r="AJ4695" s="26"/>
    </row>
    <row r="4696" spans="29:36">
      <c r="AC4696" s="26"/>
      <c r="AE4696" s="26"/>
      <c r="AF4696" s="26"/>
      <c r="AJ4696" s="26"/>
    </row>
    <row r="4697" spans="29:36">
      <c r="AC4697" s="26"/>
      <c r="AE4697" s="26"/>
      <c r="AF4697" s="26"/>
      <c r="AJ4697" s="26"/>
    </row>
    <row r="4698" spans="29:36">
      <c r="AC4698" s="26"/>
      <c r="AE4698" s="26"/>
      <c r="AF4698" s="26"/>
      <c r="AJ4698" s="26"/>
    </row>
    <row r="4699" spans="29:36">
      <c r="AC4699" s="26"/>
      <c r="AE4699" s="26"/>
      <c r="AF4699" s="26"/>
      <c r="AJ4699" s="26"/>
    </row>
    <row r="4700" spans="29:36">
      <c r="AC4700" s="26"/>
      <c r="AE4700" s="26"/>
      <c r="AF4700" s="26"/>
      <c r="AJ4700" s="26"/>
    </row>
    <row r="4701" spans="29:36">
      <c r="AC4701" s="26"/>
      <c r="AE4701" s="26"/>
      <c r="AF4701" s="26"/>
      <c r="AJ4701" s="26"/>
    </row>
    <row r="4702" spans="29:36">
      <c r="AC4702" s="26"/>
      <c r="AE4702" s="26"/>
      <c r="AF4702" s="26"/>
      <c r="AJ4702" s="26"/>
    </row>
    <row r="4703" spans="29:36">
      <c r="AC4703" s="26"/>
      <c r="AE4703" s="26"/>
      <c r="AF4703" s="26"/>
      <c r="AJ4703" s="26"/>
    </row>
    <row r="4704" spans="29:36">
      <c r="AC4704" s="26"/>
      <c r="AE4704" s="26"/>
      <c r="AF4704" s="26"/>
      <c r="AJ4704" s="26"/>
    </row>
    <row r="4705" spans="29:36">
      <c r="AC4705" s="26"/>
      <c r="AE4705" s="26"/>
      <c r="AF4705" s="26"/>
      <c r="AJ4705" s="26"/>
    </row>
    <row r="4706" spans="29:36">
      <c r="AC4706" s="26"/>
      <c r="AE4706" s="26"/>
      <c r="AF4706" s="26"/>
      <c r="AJ4706" s="26"/>
    </row>
    <row r="4707" spans="29:36">
      <c r="AC4707" s="26"/>
      <c r="AE4707" s="26"/>
      <c r="AF4707" s="26"/>
      <c r="AJ4707" s="26"/>
    </row>
    <row r="4708" spans="29:36">
      <c r="AC4708" s="26"/>
      <c r="AE4708" s="26"/>
      <c r="AF4708" s="26"/>
      <c r="AJ4708" s="26"/>
    </row>
    <row r="4709" spans="29:36">
      <c r="AC4709" s="26"/>
      <c r="AE4709" s="26"/>
      <c r="AF4709" s="26"/>
      <c r="AJ4709" s="26"/>
    </row>
    <row r="4710" spans="29:36">
      <c r="AC4710" s="26"/>
      <c r="AE4710" s="26"/>
      <c r="AF4710" s="26"/>
      <c r="AJ4710" s="26"/>
    </row>
    <row r="4711" spans="29:36">
      <c r="AC4711" s="26"/>
      <c r="AE4711" s="26"/>
      <c r="AF4711" s="26"/>
      <c r="AJ4711" s="26"/>
    </row>
    <row r="4712" spans="29:36">
      <c r="AC4712" s="26"/>
      <c r="AE4712" s="26"/>
      <c r="AF4712" s="26"/>
      <c r="AJ4712" s="26"/>
    </row>
    <row r="4713" spans="29:36">
      <c r="AC4713" s="26"/>
      <c r="AE4713" s="26"/>
      <c r="AF4713" s="26"/>
      <c r="AJ4713" s="26"/>
    </row>
    <row r="4714" spans="29:36">
      <c r="AC4714" s="26"/>
      <c r="AE4714" s="26"/>
      <c r="AF4714" s="26"/>
      <c r="AJ4714" s="26"/>
    </row>
    <row r="4715" spans="29:36">
      <c r="AC4715" s="26"/>
      <c r="AE4715" s="26"/>
      <c r="AF4715" s="26"/>
      <c r="AJ4715" s="26"/>
    </row>
    <row r="4716" spans="29:36">
      <c r="AC4716" s="26"/>
      <c r="AE4716" s="26"/>
      <c r="AF4716" s="26"/>
      <c r="AJ4716" s="26"/>
    </row>
    <row r="4717" spans="29:36">
      <c r="AC4717" s="26"/>
      <c r="AE4717" s="26"/>
      <c r="AF4717" s="26"/>
      <c r="AJ4717" s="26"/>
    </row>
    <row r="4718" spans="29:36">
      <c r="AC4718" s="26"/>
      <c r="AE4718" s="26"/>
      <c r="AF4718" s="26"/>
      <c r="AJ4718" s="26"/>
    </row>
    <row r="4719" spans="29:36">
      <c r="AC4719" s="26"/>
      <c r="AE4719" s="26"/>
      <c r="AF4719" s="26"/>
      <c r="AJ4719" s="26"/>
    </row>
    <row r="4720" spans="29:36">
      <c r="AC4720" s="26"/>
      <c r="AE4720" s="26"/>
      <c r="AF4720" s="26"/>
      <c r="AJ4720" s="26"/>
    </row>
    <row r="4721" spans="29:36">
      <c r="AC4721" s="26"/>
      <c r="AE4721" s="26"/>
      <c r="AF4721" s="26"/>
      <c r="AJ4721" s="26"/>
    </row>
    <row r="4722" spans="29:36">
      <c r="AC4722" s="26"/>
      <c r="AE4722" s="26"/>
      <c r="AF4722" s="26"/>
      <c r="AJ4722" s="26"/>
    </row>
    <row r="4723" spans="29:36">
      <c r="AC4723" s="26"/>
      <c r="AE4723" s="26"/>
      <c r="AF4723" s="26"/>
      <c r="AJ4723" s="26"/>
    </row>
    <row r="4724" spans="29:36">
      <c r="AC4724" s="26"/>
      <c r="AE4724" s="26"/>
      <c r="AF4724" s="26"/>
      <c r="AJ4724" s="26"/>
    </row>
    <row r="4725" spans="29:36">
      <c r="AC4725" s="26"/>
      <c r="AE4725" s="26"/>
      <c r="AF4725" s="26"/>
      <c r="AJ4725" s="26"/>
    </row>
    <row r="4726" spans="29:36">
      <c r="AC4726" s="26"/>
      <c r="AE4726" s="26"/>
      <c r="AF4726" s="26"/>
      <c r="AJ4726" s="26"/>
    </row>
    <row r="4727" spans="29:36">
      <c r="AC4727" s="26"/>
      <c r="AE4727" s="26"/>
      <c r="AF4727" s="26"/>
      <c r="AJ4727" s="26"/>
    </row>
    <row r="4728" spans="29:36">
      <c r="AC4728" s="26"/>
      <c r="AE4728" s="26"/>
      <c r="AF4728" s="26"/>
      <c r="AJ4728" s="26"/>
    </row>
    <row r="4729" spans="29:36">
      <c r="AC4729" s="26"/>
      <c r="AE4729" s="26"/>
      <c r="AF4729" s="26"/>
      <c r="AJ4729" s="26"/>
    </row>
    <row r="4730" spans="29:36">
      <c r="AC4730" s="26"/>
      <c r="AE4730" s="26"/>
      <c r="AF4730" s="26"/>
      <c r="AJ4730" s="26"/>
    </row>
    <row r="4731" spans="29:36">
      <c r="AC4731" s="26"/>
      <c r="AE4731" s="26"/>
      <c r="AF4731" s="26"/>
      <c r="AJ4731" s="26"/>
    </row>
    <row r="4732" spans="29:36">
      <c r="AC4732" s="26"/>
      <c r="AE4732" s="26"/>
      <c r="AF4732" s="26"/>
      <c r="AJ4732" s="26"/>
    </row>
    <row r="4733" spans="29:36">
      <c r="AC4733" s="26"/>
      <c r="AE4733" s="26"/>
      <c r="AF4733" s="26"/>
      <c r="AJ4733" s="26"/>
    </row>
    <row r="4734" spans="29:36">
      <c r="AC4734" s="26"/>
      <c r="AE4734" s="26"/>
      <c r="AF4734" s="26"/>
      <c r="AJ4734" s="26"/>
    </row>
    <row r="4735" spans="29:36">
      <c r="AC4735" s="26"/>
      <c r="AE4735" s="26"/>
      <c r="AF4735" s="26"/>
      <c r="AJ4735" s="26"/>
    </row>
    <row r="4736" spans="29:36">
      <c r="AC4736" s="26"/>
      <c r="AE4736" s="26"/>
      <c r="AF4736" s="26"/>
      <c r="AJ4736" s="26"/>
    </row>
    <row r="4737" spans="29:36">
      <c r="AC4737" s="26"/>
      <c r="AE4737" s="26"/>
      <c r="AF4737" s="26"/>
      <c r="AJ4737" s="26"/>
    </row>
    <row r="4738" spans="29:36">
      <c r="AC4738" s="26"/>
      <c r="AE4738" s="26"/>
      <c r="AF4738" s="26"/>
      <c r="AJ4738" s="26"/>
    </row>
    <row r="4739" spans="29:36">
      <c r="AC4739" s="26"/>
      <c r="AE4739" s="26"/>
      <c r="AF4739" s="26"/>
      <c r="AJ4739" s="26"/>
    </row>
    <row r="4740" spans="29:36">
      <c r="AC4740" s="26"/>
      <c r="AE4740" s="26"/>
      <c r="AF4740" s="26"/>
      <c r="AJ4740" s="26"/>
    </row>
    <row r="4741" spans="29:36">
      <c r="AC4741" s="26"/>
      <c r="AE4741" s="26"/>
      <c r="AF4741" s="26"/>
      <c r="AJ4741" s="26"/>
    </row>
    <row r="4742" spans="29:36">
      <c r="AC4742" s="26"/>
      <c r="AE4742" s="26"/>
      <c r="AF4742" s="26"/>
      <c r="AJ4742" s="26"/>
    </row>
    <row r="4743" spans="29:36">
      <c r="AC4743" s="26"/>
      <c r="AE4743" s="26"/>
      <c r="AF4743" s="26"/>
      <c r="AJ4743" s="26"/>
    </row>
    <row r="4744" spans="29:36">
      <c r="AC4744" s="26"/>
      <c r="AE4744" s="26"/>
      <c r="AF4744" s="26"/>
      <c r="AJ4744" s="26"/>
    </row>
    <row r="4745" spans="29:36">
      <c r="AC4745" s="26"/>
      <c r="AE4745" s="26"/>
      <c r="AF4745" s="26"/>
      <c r="AJ4745" s="26"/>
    </row>
    <row r="4746" spans="29:36">
      <c r="AC4746" s="26"/>
      <c r="AE4746" s="26"/>
      <c r="AF4746" s="26"/>
      <c r="AJ4746" s="26"/>
    </row>
    <row r="4747" spans="29:36">
      <c r="AC4747" s="26"/>
      <c r="AE4747" s="26"/>
      <c r="AF4747" s="26"/>
      <c r="AJ4747" s="26"/>
    </row>
    <row r="4748" spans="29:36">
      <c r="AC4748" s="26"/>
      <c r="AE4748" s="26"/>
      <c r="AF4748" s="26"/>
      <c r="AJ4748" s="26"/>
    </row>
    <row r="4749" spans="29:36">
      <c r="AC4749" s="26"/>
      <c r="AE4749" s="26"/>
      <c r="AF4749" s="26"/>
      <c r="AJ4749" s="26"/>
    </row>
    <row r="4750" spans="29:36">
      <c r="AC4750" s="26"/>
      <c r="AE4750" s="26"/>
      <c r="AF4750" s="26"/>
      <c r="AJ4750" s="26"/>
    </row>
    <row r="4751" spans="29:36">
      <c r="AC4751" s="26"/>
      <c r="AE4751" s="26"/>
      <c r="AF4751" s="26"/>
      <c r="AJ4751" s="26"/>
    </row>
    <row r="4752" spans="29:36">
      <c r="AC4752" s="26"/>
      <c r="AE4752" s="26"/>
      <c r="AF4752" s="26"/>
      <c r="AJ4752" s="26"/>
    </row>
    <row r="4753" spans="29:36">
      <c r="AC4753" s="26"/>
      <c r="AE4753" s="26"/>
      <c r="AF4753" s="26"/>
      <c r="AJ4753" s="26"/>
    </row>
    <row r="4754" spans="29:36">
      <c r="AC4754" s="26"/>
      <c r="AE4754" s="26"/>
      <c r="AF4754" s="26"/>
      <c r="AJ4754" s="26"/>
    </row>
    <row r="4755" spans="29:36">
      <c r="AC4755" s="26"/>
      <c r="AE4755" s="26"/>
      <c r="AF4755" s="26"/>
      <c r="AJ4755" s="26"/>
    </row>
    <row r="4756" spans="29:36">
      <c r="AC4756" s="26"/>
      <c r="AE4756" s="26"/>
      <c r="AF4756" s="26"/>
      <c r="AJ4756" s="26"/>
    </row>
    <row r="4757" spans="29:36">
      <c r="AC4757" s="26"/>
      <c r="AE4757" s="26"/>
      <c r="AF4757" s="26"/>
      <c r="AJ4757" s="26"/>
    </row>
    <row r="4758" spans="29:36">
      <c r="AC4758" s="26"/>
      <c r="AE4758" s="26"/>
      <c r="AF4758" s="26"/>
      <c r="AJ4758" s="26"/>
    </row>
    <row r="4759" spans="29:36">
      <c r="AC4759" s="26"/>
      <c r="AE4759" s="26"/>
      <c r="AF4759" s="26"/>
      <c r="AJ4759" s="26"/>
    </row>
    <row r="4760" spans="29:36">
      <c r="AC4760" s="26"/>
      <c r="AE4760" s="26"/>
      <c r="AF4760" s="26"/>
      <c r="AJ4760" s="26"/>
    </row>
    <row r="4761" spans="29:36">
      <c r="AC4761" s="26"/>
      <c r="AE4761" s="26"/>
      <c r="AF4761" s="26"/>
      <c r="AJ4761" s="26"/>
    </row>
    <row r="4762" spans="29:36">
      <c r="AC4762" s="26"/>
      <c r="AE4762" s="26"/>
      <c r="AF4762" s="26"/>
      <c r="AJ4762" s="26"/>
    </row>
    <row r="4763" spans="29:36">
      <c r="AC4763" s="26"/>
      <c r="AE4763" s="26"/>
      <c r="AF4763" s="26"/>
      <c r="AJ4763" s="26"/>
    </row>
    <row r="4764" spans="29:36">
      <c r="AC4764" s="26"/>
      <c r="AE4764" s="26"/>
      <c r="AF4764" s="26"/>
      <c r="AJ4764" s="26"/>
    </row>
    <row r="4765" spans="29:36">
      <c r="AC4765" s="26"/>
      <c r="AE4765" s="26"/>
      <c r="AF4765" s="26"/>
      <c r="AJ4765" s="26"/>
    </row>
    <row r="4766" spans="29:36">
      <c r="AC4766" s="26"/>
      <c r="AE4766" s="26"/>
      <c r="AF4766" s="26"/>
      <c r="AJ4766" s="26"/>
    </row>
    <row r="4767" spans="29:36">
      <c r="AC4767" s="26"/>
      <c r="AE4767" s="26"/>
      <c r="AF4767" s="26"/>
      <c r="AJ4767" s="26"/>
    </row>
    <row r="4768" spans="29:36">
      <c r="AC4768" s="26"/>
      <c r="AE4768" s="26"/>
      <c r="AF4768" s="26"/>
      <c r="AJ4768" s="26"/>
    </row>
    <row r="4769" spans="29:36">
      <c r="AC4769" s="26"/>
      <c r="AE4769" s="26"/>
      <c r="AF4769" s="26"/>
      <c r="AJ4769" s="26"/>
    </row>
    <row r="4770" spans="29:36">
      <c r="AC4770" s="26"/>
      <c r="AE4770" s="26"/>
      <c r="AF4770" s="26"/>
      <c r="AJ4770" s="26"/>
    </row>
    <row r="4771" spans="29:36">
      <c r="AC4771" s="26"/>
      <c r="AE4771" s="26"/>
      <c r="AF4771" s="26"/>
      <c r="AJ4771" s="26"/>
    </row>
    <row r="4772" spans="29:36">
      <c r="AC4772" s="26"/>
      <c r="AE4772" s="26"/>
      <c r="AF4772" s="26"/>
      <c r="AJ4772" s="26"/>
    </row>
    <row r="4773" spans="29:36">
      <c r="AC4773" s="26"/>
      <c r="AE4773" s="26"/>
      <c r="AF4773" s="26"/>
      <c r="AJ4773" s="26"/>
    </row>
    <row r="4774" spans="29:36">
      <c r="AC4774" s="26"/>
      <c r="AE4774" s="26"/>
      <c r="AF4774" s="26"/>
      <c r="AJ4774" s="26"/>
    </row>
    <row r="4775" spans="29:36">
      <c r="AC4775" s="26"/>
      <c r="AE4775" s="26"/>
      <c r="AF4775" s="26"/>
      <c r="AJ4775" s="26"/>
    </row>
    <row r="4776" spans="29:36">
      <c r="AC4776" s="26"/>
      <c r="AE4776" s="26"/>
      <c r="AF4776" s="26"/>
      <c r="AJ4776" s="26"/>
    </row>
    <row r="4777" spans="29:36">
      <c r="AC4777" s="26"/>
      <c r="AE4777" s="26"/>
      <c r="AF4777" s="26"/>
      <c r="AJ4777" s="26"/>
    </row>
    <row r="4778" spans="29:36">
      <c r="AC4778" s="26"/>
      <c r="AE4778" s="26"/>
      <c r="AF4778" s="26"/>
      <c r="AJ4778" s="26"/>
    </row>
    <row r="4779" spans="29:36">
      <c r="AC4779" s="26"/>
      <c r="AE4779" s="26"/>
      <c r="AF4779" s="26"/>
      <c r="AJ4779" s="26"/>
    </row>
    <row r="4780" spans="29:36">
      <c r="AC4780" s="26"/>
      <c r="AE4780" s="26"/>
      <c r="AF4780" s="26"/>
      <c r="AJ4780" s="26"/>
    </row>
    <row r="4781" spans="29:36">
      <c r="AC4781" s="26"/>
      <c r="AE4781" s="26"/>
      <c r="AF4781" s="26"/>
      <c r="AJ4781" s="26"/>
    </row>
    <row r="4782" spans="29:36">
      <c r="AC4782" s="26"/>
      <c r="AE4782" s="26"/>
      <c r="AF4782" s="26"/>
      <c r="AJ4782" s="26"/>
    </row>
    <row r="4783" spans="29:36">
      <c r="AC4783" s="26"/>
      <c r="AE4783" s="26"/>
      <c r="AF4783" s="26"/>
      <c r="AJ4783" s="26"/>
    </row>
    <row r="4784" spans="29:36">
      <c r="AC4784" s="26"/>
      <c r="AE4784" s="26"/>
      <c r="AF4784" s="26"/>
      <c r="AJ4784" s="26"/>
    </row>
    <row r="4785" spans="29:36">
      <c r="AC4785" s="26"/>
      <c r="AE4785" s="26"/>
      <c r="AF4785" s="26"/>
      <c r="AJ4785" s="26"/>
    </row>
    <row r="4786" spans="29:36">
      <c r="AC4786" s="26"/>
      <c r="AE4786" s="26"/>
      <c r="AF4786" s="26"/>
      <c r="AJ4786" s="26"/>
    </row>
    <row r="4787" spans="29:36">
      <c r="AC4787" s="26"/>
      <c r="AE4787" s="26"/>
      <c r="AF4787" s="26"/>
      <c r="AJ4787" s="26"/>
    </row>
    <row r="4788" spans="29:36">
      <c r="AC4788" s="26"/>
      <c r="AE4788" s="26"/>
      <c r="AF4788" s="26"/>
      <c r="AJ4788" s="26"/>
    </row>
    <row r="4789" spans="29:36">
      <c r="AC4789" s="26"/>
      <c r="AE4789" s="26"/>
      <c r="AF4789" s="26"/>
      <c r="AJ4789" s="26"/>
    </row>
    <row r="4790" spans="29:36">
      <c r="AC4790" s="26"/>
      <c r="AE4790" s="26"/>
      <c r="AF4790" s="26"/>
      <c r="AJ4790" s="26"/>
    </row>
    <row r="4791" spans="29:36">
      <c r="AC4791" s="26"/>
      <c r="AE4791" s="26"/>
      <c r="AF4791" s="26"/>
      <c r="AJ4791" s="26"/>
    </row>
    <row r="4792" spans="29:36">
      <c r="AC4792" s="26"/>
      <c r="AE4792" s="26"/>
      <c r="AF4792" s="26"/>
      <c r="AJ4792" s="26"/>
    </row>
    <row r="4793" spans="29:36">
      <c r="AC4793" s="26"/>
      <c r="AE4793" s="26"/>
      <c r="AF4793" s="26"/>
      <c r="AJ4793" s="26"/>
    </row>
    <row r="4794" spans="29:36">
      <c r="AC4794" s="26"/>
      <c r="AE4794" s="26"/>
      <c r="AF4794" s="26"/>
      <c r="AJ4794" s="26"/>
    </row>
    <row r="4795" spans="29:36">
      <c r="AC4795" s="26"/>
      <c r="AE4795" s="26"/>
      <c r="AF4795" s="26"/>
      <c r="AJ4795" s="26"/>
    </row>
    <row r="4796" spans="29:36">
      <c r="AC4796" s="26"/>
      <c r="AE4796" s="26"/>
      <c r="AF4796" s="26"/>
      <c r="AJ4796" s="26"/>
    </row>
    <row r="4797" spans="29:36">
      <c r="AC4797" s="26"/>
      <c r="AE4797" s="26"/>
      <c r="AF4797" s="26"/>
      <c r="AJ4797" s="26"/>
    </row>
    <row r="4798" spans="29:36">
      <c r="AC4798" s="26"/>
      <c r="AE4798" s="26"/>
      <c r="AF4798" s="26"/>
      <c r="AJ4798" s="26"/>
    </row>
    <row r="4799" spans="29:36">
      <c r="AC4799" s="26"/>
      <c r="AE4799" s="26"/>
      <c r="AF4799" s="26"/>
      <c r="AJ4799" s="26"/>
    </row>
    <row r="4800" spans="29:36">
      <c r="AC4800" s="26"/>
      <c r="AE4800" s="26"/>
      <c r="AF4800" s="26"/>
      <c r="AJ4800" s="26"/>
    </row>
    <row r="4801" spans="29:36">
      <c r="AC4801" s="26"/>
      <c r="AE4801" s="26"/>
      <c r="AF4801" s="26"/>
      <c r="AJ4801" s="26"/>
    </row>
    <row r="4802" spans="29:36">
      <c r="AC4802" s="26"/>
      <c r="AE4802" s="26"/>
      <c r="AF4802" s="26"/>
      <c r="AJ4802" s="26"/>
    </row>
    <row r="4803" spans="29:36">
      <c r="AC4803" s="26"/>
      <c r="AE4803" s="26"/>
      <c r="AF4803" s="26"/>
      <c r="AJ4803" s="26"/>
    </row>
    <row r="4804" spans="29:36">
      <c r="AC4804" s="26"/>
      <c r="AE4804" s="26"/>
      <c r="AF4804" s="26"/>
      <c r="AJ4804" s="26"/>
    </row>
    <row r="4805" spans="29:36">
      <c r="AC4805" s="26"/>
      <c r="AE4805" s="26"/>
      <c r="AF4805" s="26"/>
      <c r="AJ4805" s="26"/>
    </row>
    <row r="4806" spans="29:36">
      <c r="AC4806" s="26"/>
      <c r="AE4806" s="26"/>
      <c r="AF4806" s="26"/>
      <c r="AJ4806" s="26"/>
    </row>
    <row r="4807" spans="29:36">
      <c r="AC4807" s="26"/>
      <c r="AE4807" s="26"/>
      <c r="AF4807" s="26"/>
      <c r="AJ4807" s="26"/>
    </row>
    <row r="4808" spans="29:36">
      <c r="AC4808" s="26"/>
      <c r="AE4808" s="26"/>
      <c r="AF4808" s="26"/>
      <c r="AJ4808" s="26"/>
    </row>
    <row r="4809" spans="29:36">
      <c r="AC4809" s="26"/>
      <c r="AE4809" s="26"/>
      <c r="AF4809" s="26"/>
      <c r="AJ4809" s="26"/>
    </row>
    <row r="4810" spans="29:36">
      <c r="AC4810" s="26"/>
      <c r="AE4810" s="26"/>
      <c r="AF4810" s="26"/>
      <c r="AJ4810" s="26"/>
    </row>
    <row r="4811" spans="29:36">
      <c r="AC4811" s="26"/>
      <c r="AE4811" s="26"/>
      <c r="AF4811" s="26"/>
      <c r="AJ4811" s="26"/>
    </row>
    <row r="4812" spans="29:36">
      <c r="AC4812" s="26"/>
      <c r="AE4812" s="26"/>
      <c r="AF4812" s="26"/>
      <c r="AJ4812" s="26"/>
    </row>
    <row r="4813" spans="29:36">
      <c r="AC4813" s="26"/>
      <c r="AE4813" s="26"/>
      <c r="AF4813" s="26"/>
      <c r="AJ4813" s="26"/>
    </row>
    <row r="4814" spans="29:36">
      <c r="AC4814" s="26"/>
      <c r="AE4814" s="26"/>
      <c r="AF4814" s="26"/>
      <c r="AJ4814" s="26"/>
    </row>
    <row r="4815" spans="29:36">
      <c r="AC4815" s="26"/>
      <c r="AE4815" s="26"/>
      <c r="AF4815" s="26"/>
      <c r="AJ4815" s="26"/>
    </row>
    <row r="4816" spans="29:36">
      <c r="AC4816" s="26"/>
      <c r="AE4816" s="26"/>
      <c r="AF4816" s="26"/>
      <c r="AJ4816" s="26"/>
    </row>
    <row r="4817" spans="29:36">
      <c r="AC4817" s="26"/>
      <c r="AE4817" s="26"/>
      <c r="AF4817" s="26"/>
      <c r="AJ4817" s="26"/>
    </row>
    <row r="4818" spans="29:36">
      <c r="AC4818" s="26"/>
      <c r="AE4818" s="26"/>
      <c r="AF4818" s="26"/>
      <c r="AJ4818" s="26"/>
    </row>
    <row r="4819" spans="29:36">
      <c r="AC4819" s="26"/>
      <c r="AE4819" s="26"/>
      <c r="AF4819" s="26"/>
      <c r="AJ4819" s="26"/>
    </row>
    <row r="4820" spans="29:36">
      <c r="AC4820" s="26"/>
      <c r="AE4820" s="26"/>
      <c r="AF4820" s="26"/>
      <c r="AJ4820" s="26"/>
    </row>
    <row r="4821" spans="29:36">
      <c r="AC4821" s="26"/>
      <c r="AE4821" s="26"/>
      <c r="AF4821" s="26"/>
      <c r="AJ4821" s="26"/>
    </row>
    <row r="4822" spans="29:36">
      <c r="AC4822" s="26"/>
      <c r="AE4822" s="26"/>
      <c r="AF4822" s="26"/>
      <c r="AJ4822" s="26"/>
    </row>
    <row r="4823" spans="29:36">
      <c r="AC4823" s="26"/>
      <c r="AE4823" s="26"/>
      <c r="AF4823" s="26"/>
      <c r="AJ4823" s="26"/>
    </row>
    <row r="4824" spans="29:36">
      <c r="AC4824" s="26"/>
      <c r="AE4824" s="26"/>
      <c r="AF4824" s="26"/>
      <c r="AJ4824" s="26"/>
    </row>
    <row r="4825" spans="29:36">
      <c r="AC4825" s="26"/>
      <c r="AE4825" s="26"/>
      <c r="AF4825" s="26"/>
      <c r="AJ4825" s="26"/>
    </row>
    <row r="4826" spans="29:36">
      <c r="AC4826" s="26"/>
      <c r="AE4826" s="26"/>
      <c r="AF4826" s="26"/>
      <c r="AJ4826" s="26"/>
    </row>
    <row r="4827" spans="29:36">
      <c r="AC4827" s="26"/>
      <c r="AE4827" s="26"/>
      <c r="AF4827" s="26"/>
      <c r="AJ4827" s="26"/>
    </row>
    <row r="4828" spans="29:36">
      <c r="AC4828" s="26"/>
      <c r="AE4828" s="26"/>
      <c r="AF4828" s="26"/>
      <c r="AJ4828" s="26"/>
    </row>
    <row r="4829" spans="29:36">
      <c r="AC4829" s="26"/>
      <c r="AE4829" s="26"/>
      <c r="AF4829" s="26"/>
      <c r="AJ4829" s="26"/>
    </row>
    <row r="4830" spans="29:36">
      <c r="AC4830" s="26"/>
      <c r="AE4830" s="26"/>
      <c r="AF4830" s="26"/>
      <c r="AJ4830" s="26"/>
    </row>
    <row r="4831" spans="29:36">
      <c r="AC4831" s="26"/>
      <c r="AE4831" s="26"/>
      <c r="AF4831" s="26"/>
      <c r="AJ4831" s="26"/>
    </row>
    <row r="4832" spans="29:36">
      <c r="AC4832" s="26"/>
      <c r="AE4832" s="26"/>
      <c r="AF4832" s="26"/>
      <c r="AJ4832" s="26"/>
    </row>
    <row r="4833" spans="29:36">
      <c r="AC4833" s="26"/>
      <c r="AE4833" s="26"/>
      <c r="AF4833" s="26"/>
      <c r="AJ4833" s="26"/>
    </row>
    <row r="4834" spans="29:36">
      <c r="AC4834" s="26"/>
      <c r="AE4834" s="26"/>
      <c r="AF4834" s="26"/>
      <c r="AJ4834" s="26"/>
    </row>
    <row r="4835" spans="29:36">
      <c r="AC4835" s="26"/>
      <c r="AE4835" s="26"/>
      <c r="AF4835" s="26"/>
      <c r="AJ4835" s="26"/>
    </row>
    <row r="4836" spans="29:36">
      <c r="AC4836" s="26"/>
      <c r="AE4836" s="26"/>
      <c r="AF4836" s="26"/>
      <c r="AJ4836" s="26"/>
    </row>
    <row r="4837" spans="29:36">
      <c r="AC4837" s="26"/>
      <c r="AE4837" s="26"/>
      <c r="AF4837" s="26"/>
      <c r="AJ4837" s="26"/>
    </row>
    <row r="4838" spans="29:36">
      <c r="AC4838" s="26"/>
      <c r="AE4838" s="26"/>
      <c r="AF4838" s="26"/>
      <c r="AJ4838" s="26"/>
    </row>
    <row r="4839" spans="29:36">
      <c r="AC4839" s="26"/>
      <c r="AE4839" s="26"/>
      <c r="AF4839" s="26"/>
      <c r="AJ4839" s="26"/>
    </row>
    <row r="4840" spans="29:36">
      <c r="AC4840" s="26"/>
      <c r="AE4840" s="26"/>
      <c r="AF4840" s="26"/>
      <c r="AJ4840" s="26"/>
    </row>
    <row r="4841" spans="29:36">
      <c r="AC4841" s="26"/>
      <c r="AE4841" s="26"/>
      <c r="AF4841" s="26"/>
      <c r="AJ4841" s="26"/>
    </row>
    <row r="4842" spans="29:36">
      <c r="AC4842" s="26"/>
      <c r="AE4842" s="26"/>
      <c r="AF4842" s="26"/>
      <c r="AJ4842" s="26"/>
    </row>
    <row r="4843" spans="29:36">
      <c r="AC4843" s="26"/>
      <c r="AE4843" s="26"/>
      <c r="AF4843" s="26"/>
      <c r="AJ4843" s="26"/>
    </row>
    <row r="4844" spans="29:36">
      <c r="AC4844" s="26"/>
      <c r="AE4844" s="26"/>
      <c r="AF4844" s="26"/>
      <c r="AJ4844" s="26"/>
    </row>
    <row r="4845" spans="29:36">
      <c r="AC4845" s="26"/>
      <c r="AE4845" s="26"/>
      <c r="AF4845" s="26"/>
      <c r="AJ4845" s="26"/>
    </row>
    <row r="4846" spans="29:36">
      <c r="AC4846" s="26"/>
      <c r="AE4846" s="26"/>
      <c r="AF4846" s="26"/>
      <c r="AJ4846" s="26"/>
    </row>
    <row r="4847" spans="29:36">
      <c r="AC4847" s="26"/>
      <c r="AE4847" s="26"/>
      <c r="AF4847" s="26"/>
      <c r="AJ4847" s="26"/>
    </row>
    <row r="4848" spans="29:36">
      <c r="AC4848" s="26"/>
      <c r="AE4848" s="26"/>
      <c r="AF4848" s="26"/>
      <c r="AJ4848" s="26"/>
    </row>
    <row r="4849" spans="29:36">
      <c r="AC4849" s="26"/>
      <c r="AE4849" s="26"/>
      <c r="AF4849" s="26"/>
      <c r="AJ4849" s="26"/>
    </row>
    <row r="4850" spans="29:36">
      <c r="AC4850" s="26"/>
      <c r="AE4850" s="26"/>
      <c r="AF4850" s="26"/>
      <c r="AJ4850" s="26"/>
    </row>
    <row r="4851" spans="29:36">
      <c r="AC4851" s="26"/>
      <c r="AE4851" s="26"/>
      <c r="AF4851" s="26"/>
      <c r="AJ4851" s="26"/>
    </row>
    <row r="4852" spans="29:36">
      <c r="AC4852" s="26"/>
      <c r="AE4852" s="26"/>
      <c r="AF4852" s="26"/>
      <c r="AJ4852" s="26"/>
    </row>
    <row r="4853" spans="29:36">
      <c r="AC4853" s="26"/>
      <c r="AE4853" s="26"/>
      <c r="AF4853" s="26"/>
      <c r="AJ4853" s="26"/>
    </row>
    <row r="4854" spans="29:36">
      <c r="AC4854" s="26"/>
      <c r="AE4854" s="26"/>
      <c r="AF4854" s="26"/>
      <c r="AJ4854" s="26"/>
    </row>
    <row r="4855" spans="29:36">
      <c r="AC4855" s="26"/>
      <c r="AE4855" s="26"/>
      <c r="AF4855" s="26"/>
      <c r="AJ4855" s="26"/>
    </row>
    <row r="4856" spans="29:36">
      <c r="AC4856" s="26"/>
      <c r="AE4856" s="26"/>
      <c r="AF4856" s="26"/>
      <c r="AJ4856" s="26"/>
    </row>
    <row r="4857" spans="29:36">
      <c r="AC4857" s="26"/>
      <c r="AE4857" s="26"/>
      <c r="AF4857" s="26"/>
      <c r="AJ4857" s="26"/>
    </row>
    <row r="4858" spans="29:36">
      <c r="AC4858" s="26"/>
      <c r="AE4858" s="26"/>
      <c r="AF4858" s="26"/>
      <c r="AJ4858" s="26"/>
    </row>
    <row r="4859" spans="29:36">
      <c r="AC4859" s="26"/>
      <c r="AE4859" s="26"/>
      <c r="AF4859" s="26"/>
      <c r="AJ4859" s="26"/>
    </row>
    <row r="4860" spans="29:36">
      <c r="AC4860" s="26"/>
      <c r="AE4860" s="26"/>
      <c r="AF4860" s="26"/>
      <c r="AJ4860" s="26"/>
    </row>
    <row r="4861" spans="29:36">
      <c r="AC4861" s="26"/>
      <c r="AE4861" s="26"/>
      <c r="AF4861" s="26"/>
      <c r="AJ4861" s="26"/>
    </row>
    <row r="4862" spans="29:36">
      <c r="AC4862" s="26"/>
      <c r="AE4862" s="26"/>
      <c r="AF4862" s="26"/>
      <c r="AJ4862" s="26"/>
    </row>
    <row r="4863" spans="29:36">
      <c r="AC4863" s="26"/>
      <c r="AE4863" s="26"/>
      <c r="AF4863" s="26"/>
      <c r="AJ4863" s="26"/>
    </row>
    <row r="4864" spans="29:36">
      <c r="AC4864" s="26"/>
      <c r="AE4864" s="26"/>
      <c r="AF4864" s="26"/>
      <c r="AJ4864" s="26"/>
    </row>
    <row r="4865" spans="29:36">
      <c r="AC4865" s="26"/>
      <c r="AE4865" s="26"/>
      <c r="AF4865" s="26"/>
      <c r="AJ4865" s="26"/>
    </row>
    <row r="4866" spans="29:36">
      <c r="AC4866" s="26"/>
      <c r="AE4866" s="26"/>
      <c r="AF4866" s="26"/>
      <c r="AJ4866" s="26"/>
    </row>
    <row r="4867" spans="29:36">
      <c r="AC4867" s="26"/>
      <c r="AE4867" s="26"/>
      <c r="AF4867" s="26"/>
      <c r="AJ4867" s="26"/>
    </row>
    <row r="4868" spans="29:36">
      <c r="AC4868" s="26"/>
      <c r="AE4868" s="26"/>
      <c r="AF4868" s="26"/>
      <c r="AJ4868" s="26"/>
    </row>
    <row r="4869" spans="29:36">
      <c r="AC4869" s="26"/>
      <c r="AE4869" s="26"/>
      <c r="AF4869" s="26"/>
      <c r="AJ4869" s="26"/>
    </row>
    <row r="4870" spans="29:36">
      <c r="AC4870" s="26"/>
      <c r="AE4870" s="26"/>
      <c r="AF4870" s="26"/>
      <c r="AJ4870" s="26"/>
    </row>
    <row r="4871" spans="29:36">
      <c r="AC4871" s="26"/>
      <c r="AE4871" s="26"/>
      <c r="AF4871" s="26"/>
      <c r="AJ4871" s="26"/>
    </row>
    <row r="4872" spans="29:36">
      <c r="AC4872" s="26"/>
      <c r="AE4872" s="26"/>
      <c r="AF4872" s="26"/>
      <c r="AJ4872" s="26"/>
    </row>
    <row r="4873" spans="29:36">
      <c r="AC4873" s="26"/>
      <c r="AE4873" s="26"/>
      <c r="AF4873" s="26"/>
      <c r="AJ4873" s="26"/>
    </row>
    <row r="4874" spans="29:36">
      <c r="AC4874" s="26"/>
      <c r="AE4874" s="26"/>
      <c r="AF4874" s="26"/>
      <c r="AJ4874" s="26"/>
    </row>
    <row r="4875" spans="29:36">
      <c r="AC4875" s="26"/>
      <c r="AE4875" s="26"/>
      <c r="AF4875" s="26"/>
      <c r="AJ4875" s="26"/>
    </row>
    <row r="4876" spans="29:36">
      <c r="AC4876" s="26"/>
      <c r="AE4876" s="26"/>
      <c r="AF4876" s="26"/>
      <c r="AJ4876" s="26"/>
    </row>
    <row r="4877" spans="29:36">
      <c r="AC4877" s="26"/>
      <c r="AE4877" s="26"/>
      <c r="AF4877" s="26"/>
      <c r="AJ4877" s="26"/>
    </row>
    <row r="4878" spans="29:36">
      <c r="AC4878" s="26"/>
      <c r="AE4878" s="26"/>
      <c r="AF4878" s="26"/>
      <c r="AJ4878" s="26"/>
    </row>
    <row r="4879" spans="29:36">
      <c r="AC4879" s="26"/>
      <c r="AE4879" s="26"/>
      <c r="AF4879" s="26"/>
      <c r="AJ4879" s="26"/>
    </row>
    <row r="4880" spans="29:36">
      <c r="AC4880" s="26"/>
      <c r="AE4880" s="26"/>
      <c r="AF4880" s="26"/>
      <c r="AJ4880" s="26"/>
    </row>
    <row r="4881" spans="29:36">
      <c r="AC4881" s="26"/>
      <c r="AE4881" s="26"/>
      <c r="AF4881" s="26"/>
      <c r="AJ4881" s="26"/>
    </row>
    <row r="4882" spans="29:36">
      <c r="AC4882" s="26"/>
      <c r="AE4882" s="26"/>
      <c r="AF4882" s="26"/>
      <c r="AJ4882" s="26"/>
    </row>
    <row r="4883" spans="29:36">
      <c r="AC4883" s="26"/>
      <c r="AE4883" s="26"/>
      <c r="AF4883" s="26"/>
      <c r="AJ4883" s="26"/>
    </row>
    <row r="4884" spans="29:36">
      <c r="AC4884" s="26"/>
      <c r="AE4884" s="26"/>
      <c r="AF4884" s="26"/>
      <c r="AJ4884" s="26"/>
    </row>
    <row r="4885" spans="29:36">
      <c r="AC4885" s="26"/>
      <c r="AE4885" s="26"/>
      <c r="AF4885" s="26"/>
      <c r="AJ4885" s="26"/>
    </row>
    <row r="4886" spans="29:36">
      <c r="AC4886" s="26"/>
      <c r="AE4886" s="26"/>
      <c r="AF4886" s="26"/>
      <c r="AJ4886" s="26"/>
    </row>
    <row r="4887" spans="29:36">
      <c r="AC4887" s="26"/>
      <c r="AE4887" s="26"/>
      <c r="AF4887" s="26"/>
      <c r="AJ4887" s="26"/>
    </row>
    <row r="4888" spans="29:36">
      <c r="AC4888" s="26"/>
      <c r="AE4888" s="26"/>
      <c r="AF4888" s="26"/>
      <c r="AJ4888" s="26"/>
    </row>
    <row r="4889" spans="29:36">
      <c r="AC4889" s="26"/>
      <c r="AE4889" s="26"/>
      <c r="AF4889" s="26"/>
      <c r="AJ4889" s="26"/>
    </row>
    <row r="4890" spans="29:36">
      <c r="AC4890" s="26"/>
      <c r="AE4890" s="26"/>
      <c r="AF4890" s="26"/>
      <c r="AJ4890" s="26"/>
    </row>
    <row r="4891" spans="29:36">
      <c r="AC4891" s="26"/>
      <c r="AE4891" s="26"/>
      <c r="AF4891" s="26"/>
      <c r="AJ4891" s="26"/>
    </row>
    <row r="4892" spans="29:36">
      <c r="AC4892" s="26"/>
      <c r="AE4892" s="26"/>
      <c r="AF4892" s="26"/>
      <c r="AJ4892" s="26"/>
    </row>
    <row r="4893" spans="29:36">
      <c r="AC4893" s="26"/>
      <c r="AE4893" s="26"/>
      <c r="AF4893" s="26"/>
      <c r="AJ4893" s="26"/>
    </row>
    <row r="4894" spans="29:36">
      <c r="AC4894" s="26"/>
      <c r="AE4894" s="26"/>
      <c r="AF4894" s="26"/>
      <c r="AJ4894" s="26"/>
    </row>
    <row r="4895" spans="29:36">
      <c r="AC4895" s="26"/>
      <c r="AE4895" s="26"/>
      <c r="AF4895" s="26"/>
      <c r="AJ4895" s="26"/>
    </row>
    <row r="4896" spans="29:36">
      <c r="AC4896" s="26"/>
      <c r="AE4896" s="26"/>
      <c r="AF4896" s="26"/>
      <c r="AJ4896" s="26"/>
    </row>
    <row r="4897" spans="29:36">
      <c r="AC4897" s="26"/>
      <c r="AE4897" s="26"/>
      <c r="AF4897" s="26"/>
      <c r="AJ4897" s="26"/>
    </row>
    <row r="4898" spans="29:36">
      <c r="AC4898" s="26"/>
      <c r="AE4898" s="26"/>
      <c r="AF4898" s="26"/>
      <c r="AJ4898" s="26"/>
    </row>
    <row r="4899" spans="29:36">
      <c r="AC4899" s="26"/>
      <c r="AE4899" s="26"/>
      <c r="AF4899" s="26"/>
      <c r="AJ4899" s="26"/>
    </row>
    <row r="4900" spans="29:36">
      <c r="AC4900" s="26"/>
      <c r="AE4900" s="26"/>
      <c r="AF4900" s="26"/>
      <c r="AJ4900" s="26"/>
    </row>
    <row r="4901" spans="29:36">
      <c r="AC4901" s="26"/>
      <c r="AE4901" s="26"/>
      <c r="AF4901" s="26"/>
      <c r="AJ4901" s="26"/>
    </row>
    <row r="4902" spans="29:36">
      <c r="AC4902" s="26"/>
      <c r="AE4902" s="26"/>
      <c r="AF4902" s="26"/>
      <c r="AJ4902" s="26"/>
    </row>
    <row r="4903" spans="29:36">
      <c r="AC4903" s="26"/>
      <c r="AE4903" s="26"/>
      <c r="AF4903" s="26"/>
      <c r="AJ4903" s="26"/>
    </row>
    <row r="4904" spans="29:36">
      <c r="AC4904" s="26"/>
      <c r="AE4904" s="26"/>
      <c r="AF4904" s="26"/>
      <c r="AJ4904" s="26"/>
    </row>
    <row r="4905" spans="29:36">
      <c r="AC4905" s="26"/>
      <c r="AE4905" s="26"/>
      <c r="AF4905" s="26"/>
      <c r="AJ4905" s="26"/>
    </row>
    <row r="4906" spans="29:36">
      <c r="AC4906" s="26"/>
      <c r="AE4906" s="26"/>
      <c r="AF4906" s="26"/>
      <c r="AJ4906" s="26"/>
    </row>
    <row r="4907" spans="29:36">
      <c r="AC4907" s="26"/>
      <c r="AE4907" s="26"/>
      <c r="AF4907" s="26"/>
      <c r="AJ4907" s="26"/>
    </row>
    <row r="4908" spans="29:36">
      <c r="AC4908" s="26"/>
      <c r="AE4908" s="26"/>
      <c r="AF4908" s="26"/>
      <c r="AJ4908" s="26"/>
    </row>
    <row r="4909" spans="29:36">
      <c r="AC4909" s="26"/>
      <c r="AE4909" s="26"/>
      <c r="AF4909" s="26"/>
      <c r="AJ4909" s="26"/>
    </row>
    <row r="4910" spans="29:36">
      <c r="AC4910" s="26"/>
      <c r="AE4910" s="26"/>
      <c r="AF4910" s="26"/>
      <c r="AJ4910" s="26"/>
    </row>
    <row r="4911" spans="29:36">
      <c r="AC4911" s="26"/>
      <c r="AE4911" s="26"/>
      <c r="AF4911" s="26"/>
      <c r="AJ4911" s="26"/>
    </row>
    <row r="4912" spans="29:36">
      <c r="AC4912" s="26"/>
      <c r="AE4912" s="26"/>
      <c r="AF4912" s="26"/>
      <c r="AJ4912" s="26"/>
    </row>
    <row r="4913" spans="29:36">
      <c r="AC4913" s="26"/>
      <c r="AE4913" s="26"/>
      <c r="AF4913" s="26"/>
      <c r="AJ4913" s="26"/>
    </row>
    <row r="4914" spans="29:36">
      <c r="AC4914" s="26"/>
      <c r="AE4914" s="26"/>
      <c r="AF4914" s="26"/>
      <c r="AJ4914" s="26"/>
    </row>
    <row r="4915" spans="29:36">
      <c r="AC4915" s="26"/>
      <c r="AE4915" s="26"/>
      <c r="AF4915" s="26"/>
      <c r="AJ4915" s="26"/>
    </row>
    <row r="4916" spans="29:36">
      <c r="AC4916" s="26"/>
      <c r="AE4916" s="26"/>
      <c r="AF4916" s="26"/>
      <c r="AJ4916" s="26"/>
    </row>
    <row r="4917" spans="29:36">
      <c r="AC4917" s="26"/>
      <c r="AE4917" s="26"/>
      <c r="AF4917" s="26"/>
      <c r="AJ4917" s="26"/>
    </row>
    <row r="4918" spans="29:36">
      <c r="AC4918" s="26"/>
      <c r="AE4918" s="26"/>
      <c r="AF4918" s="26"/>
      <c r="AJ4918" s="26"/>
    </row>
    <row r="4919" spans="29:36">
      <c r="AC4919" s="26"/>
      <c r="AE4919" s="26"/>
      <c r="AF4919" s="26"/>
      <c r="AJ4919" s="26"/>
    </row>
    <row r="4920" spans="29:36">
      <c r="AC4920" s="26"/>
      <c r="AE4920" s="26"/>
      <c r="AF4920" s="26"/>
      <c r="AJ4920" s="26"/>
    </row>
    <row r="4921" spans="29:36">
      <c r="AC4921" s="26"/>
      <c r="AE4921" s="26"/>
      <c r="AF4921" s="26"/>
      <c r="AJ4921" s="26"/>
    </row>
    <row r="4922" spans="29:36">
      <c r="AC4922" s="26"/>
      <c r="AE4922" s="26"/>
      <c r="AF4922" s="26"/>
      <c r="AJ4922" s="26"/>
    </row>
    <row r="4923" spans="29:36">
      <c r="AC4923" s="26"/>
      <c r="AE4923" s="26"/>
      <c r="AF4923" s="26"/>
      <c r="AJ4923" s="26"/>
    </row>
    <row r="4924" spans="29:36">
      <c r="AC4924" s="26"/>
      <c r="AE4924" s="26"/>
      <c r="AF4924" s="26"/>
      <c r="AJ4924" s="26"/>
    </row>
    <row r="4925" spans="29:36">
      <c r="AC4925" s="26"/>
      <c r="AE4925" s="26"/>
      <c r="AF4925" s="26"/>
      <c r="AJ4925" s="26"/>
    </row>
    <row r="4926" spans="29:36">
      <c r="AC4926" s="26"/>
      <c r="AE4926" s="26"/>
      <c r="AF4926" s="26"/>
      <c r="AJ4926" s="26"/>
    </row>
    <row r="4927" spans="29:36">
      <c r="AC4927" s="26"/>
      <c r="AE4927" s="26"/>
      <c r="AF4927" s="26"/>
      <c r="AJ4927" s="26"/>
    </row>
    <row r="4928" spans="29:36">
      <c r="AC4928" s="26"/>
      <c r="AE4928" s="26"/>
      <c r="AF4928" s="26"/>
      <c r="AJ4928" s="26"/>
    </row>
    <row r="4929" spans="29:36">
      <c r="AC4929" s="26"/>
      <c r="AE4929" s="26"/>
      <c r="AF4929" s="26"/>
      <c r="AJ4929" s="26"/>
    </row>
    <row r="4930" spans="29:36">
      <c r="AC4930" s="26"/>
      <c r="AE4930" s="26"/>
      <c r="AF4930" s="26"/>
      <c r="AJ4930" s="26"/>
    </row>
    <row r="4931" spans="29:36">
      <c r="AC4931" s="26"/>
      <c r="AE4931" s="26"/>
      <c r="AF4931" s="26"/>
      <c r="AJ4931" s="26"/>
    </row>
    <row r="4932" spans="29:36">
      <c r="AC4932" s="26"/>
      <c r="AE4932" s="26"/>
      <c r="AF4932" s="26"/>
      <c r="AJ4932" s="26"/>
    </row>
    <row r="4933" spans="29:36">
      <c r="AC4933" s="26"/>
      <c r="AE4933" s="26"/>
      <c r="AF4933" s="26"/>
      <c r="AJ4933" s="26"/>
    </row>
    <row r="4934" spans="29:36">
      <c r="AC4934" s="26"/>
      <c r="AE4934" s="26"/>
      <c r="AF4934" s="26"/>
      <c r="AJ4934" s="26"/>
    </row>
    <row r="4935" spans="29:36">
      <c r="AC4935" s="26"/>
      <c r="AE4935" s="26"/>
      <c r="AF4935" s="26"/>
      <c r="AJ4935" s="26"/>
    </row>
    <row r="4936" spans="29:36">
      <c r="AC4936" s="26"/>
      <c r="AE4936" s="26"/>
      <c r="AF4936" s="26"/>
      <c r="AJ4936" s="26"/>
    </row>
    <row r="4937" spans="29:36">
      <c r="AC4937" s="26"/>
      <c r="AE4937" s="26"/>
      <c r="AF4937" s="26"/>
      <c r="AJ4937" s="26"/>
    </row>
    <row r="4938" spans="29:36">
      <c r="AC4938" s="26"/>
      <c r="AE4938" s="26"/>
      <c r="AF4938" s="26"/>
      <c r="AJ4938" s="26"/>
    </row>
    <row r="4939" spans="29:36">
      <c r="AC4939" s="26"/>
      <c r="AE4939" s="26"/>
      <c r="AF4939" s="26"/>
      <c r="AJ4939" s="26"/>
    </row>
    <row r="4940" spans="29:36">
      <c r="AC4940" s="26"/>
      <c r="AE4940" s="26"/>
      <c r="AF4940" s="26"/>
      <c r="AJ4940" s="26"/>
    </row>
    <row r="4941" spans="29:36">
      <c r="AC4941" s="26"/>
      <c r="AE4941" s="26"/>
      <c r="AF4941" s="26"/>
      <c r="AJ4941" s="26"/>
    </row>
    <row r="4942" spans="29:36">
      <c r="AC4942" s="26"/>
      <c r="AE4942" s="26"/>
      <c r="AF4942" s="26"/>
      <c r="AJ4942" s="26"/>
    </row>
    <row r="4943" spans="29:36">
      <c r="AC4943" s="26"/>
      <c r="AE4943" s="26"/>
      <c r="AF4943" s="26"/>
      <c r="AJ4943" s="26"/>
    </row>
    <row r="4944" spans="29:36">
      <c r="AC4944" s="26"/>
      <c r="AE4944" s="26"/>
      <c r="AF4944" s="26"/>
      <c r="AJ4944" s="26"/>
    </row>
    <row r="4945" spans="29:36">
      <c r="AC4945" s="26"/>
      <c r="AE4945" s="26"/>
      <c r="AF4945" s="26"/>
      <c r="AJ4945" s="26"/>
    </row>
    <row r="4946" spans="29:36">
      <c r="AC4946" s="26"/>
      <c r="AE4946" s="26"/>
      <c r="AF4946" s="26"/>
      <c r="AJ4946" s="26"/>
    </row>
    <row r="4947" spans="29:36">
      <c r="AC4947" s="26"/>
      <c r="AE4947" s="26"/>
      <c r="AF4947" s="26"/>
      <c r="AJ4947" s="26"/>
    </row>
    <row r="4948" spans="29:36">
      <c r="AC4948" s="26"/>
      <c r="AE4948" s="26"/>
      <c r="AF4948" s="26"/>
      <c r="AJ4948" s="26"/>
    </row>
    <row r="4949" spans="29:36">
      <c r="AC4949" s="26"/>
      <c r="AE4949" s="26"/>
      <c r="AF4949" s="26"/>
      <c r="AJ4949" s="26"/>
    </row>
    <row r="4950" spans="29:36">
      <c r="AC4950" s="26"/>
      <c r="AE4950" s="26"/>
      <c r="AF4950" s="26"/>
      <c r="AJ4950" s="26"/>
    </row>
    <row r="4951" spans="29:36">
      <c r="AC4951" s="26"/>
      <c r="AE4951" s="26"/>
      <c r="AF4951" s="26"/>
      <c r="AJ4951" s="26"/>
    </row>
    <row r="4952" spans="29:36">
      <c r="AC4952" s="26"/>
      <c r="AE4952" s="26"/>
      <c r="AF4952" s="26"/>
      <c r="AJ4952" s="26"/>
    </row>
    <row r="4953" spans="29:36">
      <c r="AC4953" s="26"/>
      <c r="AE4953" s="26"/>
      <c r="AF4953" s="26"/>
      <c r="AJ4953" s="26"/>
    </row>
    <row r="4954" spans="29:36">
      <c r="AC4954" s="26"/>
      <c r="AE4954" s="26"/>
      <c r="AF4954" s="26"/>
      <c r="AJ4954" s="26"/>
    </row>
    <row r="4955" spans="29:36">
      <c r="AC4955" s="26"/>
      <c r="AE4955" s="26"/>
      <c r="AF4955" s="26"/>
      <c r="AJ4955" s="26"/>
    </row>
    <row r="4956" spans="29:36">
      <c r="AC4956" s="26"/>
      <c r="AE4956" s="26"/>
      <c r="AF4956" s="26"/>
      <c r="AJ4956" s="26"/>
    </row>
    <row r="4957" spans="29:36">
      <c r="AC4957" s="26"/>
      <c r="AE4957" s="26"/>
      <c r="AF4957" s="26"/>
      <c r="AJ4957" s="26"/>
    </row>
    <row r="4958" spans="29:36">
      <c r="AC4958" s="26"/>
      <c r="AE4958" s="26"/>
      <c r="AF4958" s="26"/>
      <c r="AJ4958" s="26"/>
    </row>
    <row r="4959" spans="29:36">
      <c r="AC4959" s="26"/>
      <c r="AE4959" s="26"/>
      <c r="AF4959" s="26"/>
      <c r="AJ4959" s="26"/>
    </row>
    <row r="4960" spans="29:36">
      <c r="AC4960" s="26"/>
      <c r="AE4960" s="26"/>
      <c r="AF4960" s="26"/>
      <c r="AJ4960" s="26"/>
    </row>
    <row r="4961" spans="29:36">
      <c r="AC4961" s="26"/>
      <c r="AE4961" s="26"/>
      <c r="AF4961" s="26"/>
      <c r="AJ4961" s="26"/>
    </row>
    <row r="4962" spans="29:36">
      <c r="AC4962" s="26"/>
      <c r="AE4962" s="26"/>
      <c r="AF4962" s="26"/>
      <c r="AJ4962" s="26"/>
    </row>
    <row r="4963" spans="29:36">
      <c r="AC4963" s="26"/>
      <c r="AE4963" s="26"/>
      <c r="AF4963" s="26"/>
      <c r="AJ4963" s="26"/>
    </row>
    <row r="4964" spans="29:36">
      <c r="AC4964" s="26"/>
      <c r="AE4964" s="26"/>
      <c r="AF4964" s="26"/>
      <c r="AJ4964" s="26"/>
    </row>
    <row r="4965" spans="29:36">
      <c r="AC4965" s="26"/>
      <c r="AE4965" s="26"/>
      <c r="AF4965" s="26"/>
      <c r="AJ4965" s="26"/>
    </row>
    <row r="4966" spans="29:36">
      <c r="AC4966" s="26"/>
      <c r="AE4966" s="26"/>
      <c r="AF4966" s="26"/>
      <c r="AJ4966" s="26"/>
    </row>
    <row r="4967" spans="29:36">
      <c r="AC4967" s="26"/>
      <c r="AE4967" s="26"/>
      <c r="AF4967" s="26"/>
      <c r="AJ4967" s="26"/>
    </row>
    <row r="4968" spans="29:36">
      <c r="AC4968" s="26"/>
      <c r="AE4968" s="26"/>
      <c r="AF4968" s="26"/>
      <c r="AJ4968" s="26"/>
    </row>
    <row r="4969" spans="29:36">
      <c r="AC4969" s="26"/>
      <c r="AE4969" s="26"/>
      <c r="AF4969" s="26"/>
      <c r="AJ4969" s="26"/>
    </row>
    <row r="4970" spans="29:36">
      <c r="AC4970" s="26"/>
      <c r="AE4970" s="26"/>
      <c r="AF4970" s="26"/>
      <c r="AJ4970" s="26"/>
    </row>
    <row r="4971" spans="29:36">
      <c r="AC4971" s="26"/>
      <c r="AE4971" s="26"/>
      <c r="AF4971" s="26"/>
      <c r="AJ4971" s="26"/>
    </row>
    <row r="4972" spans="29:36">
      <c r="AC4972" s="26"/>
      <c r="AE4972" s="26"/>
      <c r="AF4972" s="26"/>
      <c r="AJ4972" s="26"/>
    </row>
    <row r="4973" spans="29:36">
      <c r="AC4973" s="26"/>
      <c r="AE4973" s="26"/>
      <c r="AF4973" s="26"/>
      <c r="AJ4973" s="26"/>
    </row>
    <row r="4974" spans="29:36">
      <c r="AC4974" s="26"/>
      <c r="AE4974" s="26"/>
      <c r="AF4974" s="26"/>
      <c r="AJ4974" s="26"/>
    </row>
    <row r="4975" spans="29:36">
      <c r="AC4975" s="26"/>
      <c r="AE4975" s="26"/>
      <c r="AF4975" s="26"/>
      <c r="AJ4975" s="26"/>
    </row>
    <row r="4976" spans="29:36">
      <c r="AC4976" s="26"/>
      <c r="AE4976" s="26"/>
      <c r="AF4976" s="26"/>
      <c r="AJ4976" s="26"/>
    </row>
    <row r="4977" spans="29:36">
      <c r="AC4977" s="26"/>
      <c r="AE4977" s="26"/>
      <c r="AF4977" s="26"/>
      <c r="AJ4977" s="26"/>
    </row>
    <row r="4978" spans="29:36">
      <c r="AC4978" s="26"/>
      <c r="AE4978" s="26"/>
      <c r="AF4978" s="26"/>
      <c r="AJ4978" s="26"/>
    </row>
    <row r="4979" spans="29:36">
      <c r="AC4979" s="26"/>
      <c r="AE4979" s="26"/>
      <c r="AF4979" s="26"/>
      <c r="AJ4979" s="26"/>
    </row>
    <row r="4980" spans="29:36">
      <c r="AC4980" s="26"/>
      <c r="AE4980" s="26"/>
      <c r="AF4980" s="26"/>
      <c r="AJ4980" s="26"/>
    </row>
    <row r="4981" spans="29:36">
      <c r="AC4981" s="26"/>
      <c r="AE4981" s="26"/>
      <c r="AF4981" s="26"/>
      <c r="AJ4981" s="26"/>
    </row>
    <row r="4982" spans="29:36">
      <c r="AC4982" s="26"/>
      <c r="AE4982" s="26"/>
      <c r="AF4982" s="26"/>
      <c r="AJ4982" s="26"/>
    </row>
    <row r="4983" spans="29:36">
      <c r="AC4983" s="26"/>
      <c r="AE4983" s="26"/>
      <c r="AF4983" s="26"/>
      <c r="AJ4983" s="26"/>
    </row>
    <row r="4984" spans="29:36">
      <c r="AC4984" s="26"/>
      <c r="AE4984" s="26"/>
      <c r="AF4984" s="26"/>
      <c r="AJ4984" s="26"/>
    </row>
    <row r="4985" spans="29:36">
      <c r="AC4985" s="26"/>
      <c r="AE4985" s="26"/>
      <c r="AF4985" s="26"/>
      <c r="AJ4985" s="26"/>
    </row>
    <row r="4986" spans="29:36">
      <c r="AC4986" s="26"/>
      <c r="AE4986" s="26"/>
      <c r="AF4986" s="26"/>
      <c r="AJ4986" s="26"/>
    </row>
    <row r="4987" spans="29:36">
      <c r="AC4987" s="26"/>
      <c r="AE4987" s="26"/>
      <c r="AF4987" s="26"/>
      <c r="AJ4987" s="26"/>
    </row>
    <row r="4988" spans="29:36">
      <c r="AC4988" s="26"/>
      <c r="AE4988" s="26"/>
      <c r="AF4988" s="26"/>
      <c r="AJ4988" s="26"/>
    </row>
    <row r="4989" spans="29:36">
      <c r="AC4989" s="26"/>
      <c r="AE4989" s="26"/>
      <c r="AF4989" s="26"/>
      <c r="AJ4989" s="26"/>
    </row>
    <row r="4990" spans="29:36">
      <c r="AC4990" s="26"/>
      <c r="AE4990" s="26"/>
      <c r="AF4990" s="26"/>
      <c r="AJ4990" s="26"/>
    </row>
    <row r="4991" spans="29:36">
      <c r="AC4991" s="26"/>
      <c r="AE4991" s="26"/>
      <c r="AF4991" s="26"/>
      <c r="AJ4991" s="26"/>
    </row>
    <row r="4992" spans="29:36">
      <c r="AC4992" s="26"/>
      <c r="AE4992" s="26"/>
      <c r="AF4992" s="26"/>
      <c r="AJ4992" s="26"/>
    </row>
    <row r="4993" spans="29:36">
      <c r="AC4993" s="26"/>
      <c r="AE4993" s="26"/>
      <c r="AF4993" s="26"/>
      <c r="AJ4993" s="26"/>
    </row>
    <row r="4994" spans="29:36">
      <c r="AC4994" s="26"/>
      <c r="AE4994" s="26"/>
      <c r="AF4994" s="26"/>
      <c r="AJ4994" s="26"/>
    </row>
    <row r="4995" spans="29:36">
      <c r="AC4995" s="26"/>
      <c r="AE4995" s="26"/>
      <c r="AF4995" s="26"/>
      <c r="AJ4995" s="26"/>
    </row>
    <row r="4996" spans="29:36">
      <c r="AC4996" s="26"/>
      <c r="AE4996" s="26"/>
      <c r="AF4996" s="26"/>
      <c r="AJ4996" s="26"/>
    </row>
    <row r="4997" spans="29:36">
      <c r="AC4997" s="26"/>
      <c r="AE4997" s="26"/>
      <c r="AF4997" s="26"/>
      <c r="AJ4997" s="26"/>
    </row>
    <row r="4998" spans="29:36">
      <c r="AC4998" s="26"/>
      <c r="AE4998" s="26"/>
      <c r="AF4998" s="26"/>
      <c r="AJ4998" s="26"/>
    </row>
    <row r="4999" spans="29:36">
      <c r="AC4999" s="26"/>
      <c r="AE4999" s="26"/>
      <c r="AF4999" s="26"/>
      <c r="AJ4999" s="26"/>
    </row>
    <row r="5000" spans="29:36">
      <c r="AC5000" s="26"/>
      <c r="AE5000" s="26"/>
      <c r="AF5000" s="26"/>
      <c r="AJ5000" s="26"/>
    </row>
    <row r="5001" spans="29:36">
      <c r="AC5001" s="26"/>
      <c r="AE5001" s="26"/>
      <c r="AF5001" s="26"/>
      <c r="AJ5001" s="26"/>
    </row>
    <row r="5002" spans="29:36">
      <c r="AC5002" s="26"/>
      <c r="AE5002" s="26"/>
      <c r="AF5002" s="26"/>
      <c r="AJ5002" s="26"/>
    </row>
    <row r="5003" spans="29:36">
      <c r="AC5003" s="26"/>
      <c r="AE5003" s="26"/>
      <c r="AF5003" s="26"/>
      <c r="AJ5003" s="26"/>
    </row>
    <row r="5004" spans="29:36">
      <c r="AC5004" s="26"/>
      <c r="AE5004" s="26"/>
      <c r="AF5004" s="26"/>
      <c r="AJ5004" s="26"/>
    </row>
    <row r="5005" spans="29:36">
      <c r="AC5005" s="26"/>
      <c r="AE5005" s="26"/>
      <c r="AF5005" s="26"/>
      <c r="AJ5005" s="26"/>
    </row>
    <row r="5006" spans="29:36">
      <c r="AC5006" s="26"/>
      <c r="AE5006" s="26"/>
      <c r="AF5006" s="26"/>
      <c r="AJ5006" s="26"/>
    </row>
    <row r="5007" spans="29:36">
      <c r="AC5007" s="26"/>
      <c r="AE5007" s="26"/>
      <c r="AF5007" s="26"/>
      <c r="AJ5007" s="26"/>
    </row>
    <row r="5008" spans="29:36">
      <c r="AC5008" s="26"/>
      <c r="AE5008" s="26"/>
      <c r="AF5008" s="26"/>
      <c r="AJ5008" s="26"/>
    </row>
    <row r="5009" spans="29:36">
      <c r="AC5009" s="26"/>
      <c r="AE5009" s="26"/>
      <c r="AF5009" s="26"/>
      <c r="AJ5009" s="26"/>
    </row>
    <row r="5010" spans="29:36">
      <c r="AC5010" s="26"/>
      <c r="AE5010" s="26"/>
      <c r="AF5010" s="26"/>
      <c r="AJ5010" s="26"/>
    </row>
    <row r="5011" spans="29:36">
      <c r="AC5011" s="26"/>
      <c r="AE5011" s="26"/>
      <c r="AF5011" s="26"/>
      <c r="AJ5011" s="26"/>
    </row>
    <row r="5012" spans="29:36">
      <c r="AC5012" s="26"/>
      <c r="AE5012" s="26"/>
      <c r="AF5012" s="26"/>
      <c r="AJ5012" s="26"/>
    </row>
    <row r="5013" spans="29:36">
      <c r="AC5013" s="26"/>
      <c r="AE5013" s="26"/>
      <c r="AF5013" s="26"/>
      <c r="AJ5013" s="26"/>
    </row>
    <row r="5014" spans="29:36">
      <c r="AC5014" s="26"/>
      <c r="AE5014" s="26"/>
      <c r="AF5014" s="26"/>
      <c r="AJ5014" s="26"/>
    </row>
    <row r="5015" spans="29:36">
      <c r="AC5015" s="26"/>
      <c r="AE5015" s="26"/>
      <c r="AF5015" s="26"/>
      <c r="AJ5015" s="26"/>
    </row>
    <row r="5016" spans="29:36">
      <c r="AC5016" s="26"/>
      <c r="AE5016" s="26"/>
      <c r="AF5016" s="26"/>
      <c r="AJ5016" s="26"/>
    </row>
    <row r="5017" spans="29:36">
      <c r="AC5017" s="26"/>
      <c r="AE5017" s="26"/>
      <c r="AF5017" s="26"/>
      <c r="AJ5017" s="26"/>
    </row>
    <row r="5018" spans="29:36">
      <c r="AC5018" s="26"/>
      <c r="AE5018" s="26"/>
      <c r="AF5018" s="26"/>
      <c r="AJ5018" s="26"/>
    </row>
    <row r="5019" spans="29:36">
      <c r="AC5019" s="26"/>
      <c r="AE5019" s="26"/>
      <c r="AF5019" s="26"/>
      <c r="AJ5019" s="26"/>
    </row>
    <row r="5020" spans="29:36">
      <c r="AC5020" s="26"/>
      <c r="AE5020" s="26"/>
      <c r="AF5020" s="26"/>
      <c r="AJ5020" s="26"/>
    </row>
    <row r="5021" spans="29:36">
      <c r="AC5021" s="26"/>
      <c r="AE5021" s="26"/>
      <c r="AF5021" s="26"/>
      <c r="AJ5021" s="26"/>
    </row>
    <row r="5022" spans="29:36">
      <c r="AC5022" s="26"/>
      <c r="AE5022" s="26"/>
      <c r="AF5022" s="26"/>
      <c r="AJ5022" s="26"/>
    </row>
    <row r="5023" spans="29:36">
      <c r="AC5023" s="26"/>
      <c r="AE5023" s="26"/>
      <c r="AF5023" s="26"/>
      <c r="AJ5023" s="26"/>
    </row>
    <row r="5024" spans="29:36">
      <c r="AC5024" s="26"/>
      <c r="AE5024" s="26"/>
      <c r="AF5024" s="26"/>
      <c r="AJ5024" s="26"/>
    </row>
    <row r="5025" spans="29:36">
      <c r="AC5025" s="26"/>
      <c r="AE5025" s="26"/>
      <c r="AF5025" s="26"/>
      <c r="AJ5025" s="26"/>
    </row>
    <row r="5026" spans="29:36">
      <c r="AC5026" s="26"/>
      <c r="AE5026" s="26"/>
      <c r="AF5026" s="26"/>
      <c r="AJ5026" s="26"/>
    </row>
    <row r="5027" spans="29:36">
      <c r="AC5027" s="26"/>
      <c r="AE5027" s="26"/>
      <c r="AF5027" s="26"/>
      <c r="AJ5027" s="26"/>
    </row>
    <row r="5028" spans="29:36">
      <c r="AC5028" s="26"/>
      <c r="AE5028" s="26"/>
      <c r="AF5028" s="26"/>
      <c r="AJ5028" s="26"/>
    </row>
    <row r="5029" spans="29:36">
      <c r="AC5029" s="26"/>
      <c r="AE5029" s="26"/>
      <c r="AF5029" s="26"/>
      <c r="AJ5029" s="26"/>
    </row>
    <row r="5030" spans="29:36">
      <c r="AC5030" s="26"/>
      <c r="AE5030" s="26"/>
      <c r="AF5030" s="26"/>
      <c r="AJ5030" s="26"/>
    </row>
    <row r="5031" spans="29:36">
      <c r="AC5031" s="26"/>
      <c r="AE5031" s="26"/>
      <c r="AF5031" s="26"/>
      <c r="AJ5031" s="26"/>
    </row>
    <row r="5032" spans="29:36">
      <c r="AC5032" s="26"/>
      <c r="AE5032" s="26"/>
      <c r="AF5032" s="26"/>
      <c r="AJ5032" s="26"/>
    </row>
    <row r="5033" spans="29:36">
      <c r="AC5033" s="26"/>
      <c r="AE5033" s="26"/>
      <c r="AF5033" s="26"/>
      <c r="AJ5033" s="26"/>
    </row>
    <row r="5034" spans="29:36">
      <c r="AC5034" s="26"/>
      <c r="AE5034" s="26"/>
      <c r="AF5034" s="26"/>
      <c r="AJ5034" s="26"/>
    </row>
    <row r="5035" spans="29:36">
      <c r="AC5035" s="26"/>
      <c r="AE5035" s="26"/>
      <c r="AF5035" s="26"/>
      <c r="AJ5035" s="26"/>
    </row>
    <row r="5036" spans="29:36">
      <c r="AC5036" s="26"/>
      <c r="AE5036" s="26"/>
      <c r="AF5036" s="26"/>
      <c r="AJ5036" s="26"/>
    </row>
    <row r="5037" spans="29:36">
      <c r="AC5037" s="26"/>
      <c r="AE5037" s="26"/>
      <c r="AF5037" s="26"/>
      <c r="AJ5037" s="26"/>
    </row>
    <row r="5038" spans="29:36">
      <c r="AC5038" s="26"/>
      <c r="AE5038" s="26"/>
      <c r="AF5038" s="26"/>
      <c r="AJ5038" s="26"/>
    </row>
    <row r="5039" spans="29:36">
      <c r="AC5039" s="26"/>
      <c r="AE5039" s="26"/>
      <c r="AF5039" s="26"/>
      <c r="AJ5039" s="26"/>
    </row>
    <row r="5040" spans="29:36">
      <c r="AC5040" s="26"/>
      <c r="AE5040" s="26"/>
      <c r="AF5040" s="26"/>
      <c r="AJ5040" s="26"/>
    </row>
    <row r="5041" spans="29:36">
      <c r="AC5041" s="26"/>
      <c r="AE5041" s="26"/>
      <c r="AF5041" s="26"/>
      <c r="AJ5041" s="26"/>
    </row>
    <row r="5042" spans="29:36">
      <c r="AC5042" s="26"/>
      <c r="AE5042" s="26"/>
      <c r="AF5042" s="26"/>
      <c r="AJ5042" s="26"/>
    </row>
    <row r="5043" spans="29:36">
      <c r="AC5043" s="26"/>
      <c r="AE5043" s="26"/>
      <c r="AF5043" s="26"/>
      <c r="AJ5043" s="26"/>
    </row>
    <row r="5044" spans="29:36">
      <c r="AC5044" s="26"/>
      <c r="AE5044" s="26"/>
      <c r="AF5044" s="26"/>
      <c r="AJ5044" s="26"/>
    </row>
    <row r="5045" spans="29:36">
      <c r="AC5045" s="26"/>
      <c r="AE5045" s="26"/>
      <c r="AF5045" s="26"/>
      <c r="AJ5045" s="26"/>
    </row>
    <row r="5046" spans="29:36">
      <c r="AC5046" s="26"/>
      <c r="AE5046" s="26"/>
      <c r="AF5046" s="26"/>
      <c r="AJ5046" s="26"/>
    </row>
    <row r="5047" spans="29:36">
      <c r="AC5047" s="26"/>
      <c r="AE5047" s="26"/>
      <c r="AF5047" s="26"/>
      <c r="AJ5047" s="26"/>
    </row>
    <row r="5048" spans="29:36">
      <c r="AC5048" s="26"/>
      <c r="AE5048" s="26"/>
      <c r="AF5048" s="26"/>
      <c r="AJ5048" s="26"/>
    </row>
    <row r="5049" spans="29:36">
      <c r="AC5049" s="26"/>
      <c r="AE5049" s="26"/>
      <c r="AF5049" s="26"/>
      <c r="AJ5049" s="26"/>
    </row>
    <row r="5050" spans="29:36">
      <c r="AC5050" s="26"/>
      <c r="AE5050" s="26"/>
      <c r="AF5050" s="26"/>
      <c r="AJ5050" s="26"/>
    </row>
    <row r="5051" spans="29:36">
      <c r="AC5051" s="26"/>
      <c r="AE5051" s="26"/>
      <c r="AF5051" s="26"/>
      <c r="AJ5051" s="26"/>
    </row>
    <row r="5052" spans="29:36">
      <c r="AC5052" s="26"/>
      <c r="AE5052" s="26"/>
      <c r="AF5052" s="26"/>
      <c r="AJ5052" s="26"/>
    </row>
    <row r="5053" spans="29:36">
      <c r="AC5053" s="26"/>
      <c r="AE5053" s="26"/>
      <c r="AF5053" s="26"/>
      <c r="AJ5053" s="26"/>
    </row>
    <row r="5054" spans="29:36">
      <c r="AC5054" s="26"/>
      <c r="AE5054" s="26"/>
      <c r="AF5054" s="26"/>
      <c r="AJ5054" s="26"/>
    </row>
    <row r="5055" spans="29:36">
      <c r="AC5055" s="26"/>
      <c r="AE5055" s="26"/>
      <c r="AF5055" s="26"/>
      <c r="AJ5055" s="26"/>
    </row>
    <row r="5056" spans="29:36">
      <c r="AC5056" s="26"/>
      <c r="AE5056" s="26"/>
      <c r="AF5056" s="26"/>
      <c r="AJ5056" s="26"/>
    </row>
    <row r="5057" spans="29:36">
      <c r="AC5057" s="26"/>
      <c r="AE5057" s="26"/>
      <c r="AF5057" s="26"/>
      <c r="AJ5057" s="26"/>
    </row>
    <row r="5058" spans="29:36">
      <c r="AC5058" s="26"/>
      <c r="AE5058" s="26"/>
      <c r="AF5058" s="26"/>
      <c r="AJ5058" s="26"/>
    </row>
    <row r="5059" spans="29:36">
      <c r="AC5059" s="26"/>
      <c r="AE5059" s="26"/>
      <c r="AF5059" s="26"/>
      <c r="AJ5059" s="26"/>
    </row>
    <row r="5060" spans="29:36">
      <c r="AC5060" s="26"/>
      <c r="AE5060" s="26"/>
      <c r="AF5060" s="26"/>
      <c r="AJ5060" s="26"/>
    </row>
    <row r="5061" spans="29:36">
      <c r="AC5061" s="26"/>
      <c r="AE5061" s="26"/>
      <c r="AF5061" s="26"/>
      <c r="AJ5061" s="26"/>
    </row>
    <row r="5062" spans="29:36">
      <c r="AC5062" s="26"/>
      <c r="AE5062" s="26"/>
      <c r="AF5062" s="26"/>
      <c r="AJ5062" s="26"/>
    </row>
    <row r="5063" spans="29:36">
      <c r="AC5063" s="26"/>
      <c r="AE5063" s="26"/>
      <c r="AF5063" s="26"/>
      <c r="AJ5063" s="26"/>
    </row>
    <row r="5064" spans="29:36">
      <c r="AC5064" s="26"/>
      <c r="AE5064" s="26"/>
      <c r="AF5064" s="26"/>
      <c r="AJ5064" s="26"/>
    </row>
    <row r="5065" spans="29:36">
      <c r="AC5065" s="26"/>
      <c r="AE5065" s="26"/>
      <c r="AF5065" s="26"/>
      <c r="AJ5065" s="26"/>
    </row>
    <row r="5066" spans="29:36">
      <c r="AC5066" s="26"/>
      <c r="AE5066" s="26"/>
      <c r="AF5066" s="26"/>
      <c r="AJ5066" s="26"/>
    </row>
    <row r="5067" spans="29:36">
      <c r="AC5067" s="26"/>
      <c r="AE5067" s="26"/>
      <c r="AF5067" s="26"/>
      <c r="AJ5067" s="26"/>
    </row>
    <row r="5068" spans="29:36">
      <c r="AC5068" s="26"/>
      <c r="AE5068" s="26"/>
      <c r="AF5068" s="26"/>
      <c r="AJ5068" s="26"/>
    </row>
    <row r="5069" spans="29:36">
      <c r="AC5069" s="26"/>
      <c r="AE5069" s="26"/>
      <c r="AF5069" s="26"/>
      <c r="AJ5069" s="26"/>
    </row>
    <row r="5070" spans="29:36">
      <c r="AC5070" s="26"/>
      <c r="AE5070" s="26"/>
      <c r="AF5070" s="26"/>
      <c r="AJ5070" s="26"/>
    </row>
    <row r="5071" spans="29:36">
      <c r="AC5071" s="26"/>
      <c r="AE5071" s="26"/>
      <c r="AF5071" s="26"/>
      <c r="AJ5071" s="26"/>
    </row>
    <row r="5072" spans="29:36">
      <c r="AC5072" s="26"/>
      <c r="AE5072" s="26"/>
      <c r="AF5072" s="26"/>
      <c r="AJ5072" s="26"/>
    </row>
    <row r="5073" spans="29:36">
      <c r="AC5073" s="26"/>
      <c r="AE5073" s="26"/>
      <c r="AF5073" s="26"/>
      <c r="AJ5073" s="26"/>
    </row>
    <row r="5074" spans="29:36">
      <c r="AC5074" s="26"/>
      <c r="AE5074" s="26"/>
      <c r="AF5074" s="26"/>
      <c r="AJ5074" s="26"/>
    </row>
    <row r="5075" spans="29:36">
      <c r="AC5075" s="26"/>
      <c r="AE5075" s="26"/>
      <c r="AF5075" s="26"/>
      <c r="AJ5075" s="26"/>
    </row>
    <row r="5076" spans="29:36">
      <c r="AC5076" s="26"/>
      <c r="AE5076" s="26"/>
      <c r="AF5076" s="26"/>
      <c r="AJ5076" s="26"/>
    </row>
    <row r="5077" spans="29:36">
      <c r="AC5077" s="26"/>
      <c r="AE5077" s="26"/>
      <c r="AF5077" s="26"/>
      <c r="AJ5077" s="26"/>
    </row>
    <row r="5078" spans="29:36">
      <c r="AC5078" s="26"/>
      <c r="AE5078" s="26"/>
      <c r="AF5078" s="26"/>
      <c r="AJ5078" s="26"/>
    </row>
    <row r="5079" spans="29:36">
      <c r="AC5079" s="26"/>
      <c r="AE5079" s="26"/>
      <c r="AF5079" s="26"/>
      <c r="AJ5079" s="26"/>
    </row>
    <row r="5080" spans="29:36">
      <c r="AC5080" s="26"/>
      <c r="AE5080" s="26"/>
      <c r="AF5080" s="26"/>
      <c r="AJ5080" s="26"/>
    </row>
    <row r="5081" spans="29:36">
      <c r="AC5081" s="26"/>
      <c r="AE5081" s="26"/>
      <c r="AF5081" s="26"/>
      <c r="AJ5081" s="26"/>
    </row>
    <row r="5082" spans="29:36">
      <c r="AC5082" s="26"/>
      <c r="AE5082" s="26"/>
      <c r="AF5082" s="26"/>
      <c r="AJ5082" s="26"/>
    </row>
    <row r="5083" spans="29:36">
      <c r="AC5083" s="26"/>
      <c r="AE5083" s="26"/>
      <c r="AF5083" s="26"/>
      <c r="AJ5083" s="26"/>
    </row>
    <row r="5084" spans="29:36">
      <c r="AC5084" s="26"/>
      <c r="AE5084" s="26"/>
      <c r="AF5084" s="26"/>
      <c r="AJ5084" s="26"/>
    </row>
    <row r="5085" spans="29:36">
      <c r="AC5085" s="26"/>
      <c r="AE5085" s="26"/>
      <c r="AF5085" s="26"/>
      <c r="AJ5085" s="26"/>
    </row>
    <row r="5086" spans="29:36">
      <c r="AC5086" s="26"/>
      <c r="AE5086" s="26"/>
      <c r="AF5086" s="26"/>
      <c r="AJ5086" s="26"/>
    </row>
    <row r="5087" spans="29:36">
      <c r="AC5087" s="26"/>
      <c r="AE5087" s="26"/>
      <c r="AF5087" s="26"/>
      <c r="AJ5087" s="26"/>
    </row>
    <row r="5088" spans="29:36">
      <c r="AC5088" s="26"/>
      <c r="AE5088" s="26"/>
      <c r="AF5088" s="26"/>
      <c r="AJ5088" s="26"/>
    </row>
    <row r="5089" spans="29:36">
      <c r="AC5089" s="26"/>
      <c r="AE5089" s="26"/>
      <c r="AF5089" s="26"/>
      <c r="AJ5089" s="26"/>
    </row>
    <row r="5090" spans="29:36">
      <c r="AC5090" s="26"/>
      <c r="AE5090" s="26"/>
      <c r="AF5090" s="26"/>
      <c r="AJ5090" s="26"/>
    </row>
    <row r="5091" spans="29:36">
      <c r="AC5091" s="26"/>
      <c r="AE5091" s="26"/>
      <c r="AF5091" s="26"/>
      <c r="AJ5091" s="26"/>
    </row>
    <row r="5092" spans="29:36">
      <c r="AC5092" s="26"/>
      <c r="AE5092" s="26"/>
      <c r="AF5092" s="26"/>
      <c r="AJ5092" s="26"/>
    </row>
    <row r="5093" spans="29:36">
      <c r="AC5093" s="26"/>
      <c r="AE5093" s="26"/>
      <c r="AF5093" s="26"/>
      <c r="AJ5093" s="26"/>
    </row>
    <row r="5094" spans="29:36">
      <c r="AC5094" s="26"/>
      <c r="AE5094" s="26"/>
      <c r="AF5094" s="26"/>
      <c r="AJ5094" s="26"/>
    </row>
    <row r="5095" spans="29:36">
      <c r="AC5095" s="26"/>
      <c r="AE5095" s="26"/>
      <c r="AF5095" s="26"/>
      <c r="AJ5095" s="26"/>
    </row>
    <row r="5096" spans="29:36">
      <c r="AC5096" s="26"/>
      <c r="AE5096" s="26"/>
      <c r="AF5096" s="26"/>
      <c r="AJ5096" s="26"/>
    </row>
    <row r="5097" spans="29:36">
      <c r="AC5097" s="26"/>
      <c r="AE5097" s="26"/>
      <c r="AF5097" s="26"/>
      <c r="AJ5097" s="26"/>
    </row>
    <row r="5098" spans="29:36">
      <c r="AC5098" s="26"/>
      <c r="AE5098" s="26"/>
      <c r="AF5098" s="26"/>
      <c r="AJ5098" s="26"/>
    </row>
    <row r="5099" spans="29:36">
      <c r="AC5099" s="26"/>
      <c r="AE5099" s="26"/>
      <c r="AF5099" s="26"/>
      <c r="AJ5099" s="26"/>
    </row>
    <row r="5100" spans="29:36">
      <c r="AC5100" s="26"/>
      <c r="AE5100" s="26"/>
      <c r="AF5100" s="26"/>
      <c r="AJ5100" s="26"/>
    </row>
    <row r="5101" spans="29:36">
      <c r="AC5101" s="26"/>
      <c r="AE5101" s="26"/>
      <c r="AF5101" s="26"/>
      <c r="AJ5101" s="26"/>
    </row>
    <row r="5102" spans="29:36">
      <c r="AC5102" s="26"/>
      <c r="AE5102" s="26"/>
      <c r="AF5102" s="26"/>
      <c r="AJ5102" s="26"/>
    </row>
    <row r="5103" spans="29:36">
      <c r="AC5103" s="26"/>
      <c r="AE5103" s="26"/>
      <c r="AF5103" s="26"/>
      <c r="AJ5103" s="26"/>
    </row>
    <row r="5104" spans="29:36">
      <c r="AC5104" s="26"/>
      <c r="AE5104" s="26"/>
      <c r="AF5104" s="26"/>
      <c r="AJ5104" s="26"/>
    </row>
    <row r="5105" spans="29:36">
      <c r="AC5105" s="26"/>
      <c r="AE5105" s="26"/>
      <c r="AF5105" s="26"/>
      <c r="AJ5105" s="26"/>
    </row>
    <row r="5106" spans="29:36">
      <c r="AC5106" s="26"/>
      <c r="AE5106" s="26"/>
      <c r="AF5106" s="26"/>
      <c r="AJ5106" s="26"/>
    </row>
    <row r="5107" spans="29:36">
      <c r="AC5107" s="26"/>
      <c r="AE5107" s="26"/>
      <c r="AF5107" s="26"/>
      <c r="AJ5107" s="26"/>
    </row>
    <row r="5108" spans="29:36">
      <c r="AC5108" s="26"/>
      <c r="AE5108" s="26"/>
      <c r="AF5108" s="26"/>
      <c r="AJ5108" s="26"/>
    </row>
    <row r="5109" spans="29:36">
      <c r="AC5109" s="26"/>
      <c r="AE5109" s="26"/>
      <c r="AF5109" s="26"/>
      <c r="AJ5109" s="26"/>
    </row>
    <row r="5110" spans="29:36">
      <c r="AC5110" s="26"/>
      <c r="AE5110" s="26"/>
      <c r="AF5110" s="26"/>
      <c r="AJ5110" s="26"/>
    </row>
    <row r="5111" spans="29:36">
      <c r="AC5111" s="26"/>
      <c r="AE5111" s="26"/>
      <c r="AF5111" s="26"/>
      <c r="AJ5111" s="26"/>
    </row>
    <row r="5112" spans="29:36">
      <c r="AC5112" s="26"/>
      <c r="AE5112" s="26"/>
      <c r="AF5112" s="26"/>
      <c r="AJ5112" s="26"/>
    </row>
    <row r="5113" spans="29:36">
      <c r="AC5113" s="26"/>
      <c r="AE5113" s="26"/>
      <c r="AF5113" s="26"/>
      <c r="AJ5113" s="26"/>
    </row>
    <row r="5114" spans="29:36">
      <c r="AC5114" s="26"/>
      <c r="AE5114" s="26"/>
      <c r="AF5114" s="26"/>
      <c r="AJ5114" s="26"/>
    </row>
    <row r="5115" spans="29:36">
      <c r="AC5115" s="26"/>
      <c r="AE5115" s="26"/>
      <c r="AF5115" s="26"/>
      <c r="AJ5115" s="26"/>
    </row>
    <row r="5116" spans="29:36">
      <c r="AC5116" s="26"/>
      <c r="AE5116" s="26"/>
      <c r="AF5116" s="26"/>
      <c r="AJ5116" s="26"/>
    </row>
    <row r="5117" spans="29:36">
      <c r="AC5117" s="26"/>
      <c r="AE5117" s="26"/>
      <c r="AF5117" s="26"/>
      <c r="AJ5117" s="26"/>
    </row>
    <row r="5118" spans="29:36">
      <c r="AC5118" s="26"/>
      <c r="AE5118" s="26"/>
      <c r="AF5118" s="26"/>
      <c r="AJ5118" s="26"/>
    </row>
    <row r="5119" spans="29:36">
      <c r="AC5119" s="26"/>
      <c r="AE5119" s="26"/>
      <c r="AF5119" s="26"/>
      <c r="AJ5119" s="26"/>
    </row>
    <row r="5120" spans="29:36">
      <c r="AC5120" s="26"/>
      <c r="AE5120" s="26"/>
      <c r="AF5120" s="26"/>
      <c r="AJ5120" s="26"/>
    </row>
    <row r="5121" spans="29:36">
      <c r="AC5121" s="26"/>
      <c r="AE5121" s="26"/>
      <c r="AF5121" s="26"/>
      <c r="AJ5121" s="26"/>
    </row>
    <row r="5122" spans="29:36">
      <c r="AC5122" s="26"/>
      <c r="AE5122" s="26"/>
      <c r="AF5122" s="26"/>
      <c r="AJ5122" s="26"/>
    </row>
    <row r="5123" spans="29:36">
      <c r="AC5123" s="26"/>
      <c r="AE5123" s="26"/>
      <c r="AF5123" s="26"/>
      <c r="AJ5123" s="26"/>
    </row>
    <row r="5124" spans="29:36">
      <c r="AC5124" s="26"/>
      <c r="AE5124" s="26"/>
      <c r="AF5124" s="26"/>
      <c r="AJ5124" s="26"/>
    </row>
    <row r="5125" spans="29:36">
      <c r="AC5125" s="26"/>
      <c r="AE5125" s="26"/>
      <c r="AF5125" s="26"/>
      <c r="AJ5125" s="26"/>
    </row>
    <row r="5126" spans="29:36">
      <c r="AC5126" s="26"/>
      <c r="AE5126" s="26"/>
      <c r="AF5126" s="26"/>
      <c r="AJ5126" s="26"/>
    </row>
    <row r="5127" spans="29:36">
      <c r="AC5127" s="26"/>
      <c r="AE5127" s="26"/>
      <c r="AF5127" s="26"/>
      <c r="AJ5127" s="26"/>
    </row>
    <row r="5128" spans="29:36">
      <c r="AC5128" s="26"/>
      <c r="AE5128" s="26"/>
      <c r="AF5128" s="26"/>
      <c r="AJ5128" s="26"/>
    </row>
    <row r="5129" spans="29:36">
      <c r="AC5129" s="26"/>
      <c r="AE5129" s="26"/>
      <c r="AF5129" s="26"/>
      <c r="AJ5129" s="26"/>
    </row>
    <row r="5130" spans="29:36">
      <c r="AC5130" s="26"/>
      <c r="AE5130" s="26"/>
      <c r="AF5130" s="26"/>
      <c r="AJ5130" s="26"/>
    </row>
    <row r="5131" spans="29:36">
      <c r="AC5131" s="26"/>
      <c r="AE5131" s="26"/>
      <c r="AF5131" s="26"/>
      <c r="AJ5131" s="26"/>
    </row>
    <row r="5132" spans="29:36">
      <c r="AC5132" s="26"/>
      <c r="AE5132" s="26"/>
      <c r="AF5132" s="26"/>
      <c r="AJ5132" s="26"/>
    </row>
    <row r="5133" spans="29:36">
      <c r="AC5133" s="26"/>
      <c r="AE5133" s="26"/>
      <c r="AF5133" s="26"/>
      <c r="AJ5133" s="26"/>
    </row>
    <row r="5134" spans="29:36">
      <c r="AC5134" s="26"/>
      <c r="AE5134" s="26"/>
      <c r="AF5134" s="26"/>
      <c r="AJ5134" s="26"/>
    </row>
    <row r="5135" spans="29:36">
      <c r="AC5135" s="26"/>
      <c r="AE5135" s="26"/>
      <c r="AF5135" s="26"/>
      <c r="AJ5135" s="26"/>
    </row>
    <row r="5136" spans="29:36">
      <c r="AC5136" s="26"/>
      <c r="AE5136" s="26"/>
      <c r="AF5136" s="26"/>
      <c r="AJ5136" s="26"/>
    </row>
    <row r="5137" spans="29:36">
      <c r="AC5137" s="26"/>
      <c r="AE5137" s="26"/>
      <c r="AF5137" s="26"/>
      <c r="AJ5137" s="26"/>
    </row>
    <row r="5138" spans="29:36">
      <c r="AC5138" s="26"/>
      <c r="AE5138" s="26"/>
      <c r="AF5138" s="26"/>
      <c r="AJ5138" s="26"/>
    </row>
    <row r="5139" spans="29:36">
      <c r="AC5139" s="26"/>
      <c r="AE5139" s="26"/>
      <c r="AF5139" s="26"/>
      <c r="AJ5139" s="26"/>
    </row>
    <row r="5140" spans="29:36">
      <c r="AC5140" s="26"/>
      <c r="AE5140" s="26"/>
      <c r="AF5140" s="26"/>
      <c r="AJ5140" s="26"/>
    </row>
    <row r="5141" spans="29:36">
      <c r="AC5141" s="26"/>
      <c r="AE5141" s="26"/>
      <c r="AF5141" s="26"/>
      <c r="AJ5141" s="26"/>
    </row>
    <row r="5142" spans="29:36">
      <c r="AC5142" s="26"/>
      <c r="AE5142" s="26"/>
      <c r="AF5142" s="26"/>
      <c r="AJ5142" s="26"/>
    </row>
    <row r="5143" spans="29:36">
      <c r="AC5143" s="26"/>
      <c r="AE5143" s="26"/>
      <c r="AF5143" s="26"/>
      <c r="AJ5143" s="26"/>
    </row>
    <row r="5144" spans="29:36">
      <c r="AC5144" s="26"/>
      <c r="AE5144" s="26"/>
      <c r="AF5144" s="26"/>
      <c r="AJ5144" s="26"/>
    </row>
    <row r="5145" spans="29:36">
      <c r="AC5145" s="26"/>
      <c r="AE5145" s="26"/>
      <c r="AF5145" s="26"/>
      <c r="AJ5145" s="26"/>
    </row>
    <row r="5146" spans="29:36">
      <c r="AC5146" s="26"/>
      <c r="AE5146" s="26"/>
      <c r="AF5146" s="26"/>
      <c r="AJ5146" s="26"/>
    </row>
    <row r="5147" spans="29:36">
      <c r="AC5147" s="26"/>
      <c r="AE5147" s="26"/>
      <c r="AF5147" s="26"/>
      <c r="AJ5147" s="26"/>
    </row>
    <row r="5148" spans="29:36">
      <c r="AC5148" s="26"/>
      <c r="AE5148" s="26"/>
      <c r="AF5148" s="26"/>
      <c r="AJ5148" s="26"/>
    </row>
    <row r="5149" spans="29:36">
      <c r="AC5149" s="26"/>
      <c r="AE5149" s="26"/>
      <c r="AF5149" s="26"/>
      <c r="AJ5149" s="26"/>
    </row>
    <row r="5150" spans="29:36">
      <c r="AC5150" s="26"/>
      <c r="AE5150" s="26"/>
      <c r="AF5150" s="26"/>
      <c r="AJ5150" s="26"/>
    </row>
    <row r="5151" spans="29:36">
      <c r="AC5151" s="26"/>
      <c r="AE5151" s="26"/>
      <c r="AF5151" s="26"/>
      <c r="AJ5151" s="26"/>
    </row>
    <row r="5152" spans="29:36">
      <c r="AC5152" s="26"/>
      <c r="AE5152" s="26"/>
      <c r="AF5152" s="26"/>
      <c r="AJ5152" s="26"/>
    </row>
    <row r="5153" spans="29:36">
      <c r="AC5153" s="26"/>
      <c r="AE5153" s="26"/>
      <c r="AF5153" s="26"/>
      <c r="AJ5153" s="26"/>
    </row>
    <row r="5154" spans="29:36">
      <c r="AC5154" s="26"/>
      <c r="AE5154" s="26"/>
      <c r="AF5154" s="26"/>
      <c r="AJ5154" s="26"/>
    </row>
    <row r="5155" spans="29:36">
      <c r="AC5155" s="26"/>
      <c r="AE5155" s="26"/>
      <c r="AF5155" s="26"/>
      <c r="AJ5155" s="26"/>
    </row>
    <row r="5156" spans="29:36">
      <c r="AC5156" s="26"/>
      <c r="AE5156" s="26"/>
      <c r="AF5156" s="26"/>
      <c r="AJ5156" s="26"/>
    </row>
    <row r="5157" spans="29:36">
      <c r="AC5157" s="26"/>
      <c r="AE5157" s="26"/>
      <c r="AF5157" s="26"/>
      <c r="AJ5157" s="26"/>
    </row>
    <row r="5158" spans="29:36">
      <c r="AC5158" s="26"/>
      <c r="AE5158" s="26"/>
      <c r="AF5158" s="26"/>
      <c r="AJ5158" s="26"/>
    </row>
    <row r="5159" spans="29:36">
      <c r="AC5159" s="26"/>
      <c r="AE5159" s="26"/>
      <c r="AF5159" s="26"/>
      <c r="AJ5159" s="26"/>
    </row>
    <row r="5160" spans="29:36">
      <c r="AC5160" s="26"/>
      <c r="AE5160" s="26"/>
      <c r="AF5160" s="26"/>
      <c r="AJ5160" s="26"/>
    </row>
    <row r="5161" spans="29:36">
      <c r="AC5161" s="26"/>
      <c r="AE5161" s="26"/>
      <c r="AF5161" s="26"/>
      <c r="AJ5161" s="26"/>
    </row>
    <row r="5162" spans="29:36">
      <c r="AC5162" s="26"/>
      <c r="AE5162" s="26"/>
      <c r="AF5162" s="26"/>
      <c r="AJ5162" s="26"/>
    </row>
    <row r="5163" spans="29:36">
      <c r="AC5163" s="26"/>
      <c r="AE5163" s="26"/>
      <c r="AF5163" s="26"/>
      <c r="AJ5163" s="26"/>
    </row>
    <row r="5164" spans="29:36">
      <c r="AC5164" s="26"/>
      <c r="AE5164" s="26"/>
      <c r="AF5164" s="26"/>
      <c r="AJ5164" s="26"/>
    </row>
    <row r="5165" spans="29:36">
      <c r="AC5165" s="26"/>
      <c r="AE5165" s="26"/>
      <c r="AF5165" s="26"/>
      <c r="AJ5165" s="26"/>
    </row>
    <row r="5166" spans="29:36">
      <c r="AC5166" s="26"/>
      <c r="AE5166" s="26"/>
      <c r="AF5166" s="26"/>
      <c r="AJ5166" s="26"/>
    </row>
    <row r="5167" spans="29:36">
      <c r="AC5167" s="26"/>
      <c r="AE5167" s="26"/>
      <c r="AF5167" s="26"/>
      <c r="AJ5167" s="26"/>
    </row>
    <row r="5168" spans="29:36">
      <c r="AC5168" s="26"/>
      <c r="AE5168" s="26"/>
      <c r="AF5168" s="26"/>
      <c r="AJ5168" s="26"/>
    </row>
    <row r="5169" spans="29:36">
      <c r="AC5169" s="26"/>
      <c r="AE5169" s="26"/>
      <c r="AF5169" s="26"/>
      <c r="AJ5169" s="26"/>
    </row>
    <row r="5170" spans="29:36">
      <c r="AC5170" s="26"/>
      <c r="AE5170" s="26"/>
      <c r="AF5170" s="26"/>
      <c r="AJ5170" s="26"/>
    </row>
    <row r="5171" spans="29:36">
      <c r="AC5171" s="26"/>
      <c r="AE5171" s="26"/>
      <c r="AF5171" s="26"/>
      <c r="AJ5171" s="26"/>
    </row>
    <row r="5172" spans="29:36">
      <c r="AC5172" s="26"/>
      <c r="AE5172" s="26"/>
      <c r="AF5172" s="26"/>
      <c r="AJ5172" s="26"/>
    </row>
    <row r="5173" spans="29:36">
      <c r="AC5173" s="26"/>
      <c r="AE5173" s="26"/>
      <c r="AF5173" s="26"/>
      <c r="AJ5173" s="26"/>
    </row>
    <row r="5174" spans="29:36">
      <c r="AC5174" s="26"/>
      <c r="AE5174" s="26"/>
      <c r="AF5174" s="26"/>
      <c r="AJ5174" s="26"/>
    </row>
    <row r="5175" spans="29:36">
      <c r="AC5175" s="26"/>
      <c r="AE5175" s="26"/>
      <c r="AF5175" s="26"/>
      <c r="AJ5175" s="26"/>
    </row>
    <row r="5176" spans="29:36">
      <c r="AC5176" s="26"/>
      <c r="AE5176" s="26"/>
      <c r="AF5176" s="26"/>
      <c r="AJ5176" s="26"/>
    </row>
    <row r="5177" spans="29:36">
      <c r="AC5177" s="26"/>
      <c r="AE5177" s="26"/>
      <c r="AF5177" s="26"/>
      <c r="AJ5177" s="26"/>
    </row>
    <row r="5178" spans="29:36">
      <c r="AC5178" s="26"/>
      <c r="AE5178" s="26"/>
      <c r="AF5178" s="26"/>
      <c r="AJ5178" s="26"/>
    </row>
    <row r="5179" spans="29:36">
      <c r="AC5179" s="26"/>
      <c r="AE5179" s="26"/>
      <c r="AF5179" s="26"/>
      <c r="AJ5179" s="26"/>
    </row>
    <row r="5180" spans="29:36">
      <c r="AC5180" s="26"/>
      <c r="AE5180" s="26"/>
      <c r="AF5180" s="26"/>
      <c r="AJ5180" s="26"/>
    </row>
    <row r="5181" spans="29:36">
      <c r="AC5181" s="26"/>
      <c r="AE5181" s="26"/>
      <c r="AF5181" s="26"/>
      <c r="AJ5181" s="26"/>
    </row>
    <row r="5182" spans="29:36">
      <c r="AC5182" s="26"/>
      <c r="AE5182" s="26"/>
      <c r="AF5182" s="26"/>
      <c r="AJ5182" s="26"/>
    </row>
    <row r="5183" spans="29:36">
      <c r="AC5183" s="26"/>
      <c r="AE5183" s="26"/>
      <c r="AF5183" s="26"/>
      <c r="AJ5183" s="26"/>
    </row>
    <row r="5184" spans="29:36">
      <c r="AC5184" s="26"/>
      <c r="AE5184" s="26"/>
      <c r="AF5184" s="26"/>
      <c r="AJ5184" s="26"/>
    </row>
    <row r="5185" spans="29:36">
      <c r="AC5185" s="26"/>
      <c r="AE5185" s="26"/>
      <c r="AF5185" s="26"/>
      <c r="AJ5185" s="26"/>
    </row>
    <row r="5186" spans="29:36">
      <c r="AC5186" s="26"/>
      <c r="AE5186" s="26"/>
      <c r="AF5186" s="26"/>
      <c r="AJ5186" s="26"/>
    </row>
    <row r="5187" spans="29:36">
      <c r="AC5187" s="26"/>
      <c r="AE5187" s="26"/>
      <c r="AF5187" s="26"/>
      <c r="AJ5187" s="26"/>
    </row>
    <row r="5188" spans="29:36">
      <c r="AC5188" s="26"/>
      <c r="AE5188" s="26"/>
      <c r="AF5188" s="26"/>
      <c r="AJ5188" s="26"/>
    </row>
    <row r="5189" spans="29:36">
      <c r="AC5189" s="26"/>
      <c r="AE5189" s="26"/>
      <c r="AF5189" s="26"/>
      <c r="AJ5189" s="26"/>
    </row>
    <row r="5190" spans="29:36">
      <c r="AC5190" s="26"/>
      <c r="AE5190" s="26"/>
      <c r="AF5190" s="26"/>
      <c r="AJ5190" s="26"/>
    </row>
    <row r="5191" spans="29:36">
      <c r="AC5191" s="26"/>
      <c r="AE5191" s="26"/>
      <c r="AF5191" s="26"/>
      <c r="AJ5191" s="26"/>
    </row>
    <row r="5192" spans="29:36">
      <c r="AC5192" s="26"/>
      <c r="AE5192" s="26"/>
      <c r="AF5192" s="26"/>
      <c r="AJ5192" s="26"/>
    </row>
    <row r="5193" spans="29:36">
      <c r="AC5193" s="26"/>
      <c r="AE5193" s="26"/>
      <c r="AF5193" s="26"/>
      <c r="AJ5193" s="26"/>
    </row>
    <row r="5194" spans="29:36">
      <c r="AC5194" s="26"/>
      <c r="AE5194" s="26"/>
      <c r="AF5194" s="26"/>
      <c r="AJ5194" s="26"/>
    </row>
    <row r="5195" spans="29:36">
      <c r="AC5195" s="26"/>
      <c r="AE5195" s="26"/>
      <c r="AF5195" s="26"/>
      <c r="AJ5195" s="26"/>
    </row>
    <row r="5196" spans="29:36">
      <c r="AC5196" s="26"/>
      <c r="AE5196" s="26"/>
      <c r="AF5196" s="26"/>
      <c r="AJ5196" s="26"/>
    </row>
    <row r="5197" spans="29:36">
      <c r="AC5197" s="26"/>
      <c r="AE5197" s="26"/>
      <c r="AF5197" s="26"/>
      <c r="AJ5197" s="26"/>
    </row>
    <row r="5198" spans="29:36">
      <c r="AC5198" s="26"/>
      <c r="AE5198" s="26"/>
      <c r="AF5198" s="26"/>
      <c r="AJ5198" s="26"/>
    </row>
    <row r="5199" spans="29:36">
      <c r="AC5199" s="26"/>
      <c r="AE5199" s="26"/>
      <c r="AF5199" s="26"/>
      <c r="AJ5199" s="26"/>
    </row>
    <row r="5200" spans="29:36">
      <c r="AC5200" s="26"/>
      <c r="AE5200" s="26"/>
      <c r="AF5200" s="26"/>
      <c r="AJ5200" s="26"/>
    </row>
    <row r="5201" spans="29:36">
      <c r="AC5201" s="26"/>
      <c r="AE5201" s="26"/>
      <c r="AF5201" s="26"/>
      <c r="AJ5201" s="26"/>
    </row>
    <row r="5202" spans="29:36">
      <c r="AC5202" s="26"/>
      <c r="AE5202" s="26"/>
      <c r="AF5202" s="26"/>
      <c r="AJ5202" s="26"/>
    </row>
    <row r="5203" spans="29:36">
      <c r="AC5203" s="26"/>
      <c r="AE5203" s="26"/>
      <c r="AF5203" s="26"/>
      <c r="AJ5203" s="26"/>
    </row>
    <row r="5204" spans="29:36">
      <c r="AC5204" s="26"/>
      <c r="AE5204" s="26"/>
      <c r="AF5204" s="26"/>
      <c r="AJ5204" s="26"/>
    </row>
    <row r="5205" spans="29:36">
      <c r="AC5205" s="26"/>
      <c r="AE5205" s="26"/>
      <c r="AF5205" s="26"/>
      <c r="AJ5205" s="26"/>
    </row>
    <row r="5206" spans="29:36">
      <c r="AC5206" s="26"/>
      <c r="AE5206" s="26"/>
      <c r="AF5206" s="26"/>
      <c r="AJ5206" s="26"/>
    </row>
    <row r="5207" spans="29:36">
      <c r="AC5207" s="26"/>
      <c r="AE5207" s="26"/>
      <c r="AF5207" s="26"/>
      <c r="AJ5207" s="26"/>
    </row>
    <row r="5208" spans="29:36">
      <c r="AC5208" s="26"/>
      <c r="AE5208" s="26"/>
      <c r="AF5208" s="26"/>
      <c r="AJ5208" s="26"/>
    </row>
    <row r="5209" spans="29:36">
      <c r="AC5209" s="26"/>
      <c r="AE5209" s="26"/>
      <c r="AF5209" s="26"/>
      <c r="AJ5209" s="26"/>
    </row>
    <row r="5210" spans="29:36">
      <c r="AC5210" s="26"/>
      <c r="AE5210" s="26"/>
      <c r="AF5210" s="26"/>
      <c r="AJ5210" s="26"/>
    </row>
    <row r="5211" spans="29:36">
      <c r="AC5211" s="26"/>
      <c r="AE5211" s="26"/>
      <c r="AF5211" s="26"/>
      <c r="AJ5211" s="26"/>
    </row>
    <row r="5212" spans="29:36">
      <c r="AC5212" s="26"/>
      <c r="AE5212" s="26"/>
      <c r="AF5212" s="26"/>
      <c r="AJ5212" s="26"/>
    </row>
    <row r="5213" spans="29:36">
      <c r="AC5213" s="26"/>
      <c r="AE5213" s="26"/>
      <c r="AF5213" s="26"/>
      <c r="AJ5213" s="26"/>
    </row>
    <row r="5214" spans="29:36">
      <c r="AC5214" s="26"/>
      <c r="AE5214" s="26"/>
      <c r="AF5214" s="26"/>
      <c r="AJ5214" s="26"/>
    </row>
    <row r="5215" spans="29:36">
      <c r="AC5215" s="26"/>
      <c r="AE5215" s="26"/>
      <c r="AF5215" s="26"/>
      <c r="AJ5215" s="26"/>
    </row>
    <row r="5216" spans="29:36">
      <c r="AC5216" s="26"/>
      <c r="AE5216" s="26"/>
      <c r="AF5216" s="26"/>
      <c r="AJ5216" s="26"/>
    </row>
    <row r="5217" spans="29:36">
      <c r="AC5217" s="26"/>
      <c r="AE5217" s="26"/>
      <c r="AF5217" s="26"/>
      <c r="AJ5217" s="26"/>
    </row>
    <row r="5218" spans="29:36">
      <c r="AC5218" s="26"/>
      <c r="AE5218" s="26"/>
      <c r="AF5218" s="26"/>
      <c r="AJ5218" s="26"/>
    </row>
    <row r="5219" spans="29:36">
      <c r="AC5219" s="26"/>
      <c r="AE5219" s="26"/>
      <c r="AF5219" s="26"/>
      <c r="AJ5219" s="26"/>
    </row>
    <row r="5220" spans="29:36">
      <c r="AC5220" s="26"/>
      <c r="AE5220" s="26"/>
      <c r="AF5220" s="26"/>
      <c r="AJ5220" s="26"/>
    </row>
    <row r="5221" spans="29:36">
      <c r="AC5221" s="26"/>
      <c r="AE5221" s="26"/>
      <c r="AF5221" s="26"/>
      <c r="AJ5221" s="26"/>
    </row>
    <row r="5222" spans="29:36">
      <c r="AC5222" s="26"/>
      <c r="AE5222" s="26"/>
      <c r="AF5222" s="26"/>
      <c r="AJ5222" s="26"/>
    </row>
    <row r="5223" spans="29:36">
      <c r="AC5223" s="26"/>
      <c r="AE5223" s="26"/>
      <c r="AF5223" s="26"/>
      <c r="AJ5223" s="26"/>
    </row>
    <row r="5224" spans="29:36">
      <c r="AC5224" s="26"/>
      <c r="AE5224" s="26"/>
      <c r="AF5224" s="26"/>
      <c r="AJ5224" s="26"/>
    </row>
    <row r="5225" spans="29:36">
      <c r="AC5225" s="26"/>
      <c r="AE5225" s="26"/>
      <c r="AF5225" s="26"/>
      <c r="AJ5225" s="26"/>
    </row>
    <row r="5226" spans="29:36">
      <c r="AC5226" s="26"/>
      <c r="AE5226" s="26"/>
      <c r="AF5226" s="26"/>
      <c r="AJ5226" s="26"/>
    </row>
    <row r="5227" spans="29:36">
      <c r="AC5227" s="26"/>
      <c r="AE5227" s="26"/>
      <c r="AF5227" s="26"/>
      <c r="AJ5227" s="26"/>
    </row>
    <row r="5228" spans="29:36">
      <c r="AC5228" s="26"/>
      <c r="AE5228" s="26"/>
      <c r="AF5228" s="26"/>
      <c r="AJ5228" s="26"/>
    </row>
    <row r="5229" spans="29:36">
      <c r="AC5229" s="26"/>
      <c r="AE5229" s="26"/>
      <c r="AF5229" s="26"/>
      <c r="AJ5229" s="26"/>
    </row>
    <row r="5230" spans="29:36">
      <c r="AC5230" s="26"/>
      <c r="AE5230" s="26"/>
      <c r="AF5230" s="26"/>
      <c r="AJ5230" s="26"/>
    </row>
    <row r="5231" spans="29:36">
      <c r="AC5231" s="26"/>
      <c r="AE5231" s="26"/>
      <c r="AF5231" s="26"/>
      <c r="AJ5231" s="26"/>
    </row>
    <row r="5232" spans="29:36">
      <c r="AC5232" s="26"/>
      <c r="AE5232" s="26"/>
      <c r="AF5232" s="26"/>
      <c r="AJ5232" s="26"/>
    </row>
    <row r="5233" spans="29:36">
      <c r="AC5233" s="26"/>
      <c r="AE5233" s="26"/>
      <c r="AF5233" s="26"/>
      <c r="AJ5233" s="26"/>
    </row>
    <row r="5234" spans="29:36">
      <c r="AC5234" s="26"/>
      <c r="AE5234" s="26"/>
      <c r="AF5234" s="26"/>
      <c r="AJ5234" s="26"/>
    </row>
    <row r="5235" spans="29:36">
      <c r="AC5235" s="26"/>
      <c r="AE5235" s="26"/>
      <c r="AF5235" s="26"/>
      <c r="AJ5235" s="26"/>
    </row>
    <row r="5236" spans="29:36">
      <c r="AC5236" s="26"/>
      <c r="AE5236" s="26"/>
      <c r="AF5236" s="26"/>
      <c r="AJ5236" s="26"/>
    </row>
    <row r="5237" spans="29:36">
      <c r="AC5237" s="26"/>
      <c r="AE5237" s="26"/>
      <c r="AF5237" s="26"/>
      <c r="AJ5237" s="26"/>
    </row>
    <row r="5238" spans="29:36">
      <c r="AC5238" s="26"/>
      <c r="AE5238" s="26"/>
      <c r="AF5238" s="26"/>
      <c r="AJ5238" s="26"/>
    </row>
    <row r="5239" spans="29:36">
      <c r="AC5239" s="26"/>
      <c r="AE5239" s="26"/>
      <c r="AF5239" s="26"/>
      <c r="AJ5239" s="26"/>
    </row>
    <row r="5240" spans="29:36">
      <c r="AC5240" s="26"/>
      <c r="AE5240" s="26"/>
      <c r="AF5240" s="26"/>
      <c r="AJ5240" s="26"/>
    </row>
    <row r="5241" spans="29:36">
      <c r="AC5241" s="26"/>
      <c r="AE5241" s="26"/>
      <c r="AF5241" s="26"/>
      <c r="AJ5241" s="26"/>
    </row>
    <row r="5242" spans="29:36">
      <c r="AC5242" s="26"/>
      <c r="AE5242" s="26"/>
      <c r="AF5242" s="26"/>
      <c r="AJ5242" s="26"/>
    </row>
    <row r="5243" spans="29:36">
      <c r="AC5243" s="26"/>
      <c r="AE5243" s="26"/>
      <c r="AF5243" s="26"/>
      <c r="AJ5243" s="26"/>
    </row>
    <row r="5244" spans="29:36">
      <c r="AC5244" s="26"/>
      <c r="AE5244" s="26"/>
      <c r="AF5244" s="26"/>
      <c r="AJ5244" s="26"/>
    </row>
    <row r="5245" spans="29:36">
      <c r="AC5245" s="26"/>
      <c r="AE5245" s="26"/>
      <c r="AF5245" s="26"/>
      <c r="AJ5245" s="26"/>
    </row>
    <row r="5246" spans="29:36">
      <c r="AC5246" s="26"/>
      <c r="AE5246" s="26"/>
      <c r="AF5246" s="26"/>
      <c r="AJ5246" s="26"/>
    </row>
    <row r="5247" spans="29:36">
      <c r="AC5247" s="26"/>
      <c r="AE5247" s="26"/>
      <c r="AF5247" s="26"/>
      <c r="AJ5247" s="26"/>
    </row>
    <row r="5248" spans="29:36">
      <c r="AC5248" s="26"/>
      <c r="AE5248" s="26"/>
      <c r="AF5248" s="26"/>
      <c r="AJ5248" s="26"/>
    </row>
    <row r="5249" spans="29:36">
      <c r="AC5249" s="26"/>
      <c r="AE5249" s="26"/>
      <c r="AF5249" s="26"/>
      <c r="AJ5249" s="26"/>
    </row>
    <row r="5250" spans="29:36">
      <c r="AC5250" s="26"/>
      <c r="AE5250" s="26"/>
      <c r="AF5250" s="26"/>
      <c r="AJ5250" s="26"/>
    </row>
    <row r="5251" spans="29:36">
      <c r="AC5251" s="26"/>
      <c r="AE5251" s="26"/>
      <c r="AF5251" s="26"/>
      <c r="AJ5251" s="26"/>
    </row>
    <row r="5252" spans="29:36">
      <c r="AC5252" s="26"/>
      <c r="AE5252" s="26"/>
      <c r="AF5252" s="26"/>
      <c r="AJ5252" s="26"/>
    </row>
    <row r="5253" spans="29:36">
      <c r="AC5253" s="26"/>
      <c r="AE5253" s="26"/>
      <c r="AF5253" s="26"/>
      <c r="AJ5253" s="26"/>
    </row>
    <row r="5254" spans="29:36">
      <c r="AC5254" s="26"/>
      <c r="AE5254" s="26"/>
      <c r="AF5254" s="26"/>
      <c r="AJ5254" s="26"/>
    </row>
    <row r="5255" spans="29:36">
      <c r="AC5255" s="26"/>
      <c r="AE5255" s="26"/>
      <c r="AF5255" s="26"/>
      <c r="AJ5255" s="26"/>
    </row>
    <row r="5256" spans="29:36">
      <c r="AC5256" s="26"/>
      <c r="AE5256" s="26"/>
      <c r="AF5256" s="26"/>
      <c r="AJ5256" s="26"/>
    </row>
    <row r="5257" spans="29:36">
      <c r="AC5257" s="26"/>
      <c r="AE5257" s="26"/>
      <c r="AF5257" s="26"/>
      <c r="AJ5257" s="26"/>
    </row>
    <row r="5258" spans="29:36">
      <c r="AC5258" s="26"/>
      <c r="AE5258" s="26"/>
      <c r="AF5258" s="26"/>
      <c r="AJ5258" s="26"/>
    </row>
    <row r="5259" spans="29:36">
      <c r="AC5259" s="26"/>
      <c r="AE5259" s="26"/>
      <c r="AF5259" s="26"/>
      <c r="AJ5259" s="26"/>
    </row>
    <row r="5260" spans="29:36">
      <c r="AC5260" s="26"/>
      <c r="AE5260" s="26"/>
      <c r="AF5260" s="26"/>
      <c r="AJ5260" s="26"/>
    </row>
    <row r="5261" spans="29:36">
      <c r="AC5261" s="26"/>
      <c r="AE5261" s="26"/>
      <c r="AF5261" s="26"/>
      <c r="AJ5261" s="26"/>
    </row>
    <row r="5262" spans="29:36">
      <c r="AC5262" s="26"/>
      <c r="AE5262" s="26"/>
      <c r="AF5262" s="26"/>
      <c r="AJ5262" s="26"/>
    </row>
    <row r="5263" spans="29:36">
      <c r="AC5263" s="26"/>
      <c r="AE5263" s="26"/>
      <c r="AF5263" s="26"/>
      <c r="AJ5263" s="26"/>
    </row>
    <row r="5264" spans="29:36">
      <c r="AC5264" s="26"/>
      <c r="AE5264" s="26"/>
      <c r="AF5264" s="26"/>
      <c r="AJ5264" s="26"/>
    </row>
    <row r="5265" spans="29:36">
      <c r="AC5265" s="26"/>
      <c r="AE5265" s="26"/>
      <c r="AF5265" s="26"/>
      <c r="AJ5265" s="26"/>
    </row>
    <row r="5266" spans="29:36">
      <c r="AC5266" s="26"/>
      <c r="AE5266" s="26"/>
      <c r="AF5266" s="26"/>
      <c r="AJ5266" s="26"/>
    </row>
    <row r="5267" spans="29:36">
      <c r="AC5267" s="26"/>
      <c r="AE5267" s="26"/>
      <c r="AF5267" s="26"/>
      <c r="AJ5267" s="26"/>
    </row>
    <row r="5268" spans="29:36">
      <c r="AC5268" s="26"/>
      <c r="AE5268" s="26"/>
      <c r="AF5268" s="26"/>
      <c r="AJ5268" s="26"/>
    </row>
    <row r="5269" spans="29:36">
      <c r="AC5269" s="26"/>
      <c r="AE5269" s="26"/>
      <c r="AF5269" s="26"/>
      <c r="AJ5269" s="26"/>
    </row>
    <row r="5270" spans="29:36">
      <c r="AC5270" s="26"/>
      <c r="AE5270" s="26"/>
      <c r="AF5270" s="26"/>
      <c r="AJ5270" s="26"/>
    </row>
    <row r="5271" spans="29:36">
      <c r="AC5271" s="26"/>
      <c r="AE5271" s="26"/>
      <c r="AF5271" s="26"/>
      <c r="AJ5271" s="26"/>
    </row>
    <row r="5272" spans="29:36">
      <c r="AC5272" s="26"/>
      <c r="AE5272" s="26"/>
      <c r="AF5272" s="26"/>
      <c r="AJ5272" s="26"/>
    </row>
    <row r="5273" spans="29:36">
      <c r="AC5273" s="26"/>
      <c r="AE5273" s="26"/>
      <c r="AF5273" s="26"/>
      <c r="AJ5273" s="26"/>
    </row>
    <row r="5274" spans="29:36">
      <c r="AC5274" s="26"/>
      <c r="AE5274" s="26"/>
      <c r="AF5274" s="26"/>
      <c r="AJ5274" s="26"/>
    </row>
    <row r="5275" spans="29:36">
      <c r="AC5275" s="26"/>
      <c r="AE5275" s="26"/>
      <c r="AF5275" s="26"/>
      <c r="AJ5275" s="26"/>
    </row>
    <row r="5276" spans="29:36">
      <c r="AC5276" s="26"/>
      <c r="AE5276" s="26"/>
      <c r="AF5276" s="26"/>
      <c r="AJ5276" s="26"/>
    </row>
    <row r="5277" spans="29:36">
      <c r="AC5277" s="26"/>
      <c r="AE5277" s="26"/>
      <c r="AF5277" s="26"/>
      <c r="AJ5277" s="26"/>
    </row>
    <row r="5278" spans="29:36">
      <c r="AC5278" s="26"/>
      <c r="AE5278" s="26"/>
      <c r="AF5278" s="26"/>
      <c r="AJ5278" s="26"/>
    </row>
    <row r="5279" spans="29:36">
      <c r="AC5279" s="26"/>
      <c r="AE5279" s="26"/>
      <c r="AF5279" s="26"/>
      <c r="AJ5279" s="26"/>
    </row>
    <row r="5280" spans="29:36">
      <c r="AC5280" s="26"/>
      <c r="AE5280" s="26"/>
      <c r="AF5280" s="26"/>
      <c r="AJ5280" s="26"/>
    </row>
    <row r="5281" spans="29:36">
      <c r="AC5281" s="26"/>
      <c r="AE5281" s="26"/>
      <c r="AF5281" s="26"/>
      <c r="AJ5281" s="26"/>
    </row>
    <row r="5282" spans="29:36">
      <c r="AC5282" s="26"/>
      <c r="AE5282" s="26"/>
      <c r="AF5282" s="26"/>
      <c r="AJ5282" s="26"/>
    </row>
    <row r="5283" spans="29:36">
      <c r="AC5283" s="26"/>
      <c r="AE5283" s="26"/>
      <c r="AF5283" s="26"/>
      <c r="AJ5283" s="26"/>
    </row>
    <row r="5284" spans="29:36">
      <c r="AC5284" s="26"/>
      <c r="AE5284" s="26"/>
      <c r="AF5284" s="26"/>
      <c r="AJ5284" s="26"/>
    </row>
    <row r="5285" spans="29:36">
      <c r="AC5285" s="26"/>
      <c r="AE5285" s="26"/>
      <c r="AF5285" s="26"/>
      <c r="AJ5285" s="26"/>
    </row>
    <row r="5286" spans="29:36">
      <c r="AC5286" s="26"/>
      <c r="AE5286" s="26"/>
      <c r="AF5286" s="26"/>
      <c r="AJ5286" s="26"/>
    </row>
    <row r="5287" spans="29:36">
      <c r="AC5287" s="26"/>
      <c r="AE5287" s="26"/>
      <c r="AF5287" s="26"/>
      <c r="AJ5287" s="26"/>
    </row>
    <row r="5288" spans="29:36">
      <c r="AC5288" s="26"/>
      <c r="AE5288" s="26"/>
      <c r="AF5288" s="26"/>
      <c r="AJ5288" s="26"/>
    </row>
    <row r="5289" spans="29:36">
      <c r="AC5289" s="26"/>
      <c r="AE5289" s="26"/>
      <c r="AF5289" s="26"/>
      <c r="AJ5289" s="26"/>
    </row>
    <row r="5290" spans="29:36">
      <c r="AC5290" s="26"/>
      <c r="AE5290" s="26"/>
      <c r="AF5290" s="26"/>
      <c r="AJ5290" s="26"/>
    </row>
    <row r="5291" spans="29:36">
      <c r="AC5291" s="26"/>
      <c r="AE5291" s="26"/>
      <c r="AF5291" s="26"/>
      <c r="AJ5291" s="26"/>
    </row>
    <row r="5292" spans="29:36">
      <c r="AC5292" s="26"/>
      <c r="AE5292" s="26"/>
      <c r="AF5292" s="26"/>
      <c r="AJ5292" s="26"/>
    </row>
    <row r="5293" spans="29:36">
      <c r="AC5293" s="26"/>
      <c r="AE5293" s="26"/>
      <c r="AF5293" s="26"/>
      <c r="AJ5293" s="26"/>
    </row>
    <row r="5294" spans="29:36">
      <c r="AC5294" s="26"/>
      <c r="AE5294" s="26"/>
      <c r="AF5294" s="26"/>
      <c r="AJ5294" s="26"/>
    </row>
    <row r="5295" spans="29:36">
      <c r="AC5295" s="26"/>
      <c r="AE5295" s="26"/>
      <c r="AF5295" s="26"/>
      <c r="AJ5295" s="26"/>
    </row>
    <row r="5296" spans="29:36">
      <c r="AC5296" s="26"/>
      <c r="AE5296" s="26"/>
      <c r="AF5296" s="26"/>
      <c r="AJ5296" s="26"/>
    </row>
    <row r="5297" spans="29:36">
      <c r="AC5297" s="26"/>
      <c r="AE5297" s="26"/>
      <c r="AF5297" s="26"/>
      <c r="AJ5297" s="26"/>
    </row>
    <row r="5298" spans="29:36">
      <c r="AC5298" s="26"/>
      <c r="AE5298" s="26"/>
      <c r="AF5298" s="26"/>
      <c r="AJ5298" s="26"/>
    </row>
    <row r="5299" spans="29:36">
      <c r="AC5299" s="26"/>
      <c r="AE5299" s="26"/>
      <c r="AF5299" s="26"/>
      <c r="AJ5299" s="26"/>
    </row>
    <row r="5300" spans="29:36">
      <c r="AC5300" s="26"/>
      <c r="AE5300" s="26"/>
      <c r="AF5300" s="26"/>
      <c r="AJ5300" s="26"/>
    </row>
    <row r="5301" spans="29:36">
      <c r="AC5301" s="26"/>
      <c r="AE5301" s="26"/>
      <c r="AF5301" s="26"/>
      <c r="AJ5301" s="26"/>
    </row>
    <row r="5302" spans="29:36">
      <c r="AC5302" s="26"/>
      <c r="AE5302" s="26"/>
      <c r="AF5302" s="26"/>
      <c r="AJ5302" s="26"/>
    </row>
    <row r="5303" spans="29:36">
      <c r="AC5303" s="26"/>
      <c r="AE5303" s="26"/>
      <c r="AF5303" s="26"/>
      <c r="AJ5303" s="26"/>
    </row>
    <row r="5304" spans="29:36">
      <c r="AC5304" s="26"/>
      <c r="AE5304" s="26"/>
      <c r="AF5304" s="26"/>
      <c r="AJ5304" s="26"/>
    </row>
    <row r="5305" spans="29:36">
      <c r="AC5305" s="26"/>
      <c r="AE5305" s="26"/>
      <c r="AF5305" s="26"/>
      <c r="AJ5305" s="26"/>
    </row>
    <row r="5306" spans="29:36">
      <c r="AC5306" s="26"/>
      <c r="AE5306" s="26"/>
      <c r="AF5306" s="26"/>
      <c r="AJ5306" s="26"/>
    </row>
    <row r="5307" spans="29:36">
      <c r="AC5307" s="26"/>
      <c r="AE5307" s="26"/>
      <c r="AF5307" s="26"/>
      <c r="AJ5307" s="26"/>
    </row>
    <row r="5308" spans="29:36">
      <c r="AC5308" s="26"/>
      <c r="AE5308" s="26"/>
      <c r="AF5308" s="26"/>
      <c r="AJ5308" s="26"/>
    </row>
    <row r="5309" spans="29:36">
      <c r="AC5309" s="26"/>
      <c r="AE5309" s="26"/>
      <c r="AF5309" s="26"/>
      <c r="AJ5309" s="26"/>
    </row>
    <row r="5310" spans="29:36">
      <c r="AC5310" s="26"/>
      <c r="AE5310" s="26"/>
      <c r="AF5310" s="26"/>
      <c r="AJ5310" s="26"/>
    </row>
    <row r="5311" spans="29:36">
      <c r="AC5311" s="26"/>
      <c r="AE5311" s="26"/>
      <c r="AF5311" s="26"/>
      <c r="AJ5311" s="26"/>
    </row>
    <row r="5312" spans="29:36">
      <c r="AC5312" s="26"/>
      <c r="AE5312" s="26"/>
      <c r="AF5312" s="26"/>
      <c r="AJ5312" s="26"/>
    </row>
    <row r="5313" spans="29:36">
      <c r="AC5313" s="26"/>
      <c r="AE5313" s="26"/>
      <c r="AF5313" s="26"/>
      <c r="AJ5313" s="26"/>
    </row>
    <row r="5314" spans="29:36">
      <c r="AC5314" s="26"/>
      <c r="AE5314" s="26"/>
      <c r="AF5314" s="26"/>
      <c r="AJ5314" s="26"/>
    </row>
    <row r="5315" spans="29:36">
      <c r="AC5315" s="26"/>
      <c r="AE5315" s="26"/>
      <c r="AF5315" s="26"/>
      <c r="AJ5315" s="26"/>
    </row>
    <row r="5316" spans="29:36">
      <c r="AC5316" s="26"/>
      <c r="AE5316" s="26"/>
      <c r="AF5316" s="26"/>
      <c r="AJ5316" s="26"/>
    </row>
    <row r="5317" spans="29:36">
      <c r="AC5317" s="26"/>
      <c r="AE5317" s="26"/>
      <c r="AF5317" s="26"/>
      <c r="AJ5317" s="26"/>
    </row>
    <row r="5318" spans="29:36">
      <c r="AC5318" s="26"/>
      <c r="AE5318" s="26"/>
      <c r="AF5318" s="26"/>
      <c r="AJ5318" s="26"/>
    </row>
    <row r="5319" spans="29:36">
      <c r="AC5319" s="26"/>
      <c r="AE5319" s="26"/>
      <c r="AF5319" s="26"/>
      <c r="AJ5319" s="26"/>
    </row>
    <row r="5320" spans="29:36">
      <c r="AC5320" s="26"/>
      <c r="AE5320" s="26"/>
      <c r="AF5320" s="26"/>
      <c r="AJ5320" s="26"/>
    </row>
    <row r="5321" spans="29:36">
      <c r="AC5321" s="26"/>
      <c r="AE5321" s="26"/>
      <c r="AF5321" s="26"/>
      <c r="AJ5321" s="26"/>
    </row>
    <row r="5322" spans="29:36">
      <c r="AC5322" s="26"/>
      <c r="AE5322" s="26"/>
      <c r="AF5322" s="26"/>
      <c r="AJ5322" s="26"/>
    </row>
    <row r="5323" spans="29:36">
      <c r="AC5323" s="26"/>
      <c r="AE5323" s="26"/>
      <c r="AF5323" s="26"/>
      <c r="AJ5323" s="26"/>
    </row>
    <row r="5324" spans="29:36">
      <c r="AC5324" s="26"/>
      <c r="AE5324" s="26"/>
      <c r="AF5324" s="26"/>
      <c r="AJ5324" s="26"/>
    </row>
    <row r="5325" spans="29:36">
      <c r="AC5325" s="26"/>
      <c r="AE5325" s="26"/>
      <c r="AF5325" s="26"/>
      <c r="AJ5325" s="26"/>
    </row>
    <row r="5326" spans="29:36">
      <c r="AC5326" s="26"/>
      <c r="AE5326" s="26"/>
      <c r="AF5326" s="26"/>
      <c r="AJ5326" s="26"/>
    </row>
    <row r="5327" spans="29:36">
      <c r="AC5327" s="26"/>
      <c r="AE5327" s="26"/>
      <c r="AF5327" s="26"/>
      <c r="AJ5327" s="26"/>
    </row>
    <row r="5328" spans="29:36">
      <c r="AC5328" s="26"/>
      <c r="AE5328" s="26"/>
      <c r="AF5328" s="26"/>
      <c r="AJ5328" s="26"/>
    </row>
    <row r="5329" spans="29:36">
      <c r="AC5329" s="26"/>
      <c r="AE5329" s="26"/>
      <c r="AF5329" s="26"/>
      <c r="AJ5329" s="26"/>
    </row>
    <row r="5330" spans="29:36">
      <c r="AC5330" s="26"/>
      <c r="AE5330" s="26"/>
      <c r="AF5330" s="26"/>
      <c r="AJ5330" s="26"/>
    </row>
    <row r="5331" spans="29:36">
      <c r="AC5331" s="26"/>
      <c r="AE5331" s="26"/>
      <c r="AF5331" s="26"/>
      <c r="AJ5331" s="26"/>
    </row>
    <row r="5332" spans="29:36">
      <c r="AC5332" s="26"/>
      <c r="AE5332" s="26"/>
      <c r="AF5332" s="26"/>
      <c r="AJ5332" s="26"/>
    </row>
    <row r="5333" spans="29:36">
      <c r="AC5333" s="26"/>
      <c r="AE5333" s="26"/>
      <c r="AF5333" s="26"/>
      <c r="AJ5333" s="26"/>
    </row>
    <row r="5334" spans="29:36">
      <c r="AC5334" s="26"/>
      <c r="AE5334" s="26"/>
      <c r="AF5334" s="26"/>
      <c r="AJ5334" s="26"/>
    </row>
    <row r="5335" spans="29:36">
      <c r="AC5335" s="26"/>
      <c r="AE5335" s="26"/>
      <c r="AF5335" s="26"/>
      <c r="AJ5335" s="26"/>
    </row>
    <row r="5336" spans="29:36">
      <c r="AC5336" s="26"/>
      <c r="AE5336" s="26"/>
      <c r="AF5336" s="26"/>
      <c r="AJ5336" s="26"/>
    </row>
    <row r="5337" spans="29:36">
      <c r="AC5337" s="26"/>
      <c r="AE5337" s="26"/>
      <c r="AF5337" s="26"/>
      <c r="AJ5337" s="26"/>
    </row>
    <row r="5338" spans="29:36">
      <c r="AC5338" s="26"/>
      <c r="AE5338" s="26"/>
      <c r="AF5338" s="26"/>
      <c r="AJ5338" s="26"/>
    </row>
    <row r="5339" spans="29:36">
      <c r="AC5339" s="26"/>
      <c r="AE5339" s="26"/>
      <c r="AF5339" s="26"/>
      <c r="AJ5339" s="26"/>
    </row>
    <row r="5340" spans="29:36">
      <c r="AC5340" s="26"/>
      <c r="AE5340" s="26"/>
      <c r="AF5340" s="26"/>
      <c r="AJ5340" s="26"/>
    </row>
    <row r="5341" spans="29:36">
      <c r="AC5341" s="26"/>
      <c r="AE5341" s="26"/>
      <c r="AF5341" s="26"/>
      <c r="AJ5341" s="26"/>
    </row>
    <row r="5342" spans="29:36">
      <c r="AC5342" s="26"/>
      <c r="AE5342" s="26"/>
      <c r="AF5342" s="26"/>
      <c r="AJ5342" s="26"/>
    </row>
    <row r="5343" spans="29:36">
      <c r="AC5343" s="26"/>
      <c r="AE5343" s="26"/>
      <c r="AF5343" s="26"/>
      <c r="AJ5343" s="26"/>
    </row>
    <row r="5344" spans="29:36">
      <c r="AC5344" s="26"/>
      <c r="AE5344" s="26"/>
      <c r="AF5344" s="26"/>
      <c r="AJ5344" s="26"/>
    </row>
    <row r="5345" spans="29:36">
      <c r="AC5345" s="26"/>
      <c r="AE5345" s="26"/>
      <c r="AF5345" s="26"/>
      <c r="AJ5345" s="26"/>
    </row>
    <row r="5346" spans="29:36">
      <c r="AC5346" s="26"/>
      <c r="AE5346" s="26"/>
      <c r="AF5346" s="26"/>
      <c r="AJ5346" s="26"/>
    </row>
    <row r="5347" spans="29:36">
      <c r="AC5347" s="26"/>
      <c r="AE5347" s="26"/>
      <c r="AF5347" s="26"/>
      <c r="AJ5347" s="26"/>
    </row>
    <row r="5348" spans="29:36">
      <c r="AC5348" s="26"/>
      <c r="AE5348" s="26"/>
      <c r="AF5348" s="26"/>
      <c r="AJ5348" s="26"/>
    </row>
    <row r="5349" spans="29:36">
      <c r="AC5349" s="26"/>
      <c r="AE5349" s="26"/>
      <c r="AF5349" s="26"/>
      <c r="AJ5349" s="26"/>
    </row>
    <row r="5350" spans="29:36">
      <c r="AC5350" s="26"/>
      <c r="AE5350" s="26"/>
      <c r="AF5350" s="26"/>
      <c r="AJ5350" s="26"/>
    </row>
    <row r="5351" spans="29:36">
      <c r="AC5351" s="26"/>
      <c r="AE5351" s="26"/>
      <c r="AF5351" s="26"/>
      <c r="AJ5351" s="26"/>
    </row>
    <row r="5352" spans="29:36">
      <c r="AC5352" s="26"/>
      <c r="AE5352" s="26"/>
      <c r="AF5352" s="26"/>
      <c r="AJ5352" s="26"/>
    </row>
    <row r="5353" spans="29:36">
      <c r="AC5353" s="26"/>
      <c r="AE5353" s="26"/>
      <c r="AF5353" s="26"/>
      <c r="AJ5353" s="26"/>
    </row>
    <row r="5354" spans="29:36">
      <c r="AC5354" s="26"/>
      <c r="AE5354" s="26"/>
      <c r="AF5354" s="26"/>
      <c r="AJ5354" s="26"/>
    </row>
    <row r="5355" spans="29:36">
      <c r="AC5355" s="26"/>
      <c r="AE5355" s="26"/>
      <c r="AF5355" s="26"/>
      <c r="AJ5355" s="26"/>
    </row>
    <row r="5356" spans="29:36">
      <c r="AC5356" s="26"/>
      <c r="AE5356" s="26"/>
      <c r="AF5356" s="26"/>
      <c r="AJ5356" s="26"/>
    </row>
    <row r="5357" spans="29:36">
      <c r="AC5357" s="26"/>
      <c r="AE5357" s="26"/>
      <c r="AF5357" s="26"/>
      <c r="AJ5357" s="26"/>
    </row>
    <row r="5358" spans="29:36">
      <c r="AC5358" s="26"/>
      <c r="AE5358" s="26"/>
      <c r="AF5358" s="26"/>
      <c r="AJ5358" s="26"/>
    </row>
    <row r="5359" spans="29:36">
      <c r="AC5359" s="26"/>
      <c r="AE5359" s="26"/>
      <c r="AF5359" s="26"/>
      <c r="AJ5359" s="26"/>
    </row>
    <row r="5360" spans="29:36">
      <c r="AC5360" s="26"/>
      <c r="AE5360" s="26"/>
      <c r="AF5360" s="26"/>
      <c r="AJ5360" s="26"/>
    </row>
    <row r="5361" spans="29:36">
      <c r="AC5361" s="26"/>
      <c r="AE5361" s="26"/>
      <c r="AF5361" s="26"/>
      <c r="AJ5361" s="26"/>
    </row>
    <row r="5362" spans="29:36">
      <c r="AC5362" s="26"/>
      <c r="AE5362" s="26"/>
      <c r="AF5362" s="26"/>
      <c r="AJ5362" s="26"/>
    </row>
    <row r="5363" spans="29:36">
      <c r="AC5363" s="26"/>
      <c r="AE5363" s="26"/>
      <c r="AF5363" s="26"/>
      <c r="AJ5363" s="26"/>
    </row>
    <row r="5364" spans="29:36">
      <c r="AC5364" s="26"/>
      <c r="AE5364" s="26"/>
      <c r="AF5364" s="26"/>
      <c r="AJ5364" s="26"/>
    </row>
    <row r="5365" spans="29:36">
      <c r="AC5365" s="26"/>
      <c r="AE5365" s="26"/>
      <c r="AF5365" s="26"/>
      <c r="AJ5365" s="26"/>
    </row>
    <row r="5366" spans="29:36">
      <c r="AC5366" s="26"/>
      <c r="AE5366" s="26"/>
      <c r="AF5366" s="26"/>
      <c r="AJ5366" s="26"/>
    </row>
    <row r="5367" spans="29:36">
      <c r="AC5367" s="26"/>
      <c r="AE5367" s="26"/>
      <c r="AF5367" s="26"/>
      <c r="AJ5367" s="26"/>
    </row>
    <row r="5368" spans="29:36">
      <c r="AC5368" s="26"/>
      <c r="AE5368" s="26"/>
      <c r="AF5368" s="26"/>
      <c r="AJ5368" s="26"/>
    </row>
    <row r="5369" spans="29:36">
      <c r="AC5369" s="26"/>
      <c r="AE5369" s="26"/>
      <c r="AF5369" s="26"/>
      <c r="AJ5369" s="26"/>
    </row>
    <row r="5370" spans="29:36">
      <c r="AC5370" s="26"/>
      <c r="AE5370" s="26"/>
      <c r="AF5370" s="26"/>
      <c r="AJ5370" s="26"/>
    </row>
    <row r="5371" spans="29:36">
      <c r="AC5371" s="26"/>
      <c r="AE5371" s="26"/>
      <c r="AF5371" s="26"/>
      <c r="AJ5371" s="26"/>
    </row>
    <row r="5372" spans="29:36">
      <c r="AC5372" s="26"/>
      <c r="AE5372" s="26"/>
      <c r="AF5372" s="26"/>
      <c r="AJ5372" s="26"/>
    </row>
    <row r="5373" spans="29:36">
      <c r="AC5373" s="26"/>
      <c r="AE5373" s="26"/>
      <c r="AF5373" s="26"/>
      <c r="AJ5373" s="26"/>
    </row>
    <row r="5374" spans="29:36">
      <c r="AC5374" s="26"/>
      <c r="AE5374" s="26"/>
      <c r="AF5374" s="26"/>
      <c r="AJ5374" s="26"/>
    </row>
    <row r="5375" spans="29:36">
      <c r="AC5375" s="26"/>
      <c r="AE5375" s="26"/>
      <c r="AF5375" s="26"/>
      <c r="AJ5375" s="26"/>
    </row>
    <row r="5376" spans="29:36">
      <c r="AC5376" s="26"/>
      <c r="AE5376" s="26"/>
      <c r="AF5376" s="26"/>
      <c r="AJ5376" s="26"/>
    </row>
    <row r="5377" spans="29:36">
      <c r="AC5377" s="26"/>
      <c r="AE5377" s="26"/>
      <c r="AF5377" s="26"/>
      <c r="AJ5377" s="26"/>
    </row>
    <row r="5378" spans="29:36">
      <c r="AC5378" s="26"/>
      <c r="AE5378" s="26"/>
      <c r="AF5378" s="26"/>
      <c r="AJ5378" s="26"/>
    </row>
    <row r="5379" spans="29:36">
      <c r="AC5379" s="26"/>
      <c r="AE5379" s="26"/>
      <c r="AF5379" s="26"/>
      <c r="AJ5379" s="26"/>
    </row>
    <row r="5380" spans="29:36">
      <c r="AC5380" s="26"/>
      <c r="AE5380" s="26"/>
      <c r="AF5380" s="26"/>
      <c r="AJ5380" s="26"/>
    </row>
    <row r="5381" spans="29:36">
      <c r="AC5381" s="26"/>
      <c r="AE5381" s="26"/>
      <c r="AF5381" s="26"/>
      <c r="AJ5381" s="26"/>
    </row>
    <row r="5382" spans="29:36">
      <c r="AC5382" s="26"/>
      <c r="AE5382" s="26"/>
      <c r="AF5382" s="26"/>
      <c r="AJ5382" s="26"/>
    </row>
    <row r="5383" spans="29:36">
      <c r="AC5383" s="26"/>
      <c r="AE5383" s="26"/>
      <c r="AF5383" s="26"/>
      <c r="AJ5383" s="26"/>
    </row>
    <row r="5384" spans="29:36">
      <c r="AC5384" s="26"/>
      <c r="AE5384" s="26"/>
      <c r="AF5384" s="26"/>
      <c r="AJ5384" s="26"/>
    </row>
    <row r="5385" spans="29:36">
      <c r="AC5385" s="26"/>
      <c r="AE5385" s="26"/>
      <c r="AF5385" s="26"/>
      <c r="AJ5385" s="26"/>
    </row>
    <row r="5386" spans="29:36">
      <c r="AC5386" s="26"/>
      <c r="AE5386" s="26"/>
      <c r="AF5386" s="26"/>
      <c r="AJ5386" s="26"/>
    </row>
    <row r="5387" spans="29:36">
      <c r="AC5387" s="26"/>
      <c r="AE5387" s="26"/>
      <c r="AF5387" s="26"/>
      <c r="AJ5387" s="26"/>
    </row>
    <row r="5388" spans="29:36">
      <c r="AC5388" s="26"/>
      <c r="AE5388" s="26"/>
      <c r="AF5388" s="26"/>
      <c r="AJ5388" s="26"/>
    </row>
    <row r="5389" spans="29:36">
      <c r="AC5389" s="26"/>
      <c r="AE5389" s="26"/>
      <c r="AF5389" s="26"/>
      <c r="AJ5389" s="26"/>
    </row>
    <row r="5390" spans="29:36">
      <c r="AC5390" s="26"/>
      <c r="AE5390" s="26"/>
      <c r="AF5390" s="26"/>
      <c r="AJ5390" s="26"/>
    </row>
    <row r="5391" spans="29:36">
      <c r="AC5391" s="26"/>
      <c r="AE5391" s="26"/>
      <c r="AF5391" s="26"/>
      <c r="AJ5391" s="26"/>
    </row>
    <row r="5392" spans="29:36">
      <c r="AC5392" s="26"/>
      <c r="AE5392" s="26"/>
      <c r="AF5392" s="26"/>
      <c r="AJ5392" s="26"/>
    </row>
    <row r="5393" spans="29:36">
      <c r="AC5393" s="26"/>
      <c r="AE5393" s="26"/>
      <c r="AF5393" s="26"/>
      <c r="AJ5393" s="26"/>
    </row>
    <row r="5394" spans="29:36">
      <c r="AC5394" s="26"/>
      <c r="AE5394" s="26"/>
      <c r="AF5394" s="26"/>
      <c r="AJ5394" s="26"/>
    </row>
    <row r="5395" spans="29:36">
      <c r="AC5395" s="26"/>
      <c r="AE5395" s="26"/>
      <c r="AF5395" s="26"/>
      <c r="AJ5395" s="26"/>
    </row>
    <row r="5396" spans="29:36">
      <c r="AC5396" s="26"/>
      <c r="AE5396" s="26"/>
      <c r="AF5396" s="26"/>
      <c r="AJ5396" s="26"/>
    </row>
    <row r="5397" spans="29:36">
      <c r="AC5397" s="26"/>
      <c r="AE5397" s="26"/>
      <c r="AF5397" s="26"/>
      <c r="AJ5397" s="26"/>
    </row>
    <row r="5398" spans="29:36">
      <c r="AC5398" s="26"/>
      <c r="AE5398" s="26"/>
      <c r="AF5398" s="26"/>
      <c r="AJ5398" s="26"/>
    </row>
    <row r="5399" spans="29:36">
      <c r="AC5399" s="26"/>
      <c r="AE5399" s="26"/>
      <c r="AF5399" s="26"/>
      <c r="AJ5399" s="26"/>
    </row>
    <row r="5400" spans="29:36">
      <c r="AC5400" s="26"/>
      <c r="AE5400" s="26"/>
      <c r="AF5400" s="26"/>
      <c r="AJ5400" s="26"/>
    </row>
    <row r="5401" spans="29:36">
      <c r="AC5401" s="26"/>
      <c r="AE5401" s="26"/>
      <c r="AF5401" s="26"/>
      <c r="AJ5401" s="26"/>
    </row>
    <row r="5402" spans="29:36">
      <c r="AC5402" s="26"/>
      <c r="AE5402" s="26"/>
      <c r="AF5402" s="26"/>
      <c r="AJ5402" s="26"/>
    </row>
    <row r="5403" spans="29:36">
      <c r="AC5403" s="26"/>
      <c r="AE5403" s="26"/>
      <c r="AF5403" s="26"/>
      <c r="AJ5403" s="26"/>
    </row>
    <row r="5404" spans="29:36">
      <c r="AC5404" s="26"/>
      <c r="AE5404" s="26"/>
      <c r="AF5404" s="26"/>
      <c r="AJ5404" s="26"/>
    </row>
    <row r="5405" spans="29:36">
      <c r="AC5405" s="26"/>
      <c r="AE5405" s="26"/>
      <c r="AF5405" s="26"/>
      <c r="AJ5405" s="26"/>
    </row>
    <row r="5406" spans="29:36">
      <c r="AC5406" s="26"/>
      <c r="AE5406" s="26"/>
      <c r="AF5406" s="26"/>
      <c r="AJ5406" s="26"/>
    </row>
    <row r="5407" spans="29:36">
      <c r="AC5407" s="26"/>
      <c r="AE5407" s="26"/>
      <c r="AF5407" s="26"/>
      <c r="AJ5407" s="26"/>
    </row>
    <row r="5408" spans="29:36">
      <c r="AC5408" s="26"/>
      <c r="AE5408" s="26"/>
      <c r="AF5408" s="26"/>
      <c r="AJ5408" s="26"/>
    </row>
    <row r="5409" spans="29:36">
      <c r="AC5409" s="26"/>
      <c r="AE5409" s="26"/>
      <c r="AF5409" s="26"/>
      <c r="AJ5409" s="26"/>
    </row>
    <row r="5410" spans="29:36">
      <c r="AC5410" s="26"/>
      <c r="AE5410" s="26"/>
      <c r="AF5410" s="26"/>
      <c r="AJ5410" s="26"/>
    </row>
    <row r="5411" spans="29:36">
      <c r="AC5411" s="26"/>
      <c r="AE5411" s="26"/>
      <c r="AF5411" s="26"/>
      <c r="AJ5411" s="26"/>
    </row>
    <row r="5412" spans="29:36">
      <c r="AC5412" s="26"/>
      <c r="AE5412" s="26"/>
      <c r="AF5412" s="26"/>
      <c r="AJ5412" s="26"/>
    </row>
    <row r="5413" spans="29:36">
      <c r="AC5413" s="26"/>
      <c r="AE5413" s="26"/>
      <c r="AF5413" s="26"/>
      <c r="AJ5413" s="26"/>
    </row>
    <row r="5414" spans="29:36">
      <c r="AC5414" s="26"/>
      <c r="AE5414" s="26"/>
      <c r="AF5414" s="26"/>
      <c r="AJ5414" s="26"/>
    </row>
    <row r="5415" spans="29:36">
      <c r="AC5415" s="26"/>
      <c r="AE5415" s="26"/>
      <c r="AF5415" s="26"/>
      <c r="AJ5415" s="26"/>
    </row>
    <row r="5416" spans="29:36">
      <c r="AC5416" s="26"/>
      <c r="AE5416" s="26"/>
      <c r="AF5416" s="26"/>
      <c r="AJ5416" s="26"/>
    </row>
    <row r="5417" spans="29:36">
      <c r="AC5417" s="26"/>
      <c r="AE5417" s="26"/>
      <c r="AF5417" s="26"/>
      <c r="AJ5417" s="26"/>
    </row>
    <row r="5418" spans="29:36">
      <c r="AC5418" s="26"/>
      <c r="AE5418" s="26"/>
      <c r="AF5418" s="26"/>
      <c r="AJ5418" s="26"/>
    </row>
    <row r="5419" spans="29:36">
      <c r="AC5419" s="26"/>
      <c r="AE5419" s="26"/>
      <c r="AF5419" s="26"/>
      <c r="AJ5419" s="26"/>
    </row>
    <row r="5420" spans="29:36">
      <c r="AC5420" s="26"/>
      <c r="AE5420" s="26"/>
      <c r="AF5420" s="26"/>
      <c r="AJ5420" s="26"/>
    </row>
    <row r="5421" spans="29:36">
      <c r="AC5421" s="26"/>
      <c r="AE5421" s="26"/>
      <c r="AF5421" s="26"/>
      <c r="AJ5421" s="26"/>
    </row>
    <row r="5422" spans="29:36">
      <c r="AC5422" s="26"/>
      <c r="AE5422" s="26"/>
      <c r="AF5422" s="26"/>
      <c r="AJ5422" s="26"/>
    </row>
    <row r="5423" spans="29:36">
      <c r="AC5423" s="26"/>
      <c r="AE5423" s="26"/>
      <c r="AF5423" s="26"/>
      <c r="AJ5423" s="26"/>
    </row>
    <row r="5424" spans="29:36">
      <c r="AC5424" s="26"/>
      <c r="AE5424" s="26"/>
      <c r="AF5424" s="26"/>
      <c r="AJ5424" s="26"/>
    </row>
    <row r="5425" spans="29:36">
      <c r="AC5425" s="26"/>
      <c r="AE5425" s="26"/>
      <c r="AF5425" s="26"/>
      <c r="AJ5425" s="26"/>
    </row>
    <row r="5426" spans="29:36">
      <c r="AC5426" s="26"/>
      <c r="AE5426" s="26"/>
      <c r="AF5426" s="26"/>
      <c r="AJ5426" s="26"/>
    </row>
    <row r="5427" spans="29:36">
      <c r="AC5427" s="26"/>
      <c r="AE5427" s="26"/>
      <c r="AF5427" s="26"/>
      <c r="AJ5427" s="26"/>
    </row>
    <row r="5428" spans="29:36">
      <c r="AC5428" s="26"/>
      <c r="AE5428" s="26"/>
      <c r="AF5428" s="26"/>
      <c r="AJ5428" s="26"/>
    </row>
    <row r="5429" spans="29:36">
      <c r="AC5429" s="26"/>
      <c r="AE5429" s="26"/>
      <c r="AF5429" s="26"/>
      <c r="AJ5429" s="26"/>
    </row>
    <row r="5430" spans="29:36">
      <c r="AC5430" s="26"/>
      <c r="AE5430" s="26"/>
      <c r="AF5430" s="26"/>
      <c r="AJ5430" s="26"/>
    </row>
    <row r="5431" spans="29:36">
      <c r="AC5431" s="26"/>
      <c r="AE5431" s="26"/>
      <c r="AF5431" s="26"/>
      <c r="AJ5431" s="26"/>
    </row>
    <row r="5432" spans="29:36">
      <c r="AC5432" s="26"/>
      <c r="AE5432" s="26"/>
      <c r="AF5432" s="26"/>
      <c r="AJ5432" s="26"/>
    </row>
    <row r="5433" spans="29:36">
      <c r="AC5433" s="26"/>
      <c r="AE5433" s="26"/>
      <c r="AF5433" s="26"/>
      <c r="AJ5433" s="26"/>
    </row>
    <row r="5434" spans="29:36">
      <c r="AC5434" s="26"/>
      <c r="AE5434" s="26"/>
      <c r="AF5434" s="26"/>
      <c r="AJ5434" s="26"/>
    </row>
    <row r="5435" spans="29:36">
      <c r="AC5435" s="26"/>
      <c r="AE5435" s="26"/>
      <c r="AF5435" s="26"/>
      <c r="AJ5435" s="26"/>
    </row>
    <row r="5436" spans="29:36">
      <c r="AC5436" s="26"/>
      <c r="AE5436" s="26"/>
      <c r="AF5436" s="26"/>
      <c r="AJ5436" s="26"/>
    </row>
    <row r="5437" spans="29:36">
      <c r="AC5437" s="26"/>
      <c r="AE5437" s="26"/>
      <c r="AF5437" s="26"/>
      <c r="AJ5437" s="26"/>
    </row>
    <row r="5438" spans="29:36">
      <c r="AC5438" s="26"/>
      <c r="AE5438" s="26"/>
      <c r="AF5438" s="26"/>
      <c r="AJ5438" s="26"/>
    </row>
    <row r="5439" spans="29:36">
      <c r="AC5439" s="26"/>
      <c r="AE5439" s="26"/>
      <c r="AF5439" s="26"/>
      <c r="AJ5439" s="26"/>
    </row>
    <row r="5440" spans="29:36">
      <c r="AC5440" s="26"/>
      <c r="AE5440" s="26"/>
      <c r="AF5440" s="26"/>
      <c r="AJ5440" s="26"/>
    </row>
    <row r="5441" spans="29:36">
      <c r="AC5441" s="26"/>
      <c r="AE5441" s="26"/>
      <c r="AF5441" s="26"/>
      <c r="AJ5441" s="26"/>
    </row>
    <row r="5442" spans="29:36">
      <c r="AC5442" s="26"/>
      <c r="AE5442" s="26"/>
      <c r="AF5442" s="26"/>
      <c r="AJ5442" s="26"/>
    </row>
    <row r="5443" spans="29:36">
      <c r="AC5443" s="26"/>
      <c r="AE5443" s="26"/>
      <c r="AF5443" s="26"/>
      <c r="AJ5443" s="26"/>
    </row>
    <row r="5444" spans="29:36">
      <c r="AC5444" s="26"/>
      <c r="AE5444" s="26"/>
      <c r="AF5444" s="26"/>
      <c r="AJ5444" s="26"/>
    </row>
    <row r="5445" spans="29:36">
      <c r="AC5445" s="26"/>
      <c r="AE5445" s="26"/>
      <c r="AF5445" s="26"/>
      <c r="AJ5445" s="26"/>
    </row>
    <row r="5446" spans="29:36">
      <c r="AC5446" s="26"/>
      <c r="AE5446" s="26"/>
      <c r="AF5446" s="26"/>
      <c r="AJ5446" s="26"/>
    </row>
    <row r="5447" spans="29:36">
      <c r="AC5447" s="26"/>
      <c r="AE5447" s="26"/>
      <c r="AF5447" s="26"/>
      <c r="AJ5447" s="26"/>
    </row>
    <row r="5448" spans="29:36">
      <c r="AC5448" s="26"/>
      <c r="AE5448" s="26"/>
      <c r="AF5448" s="26"/>
      <c r="AJ5448" s="26"/>
    </row>
    <row r="5449" spans="29:36">
      <c r="AC5449" s="26"/>
      <c r="AE5449" s="26"/>
      <c r="AF5449" s="26"/>
      <c r="AJ5449" s="26"/>
    </row>
    <row r="5450" spans="29:36">
      <c r="AC5450" s="26"/>
      <c r="AE5450" s="26"/>
      <c r="AF5450" s="26"/>
      <c r="AJ5450" s="26"/>
    </row>
    <row r="5451" spans="29:36">
      <c r="AC5451" s="26"/>
      <c r="AE5451" s="26"/>
      <c r="AF5451" s="26"/>
      <c r="AJ5451" s="26"/>
    </row>
    <row r="5452" spans="29:36">
      <c r="AC5452" s="26"/>
      <c r="AE5452" s="26"/>
      <c r="AF5452" s="26"/>
      <c r="AJ5452" s="26"/>
    </row>
    <row r="5453" spans="29:36">
      <c r="AC5453" s="26"/>
      <c r="AE5453" s="26"/>
      <c r="AF5453" s="26"/>
      <c r="AJ5453" s="26"/>
    </row>
    <row r="5454" spans="29:36">
      <c r="AC5454" s="26"/>
      <c r="AE5454" s="26"/>
      <c r="AF5454" s="26"/>
      <c r="AJ5454" s="26"/>
    </row>
    <row r="5455" spans="29:36">
      <c r="AC5455" s="26"/>
      <c r="AE5455" s="26"/>
      <c r="AF5455" s="26"/>
      <c r="AJ5455" s="26"/>
    </row>
    <row r="5456" spans="29:36">
      <c r="AC5456" s="26"/>
      <c r="AE5456" s="26"/>
      <c r="AF5456" s="26"/>
      <c r="AJ5456" s="26"/>
    </row>
    <row r="5457" spans="29:36">
      <c r="AC5457" s="26"/>
      <c r="AE5457" s="26"/>
      <c r="AF5457" s="26"/>
      <c r="AJ5457" s="26"/>
    </row>
    <row r="5458" spans="29:36">
      <c r="AC5458" s="26"/>
      <c r="AE5458" s="26"/>
      <c r="AF5458" s="26"/>
      <c r="AJ5458" s="26"/>
    </row>
    <row r="5459" spans="29:36">
      <c r="AC5459" s="26"/>
      <c r="AE5459" s="26"/>
      <c r="AF5459" s="26"/>
      <c r="AJ5459" s="26"/>
    </row>
    <row r="5460" spans="29:36">
      <c r="AC5460" s="26"/>
      <c r="AE5460" s="26"/>
      <c r="AF5460" s="26"/>
      <c r="AJ5460" s="26"/>
    </row>
    <row r="5461" spans="29:36">
      <c r="AC5461" s="26"/>
      <c r="AE5461" s="26"/>
      <c r="AF5461" s="26"/>
      <c r="AJ5461" s="26"/>
    </row>
    <row r="5462" spans="29:36">
      <c r="AC5462" s="26"/>
      <c r="AE5462" s="26"/>
      <c r="AF5462" s="26"/>
      <c r="AJ5462" s="26"/>
    </row>
    <row r="5463" spans="29:36">
      <c r="AC5463" s="26"/>
      <c r="AE5463" s="26"/>
      <c r="AF5463" s="26"/>
      <c r="AJ5463" s="26"/>
    </row>
    <row r="5464" spans="29:36">
      <c r="AC5464" s="26"/>
      <c r="AE5464" s="26"/>
      <c r="AF5464" s="26"/>
      <c r="AJ5464" s="26"/>
    </row>
    <row r="5465" spans="29:36">
      <c r="AC5465" s="26"/>
      <c r="AE5465" s="26"/>
      <c r="AF5465" s="26"/>
      <c r="AJ5465" s="26"/>
    </row>
    <row r="5466" spans="29:36">
      <c r="AC5466" s="26"/>
      <c r="AE5466" s="26"/>
      <c r="AF5466" s="26"/>
      <c r="AJ5466" s="26"/>
    </row>
    <row r="5467" spans="29:36">
      <c r="AC5467" s="26"/>
      <c r="AE5467" s="26"/>
      <c r="AF5467" s="26"/>
      <c r="AJ5467" s="26"/>
    </row>
    <row r="5468" spans="29:36">
      <c r="AC5468" s="26"/>
      <c r="AE5468" s="26"/>
      <c r="AF5468" s="26"/>
      <c r="AJ5468" s="26"/>
    </row>
    <row r="5469" spans="29:36">
      <c r="AC5469" s="26"/>
      <c r="AE5469" s="26"/>
      <c r="AF5469" s="26"/>
      <c r="AJ5469" s="26"/>
    </row>
    <row r="5470" spans="29:36">
      <c r="AC5470" s="26"/>
      <c r="AE5470" s="26"/>
      <c r="AF5470" s="26"/>
      <c r="AJ5470" s="26"/>
    </row>
    <row r="5471" spans="29:36">
      <c r="AC5471" s="26"/>
      <c r="AE5471" s="26"/>
      <c r="AF5471" s="26"/>
      <c r="AJ5471" s="26"/>
    </row>
    <row r="5472" spans="29:36">
      <c r="AC5472" s="26"/>
      <c r="AE5472" s="26"/>
      <c r="AF5472" s="26"/>
      <c r="AJ5472" s="26"/>
    </row>
    <row r="5473" spans="29:36">
      <c r="AC5473" s="26"/>
      <c r="AE5473" s="26"/>
      <c r="AF5473" s="26"/>
      <c r="AJ5473" s="26"/>
    </row>
    <row r="5474" spans="29:36">
      <c r="AC5474" s="26"/>
      <c r="AE5474" s="26"/>
      <c r="AF5474" s="26"/>
      <c r="AJ5474" s="26"/>
    </row>
    <row r="5475" spans="29:36">
      <c r="AC5475" s="26"/>
      <c r="AE5475" s="26"/>
      <c r="AF5475" s="26"/>
      <c r="AJ5475" s="26"/>
    </row>
    <row r="5476" spans="29:36">
      <c r="AC5476" s="26"/>
      <c r="AE5476" s="26"/>
      <c r="AF5476" s="26"/>
      <c r="AJ5476" s="26"/>
    </row>
    <row r="5477" spans="29:36">
      <c r="AC5477" s="26"/>
      <c r="AE5477" s="26"/>
      <c r="AF5477" s="26"/>
      <c r="AJ5477" s="26"/>
    </row>
    <row r="5478" spans="29:36">
      <c r="AC5478" s="26"/>
      <c r="AE5478" s="26"/>
      <c r="AF5478" s="26"/>
      <c r="AJ5478" s="26"/>
    </row>
    <row r="5479" spans="29:36">
      <c r="AC5479" s="26"/>
      <c r="AE5479" s="26"/>
      <c r="AF5479" s="26"/>
      <c r="AJ5479" s="26"/>
    </row>
    <row r="5480" spans="29:36">
      <c r="AC5480" s="26"/>
      <c r="AE5480" s="26"/>
      <c r="AF5480" s="26"/>
      <c r="AJ5480" s="26"/>
    </row>
    <row r="5481" spans="29:36">
      <c r="AC5481" s="26"/>
      <c r="AE5481" s="26"/>
      <c r="AF5481" s="26"/>
      <c r="AJ5481" s="26"/>
    </row>
    <row r="5482" spans="29:36">
      <c r="AC5482" s="26"/>
      <c r="AE5482" s="26"/>
      <c r="AF5482" s="26"/>
      <c r="AJ5482" s="26"/>
    </row>
    <row r="5483" spans="29:36">
      <c r="AC5483" s="26"/>
      <c r="AE5483" s="26"/>
      <c r="AF5483" s="26"/>
      <c r="AJ5483" s="26"/>
    </row>
    <row r="5484" spans="29:36">
      <c r="AC5484" s="26"/>
      <c r="AE5484" s="26"/>
      <c r="AF5484" s="26"/>
      <c r="AJ5484" s="26"/>
    </row>
    <row r="5485" spans="29:36">
      <c r="AC5485" s="26"/>
      <c r="AE5485" s="26"/>
      <c r="AF5485" s="26"/>
      <c r="AJ5485" s="26"/>
    </row>
    <row r="5486" spans="29:36">
      <c r="AC5486" s="26"/>
      <c r="AE5486" s="26"/>
      <c r="AF5486" s="26"/>
      <c r="AJ5486" s="26"/>
    </row>
    <row r="5487" spans="29:36">
      <c r="AC5487" s="26"/>
      <c r="AE5487" s="26"/>
      <c r="AF5487" s="26"/>
      <c r="AJ5487" s="26"/>
    </row>
    <row r="5488" spans="29:36">
      <c r="AC5488" s="26"/>
      <c r="AE5488" s="26"/>
      <c r="AF5488" s="26"/>
      <c r="AJ5488" s="26"/>
    </row>
    <row r="5489" spans="29:36">
      <c r="AC5489" s="26"/>
      <c r="AE5489" s="26"/>
      <c r="AF5489" s="26"/>
      <c r="AJ5489" s="26"/>
    </row>
    <row r="5490" spans="29:36">
      <c r="AC5490" s="26"/>
      <c r="AE5490" s="26"/>
      <c r="AF5490" s="26"/>
      <c r="AJ5490" s="26"/>
    </row>
    <row r="5491" spans="29:36">
      <c r="AC5491" s="26"/>
      <c r="AE5491" s="26"/>
      <c r="AF5491" s="26"/>
      <c r="AJ5491" s="26"/>
    </row>
    <row r="5492" spans="29:36">
      <c r="AC5492" s="26"/>
      <c r="AE5492" s="26"/>
      <c r="AF5492" s="26"/>
      <c r="AJ5492" s="26"/>
    </row>
    <row r="5493" spans="29:36">
      <c r="AC5493" s="26"/>
      <c r="AE5493" s="26"/>
      <c r="AF5493" s="26"/>
      <c r="AJ5493" s="26"/>
    </row>
    <row r="5494" spans="29:36">
      <c r="AC5494" s="26"/>
      <c r="AE5494" s="26"/>
      <c r="AF5494" s="26"/>
      <c r="AJ5494" s="26"/>
    </row>
    <row r="5495" spans="29:36">
      <c r="AC5495" s="26"/>
      <c r="AE5495" s="26"/>
      <c r="AF5495" s="26"/>
      <c r="AJ5495" s="26"/>
    </row>
    <row r="5496" spans="29:36">
      <c r="AC5496" s="26"/>
      <c r="AE5496" s="26"/>
      <c r="AF5496" s="26"/>
      <c r="AJ5496" s="26"/>
    </row>
    <row r="5497" spans="29:36">
      <c r="AC5497" s="26"/>
      <c r="AE5497" s="26"/>
      <c r="AF5497" s="26"/>
      <c r="AJ5497" s="26"/>
    </row>
    <row r="5498" spans="29:36">
      <c r="AC5498" s="26"/>
      <c r="AE5498" s="26"/>
      <c r="AF5498" s="26"/>
      <c r="AJ5498" s="26"/>
    </row>
    <row r="5499" spans="29:36">
      <c r="AC5499" s="26"/>
      <c r="AE5499" s="26"/>
      <c r="AF5499" s="26"/>
      <c r="AJ5499" s="26"/>
    </row>
    <row r="5500" spans="29:36">
      <c r="AC5500" s="26"/>
      <c r="AE5500" s="26"/>
      <c r="AF5500" s="26"/>
      <c r="AJ5500" s="26"/>
    </row>
    <row r="5501" spans="29:36">
      <c r="AC5501" s="26"/>
      <c r="AE5501" s="26"/>
      <c r="AF5501" s="26"/>
      <c r="AJ5501" s="26"/>
    </row>
    <row r="5502" spans="29:36">
      <c r="AC5502" s="26"/>
      <c r="AE5502" s="26"/>
      <c r="AF5502" s="26"/>
      <c r="AJ5502" s="26"/>
    </row>
    <row r="5503" spans="29:36">
      <c r="AC5503" s="26"/>
      <c r="AE5503" s="26"/>
      <c r="AF5503" s="26"/>
      <c r="AJ5503" s="26"/>
    </row>
    <row r="5504" spans="29:36">
      <c r="AC5504" s="26"/>
      <c r="AE5504" s="26"/>
      <c r="AF5504" s="26"/>
      <c r="AJ5504" s="26"/>
    </row>
    <row r="5505" spans="29:36">
      <c r="AC5505" s="26"/>
      <c r="AE5505" s="26"/>
      <c r="AF5505" s="26"/>
      <c r="AJ5505" s="26"/>
    </row>
    <row r="5506" spans="29:36">
      <c r="AC5506" s="26"/>
      <c r="AE5506" s="26"/>
      <c r="AF5506" s="26"/>
      <c r="AJ5506" s="26"/>
    </row>
    <row r="5507" spans="29:36">
      <c r="AC5507" s="26"/>
      <c r="AE5507" s="26"/>
      <c r="AF5507" s="26"/>
      <c r="AJ5507" s="26"/>
    </row>
    <row r="5508" spans="29:36">
      <c r="AC5508" s="26"/>
      <c r="AE5508" s="26"/>
      <c r="AF5508" s="26"/>
      <c r="AJ5508" s="26"/>
    </row>
    <row r="5509" spans="29:36">
      <c r="AC5509" s="26"/>
      <c r="AE5509" s="26"/>
      <c r="AF5509" s="26"/>
      <c r="AJ5509" s="26"/>
    </row>
    <row r="5510" spans="29:36">
      <c r="AC5510" s="26"/>
      <c r="AE5510" s="26"/>
      <c r="AF5510" s="26"/>
      <c r="AJ5510" s="26"/>
    </row>
    <row r="5511" spans="29:36">
      <c r="AC5511" s="26"/>
      <c r="AE5511" s="26"/>
      <c r="AF5511" s="26"/>
      <c r="AJ5511" s="26"/>
    </row>
    <row r="5512" spans="29:36">
      <c r="AC5512" s="26"/>
      <c r="AE5512" s="26"/>
      <c r="AF5512" s="26"/>
      <c r="AJ5512" s="26"/>
    </row>
    <row r="5513" spans="29:36">
      <c r="AC5513" s="26"/>
      <c r="AE5513" s="26"/>
      <c r="AF5513" s="26"/>
      <c r="AJ5513" s="26"/>
    </row>
    <row r="5514" spans="29:36">
      <c r="AC5514" s="26"/>
      <c r="AE5514" s="26"/>
      <c r="AF5514" s="26"/>
      <c r="AJ5514" s="26"/>
    </row>
    <row r="5515" spans="29:36">
      <c r="AC5515" s="26"/>
      <c r="AE5515" s="26"/>
      <c r="AF5515" s="26"/>
      <c r="AJ5515" s="26"/>
    </row>
    <row r="5516" spans="29:36">
      <c r="AC5516" s="26"/>
      <c r="AE5516" s="26"/>
      <c r="AF5516" s="26"/>
      <c r="AJ5516" s="26"/>
    </row>
    <row r="5517" spans="29:36">
      <c r="AC5517" s="26"/>
      <c r="AE5517" s="26"/>
      <c r="AF5517" s="26"/>
      <c r="AJ5517" s="26"/>
    </row>
    <row r="5518" spans="29:36">
      <c r="AC5518" s="26"/>
      <c r="AE5518" s="26"/>
      <c r="AF5518" s="26"/>
      <c r="AJ5518" s="26"/>
    </row>
    <row r="5519" spans="29:36">
      <c r="AC5519" s="26"/>
      <c r="AE5519" s="26"/>
      <c r="AF5519" s="26"/>
      <c r="AJ5519" s="26"/>
    </row>
    <row r="5520" spans="29:36">
      <c r="AC5520" s="26"/>
      <c r="AE5520" s="26"/>
      <c r="AF5520" s="26"/>
      <c r="AJ5520" s="26"/>
    </row>
    <row r="5521" spans="29:36">
      <c r="AC5521" s="26"/>
      <c r="AE5521" s="26"/>
      <c r="AF5521" s="26"/>
      <c r="AJ5521" s="26"/>
    </row>
    <row r="5522" spans="29:36">
      <c r="AC5522" s="26"/>
      <c r="AE5522" s="26"/>
      <c r="AF5522" s="26"/>
      <c r="AJ5522" s="26"/>
    </row>
    <row r="5523" spans="29:36">
      <c r="AC5523" s="26"/>
      <c r="AE5523" s="26"/>
      <c r="AF5523" s="26"/>
      <c r="AJ5523" s="26"/>
    </row>
    <row r="5524" spans="29:36">
      <c r="AC5524" s="26"/>
      <c r="AE5524" s="26"/>
      <c r="AF5524" s="26"/>
      <c r="AJ5524" s="26"/>
    </row>
    <row r="5525" spans="29:36">
      <c r="AC5525" s="26"/>
      <c r="AE5525" s="26"/>
      <c r="AF5525" s="26"/>
      <c r="AJ5525" s="26"/>
    </row>
    <row r="5526" spans="29:36">
      <c r="AC5526" s="26"/>
      <c r="AE5526" s="26"/>
      <c r="AF5526" s="26"/>
      <c r="AJ5526" s="26"/>
    </row>
    <row r="5527" spans="29:36">
      <c r="AC5527" s="26"/>
      <c r="AE5527" s="26"/>
      <c r="AF5527" s="26"/>
      <c r="AJ5527" s="26"/>
    </row>
    <row r="5528" spans="29:36">
      <c r="AC5528" s="26"/>
      <c r="AE5528" s="26"/>
      <c r="AF5528" s="26"/>
      <c r="AJ5528" s="26"/>
    </row>
    <row r="5529" spans="29:36">
      <c r="AC5529" s="26"/>
      <c r="AE5529" s="26"/>
      <c r="AF5529" s="26"/>
      <c r="AJ5529" s="26"/>
    </row>
    <row r="5530" spans="29:36">
      <c r="AC5530" s="26"/>
      <c r="AE5530" s="26"/>
      <c r="AF5530" s="26"/>
      <c r="AJ5530" s="26"/>
    </row>
    <row r="5531" spans="29:36">
      <c r="AC5531" s="26"/>
      <c r="AE5531" s="26"/>
      <c r="AF5531" s="26"/>
      <c r="AJ5531" s="26"/>
    </row>
    <row r="5532" spans="29:36">
      <c r="AC5532" s="26"/>
      <c r="AE5532" s="26"/>
      <c r="AF5532" s="26"/>
      <c r="AJ5532" s="26"/>
    </row>
    <row r="5533" spans="29:36">
      <c r="AC5533" s="26"/>
      <c r="AE5533" s="26"/>
      <c r="AF5533" s="26"/>
      <c r="AJ5533" s="26"/>
    </row>
    <row r="5534" spans="29:36">
      <c r="AC5534" s="26"/>
      <c r="AE5534" s="26"/>
      <c r="AF5534" s="26"/>
      <c r="AJ5534" s="26"/>
    </row>
    <row r="5535" spans="29:36">
      <c r="AC5535" s="26"/>
      <c r="AE5535" s="26"/>
      <c r="AF5535" s="26"/>
      <c r="AJ5535" s="26"/>
    </row>
    <row r="5536" spans="29:36">
      <c r="AC5536" s="26"/>
      <c r="AE5536" s="26"/>
      <c r="AF5536" s="26"/>
      <c r="AJ5536" s="26"/>
    </row>
    <row r="5537" spans="29:36">
      <c r="AC5537" s="26"/>
      <c r="AE5537" s="26"/>
      <c r="AF5537" s="26"/>
      <c r="AJ5537" s="26"/>
    </row>
    <row r="5538" spans="29:36">
      <c r="AC5538" s="26"/>
      <c r="AE5538" s="26"/>
      <c r="AF5538" s="26"/>
      <c r="AJ5538" s="26"/>
    </row>
    <row r="5539" spans="29:36">
      <c r="AC5539" s="26"/>
      <c r="AE5539" s="26"/>
      <c r="AF5539" s="26"/>
      <c r="AJ5539" s="26"/>
    </row>
    <row r="5540" spans="29:36">
      <c r="AC5540" s="26"/>
      <c r="AE5540" s="26"/>
      <c r="AF5540" s="26"/>
      <c r="AJ5540" s="26"/>
    </row>
    <row r="5541" spans="29:36">
      <c r="AC5541" s="26"/>
      <c r="AE5541" s="26"/>
      <c r="AF5541" s="26"/>
      <c r="AJ5541" s="26"/>
    </row>
    <row r="5542" spans="29:36">
      <c r="AC5542" s="26"/>
      <c r="AE5542" s="26"/>
      <c r="AF5542" s="26"/>
      <c r="AJ5542" s="26"/>
    </row>
    <row r="5543" spans="29:36">
      <c r="AC5543" s="26"/>
      <c r="AE5543" s="26"/>
      <c r="AF5543" s="26"/>
      <c r="AJ5543" s="26"/>
    </row>
    <row r="5544" spans="29:36">
      <c r="AC5544" s="26"/>
      <c r="AE5544" s="26"/>
      <c r="AF5544" s="26"/>
      <c r="AJ5544" s="26"/>
    </row>
    <row r="5545" spans="29:36">
      <c r="AC5545" s="26"/>
      <c r="AE5545" s="26"/>
      <c r="AF5545" s="26"/>
      <c r="AJ5545" s="26"/>
    </row>
    <row r="5546" spans="29:36">
      <c r="AC5546" s="26"/>
      <c r="AE5546" s="26"/>
      <c r="AF5546" s="26"/>
      <c r="AJ5546" s="26"/>
    </row>
    <row r="5547" spans="29:36">
      <c r="AC5547" s="26"/>
      <c r="AE5547" s="26"/>
      <c r="AF5547" s="26"/>
      <c r="AJ5547" s="26"/>
    </row>
    <row r="5548" spans="29:36">
      <c r="AC5548" s="26"/>
      <c r="AE5548" s="26"/>
      <c r="AF5548" s="26"/>
      <c r="AJ5548" s="26"/>
    </row>
    <row r="5549" spans="29:36">
      <c r="AC5549" s="26"/>
      <c r="AE5549" s="26"/>
      <c r="AF5549" s="26"/>
      <c r="AJ5549" s="26"/>
    </row>
    <row r="5550" spans="29:36">
      <c r="AC5550" s="26"/>
      <c r="AE5550" s="26"/>
      <c r="AF5550" s="26"/>
      <c r="AJ5550" s="26"/>
    </row>
    <row r="5551" spans="29:36">
      <c r="AC5551" s="26"/>
      <c r="AE5551" s="26"/>
      <c r="AF5551" s="26"/>
      <c r="AJ5551" s="26"/>
    </row>
    <row r="5552" spans="29:36">
      <c r="AC5552" s="26"/>
      <c r="AE5552" s="26"/>
      <c r="AF5552" s="26"/>
      <c r="AJ5552" s="26"/>
    </row>
    <row r="5553" spans="29:36">
      <c r="AC5553" s="26"/>
      <c r="AE5553" s="26"/>
      <c r="AF5553" s="26"/>
      <c r="AJ5553" s="26"/>
    </row>
    <row r="5554" spans="29:36">
      <c r="AC5554" s="26"/>
      <c r="AE5554" s="26"/>
      <c r="AF5554" s="26"/>
      <c r="AJ5554" s="26"/>
    </row>
    <row r="5555" spans="29:36">
      <c r="AC5555" s="26"/>
      <c r="AE5555" s="26"/>
      <c r="AF5555" s="26"/>
      <c r="AJ5555" s="26"/>
    </row>
    <row r="5556" spans="29:36">
      <c r="AC5556" s="26"/>
      <c r="AE5556" s="26"/>
      <c r="AF5556" s="26"/>
      <c r="AJ5556" s="26"/>
    </row>
    <row r="5557" spans="29:36">
      <c r="AC5557" s="26"/>
      <c r="AE5557" s="26"/>
      <c r="AF5557" s="26"/>
      <c r="AJ5557" s="26"/>
    </row>
    <row r="5558" spans="29:36">
      <c r="AC5558" s="26"/>
      <c r="AE5558" s="26"/>
      <c r="AF5558" s="26"/>
      <c r="AJ5558" s="26"/>
    </row>
    <row r="5559" spans="29:36">
      <c r="AC5559" s="26"/>
      <c r="AE5559" s="26"/>
      <c r="AF5559" s="26"/>
      <c r="AJ5559" s="26"/>
    </row>
    <row r="5560" spans="29:36">
      <c r="AC5560" s="26"/>
      <c r="AE5560" s="26"/>
      <c r="AF5560" s="26"/>
      <c r="AJ5560" s="26"/>
    </row>
    <row r="5561" spans="29:36">
      <c r="AC5561" s="26"/>
      <c r="AE5561" s="26"/>
      <c r="AF5561" s="26"/>
      <c r="AJ5561" s="26"/>
    </row>
    <row r="5562" spans="29:36">
      <c r="AC5562" s="26"/>
      <c r="AE5562" s="26"/>
      <c r="AF5562" s="26"/>
      <c r="AJ5562" s="26"/>
    </row>
    <row r="5563" spans="29:36">
      <c r="AC5563" s="26"/>
      <c r="AE5563" s="26"/>
      <c r="AF5563" s="26"/>
      <c r="AJ5563" s="26"/>
    </row>
    <row r="5564" spans="29:36">
      <c r="AC5564" s="26"/>
      <c r="AE5564" s="26"/>
      <c r="AF5564" s="26"/>
      <c r="AJ5564" s="26"/>
    </row>
    <row r="5565" spans="29:36">
      <c r="AC5565" s="26"/>
      <c r="AE5565" s="26"/>
      <c r="AF5565" s="26"/>
      <c r="AJ5565" s="26"/>
    </row>
    <row r="5566" spans="29:36">
      <c r="AC5566" s="26"/>
      <c r="AE5566" s="26"/>
      <c r="AF5566" s="26"/>
      <c r="AJ5566" s="26"/>
    </row>
    <row r="5567" spans="29:36">
      <c r="AC5567" s="26"/>
      <c r="AE5567" s="26"/>
      <c r="AF5567" s="26"/>
      <c r="AJ5567" s="26"/>
    </row>
    <row r="5568" spans="29:36">
      <c r="AC5568" s="26"/>
      <c r="AE5568" s="26"/>
      <c r="AF5568" s="26"/>
      <c r="AJ5568" s="26"/>
    </row>
    <row r="5569" spans="29:36">
      <c r="AC5569" s="26"/>
      <c r="AE5569" s="26"/>
      <c r="AF5569" s="26"/>
      <c r="AJ5569" s="26"/>
    </row>
    <row r="5570" spans="29:36">
      <c r="AC5570" s="26"/>
      <c r="AE5570" s="26"/>
      <c r="AF5570" s="26"/>
      <c r="AJ5570" s="26"/>
    </row>
    <row r="5571" spans="29:36">
      <c r="AC5571" s="26"/>
      <c r="AE5571" s="26"/>
      <c r="AF5571" s="26"/>
      <c r="AJ5571" s="26"/>
    </row>
    <row r="5572" spans="29:36">
      <c r="AC5572" s="26"/>
      <c r="AE5572" s="26"/>
      <c r="AF5572" s="26"/>
      <c r="AJ5572" s="26"/>
    </row>
    <row r="5573" spans="29:36">
      <c r="AC5573" s="26"/>
      <c r="AE5573" s="26"/>
      <c r="AF5573" s="26"/>
      <c r="AJ5573" s="26"/>
    </row>
    <row r="5574" spans="29:36">
      <c r="AC5574" s="26"/>
      <c r="AE5574" s="26"/>
      <c r="AF5574" s="26"/>
      <c r="AJ5574" s="26"/>
    </row>
    <row r="5575" spans="29:36">
      <c r="AC5575" s="26"/>
      <c r="AE5575" s="26"/>
      <c r="AF5575" s="26"/>
      <c r="AJ5575" s="26"/>
    </row>
    <row r="5576" spans="29:36">
      <c r="AC5576" s="26"/>
      <c r="AE5576" s="26"/>
      <c r="AF5576" s="26"/>
      <c r="AJ5576" s="26"/>
    </row>
    <row r="5577" spans="29:36">
      <c r="AC5577" s="26"/>
      <c r="AE5577" s="26"/>
      <c r="AF5577" s="26"/>
      <c r="AJ5577" s="26"/>
    </row>
    <row r="5578" spans="29:36">
      <c r="AC5578" s="26"/>
      <c r="AE5578" s="26"/>
      <c r="AF5578" s="26"/>
      <c r="AJ5578" s="26"/>
    </row>
    <row r="5579" spans="29:36">
      <c r="AC5579" s="26"/>
      <c r="AE5579" s="26"/>
      <c r="AF5579" s="26"/>
      <c r="AJ5579" s="26"/>
    </row>
    <row r="5580" spans="29:36">
      <c r="AC5580" s="26"/>
      <c r="AE5580" s="26"/>
      <c r="AF5580" s="26"/>
      <c r="AJ5580" s="26"/>
    </row>
    <row r="5581" spans="29:36">
      <c r="AC5581" s="26"/>
      <c r="AE5581" s="26"/>
      <c r="AF5581" s="26"/>
      <c r="AJ5581" s="26"/>
    </row>
    <row r="5582" spans="29:36">
      <c r="AC5582" s="26"/>
      <c r="AE5582" s="26"/>
      <c r="AF5582" s="26"/>
      <c r="AJ5582" s="26"/>
    </row>
    <row r="5583" spans="29:36">
      <c r="AC5583" s="26"/>
      <c r="AE5583" s="26"/>
      <c r="AF5583" s="26"/>
      <c r="AJ5583" s="26"/>
    </row>
    <row r="5584" spans="29:36">
      <c r="AC5584" s="26"/>
      <c r="AE5584" s="26"/>
      <c r="AF5584" s="26"/>
      <c r="AJ5584" s="26"/>
    </row>
    <row r="5585" spans="29:36">
      <c r="AC5585" s="26"/>
      <c r="AE5585" s="26"/>
      <c r="AF5585" s="26"/>
      <c r="AJ5585" s="26"/>
    </row>
    <row r="5586" spans="29:36">
      <c r="AC5586" s="26"/>
      <c r="AE5586" s="26"/>
      <c r="AF5586" s="26"/>
      <c r="AJ5586" s="26"/>
    </row>
    <row r="5587" spans="29:36">
      <c r="AC5587" s="26"/>
      <c r="AE5587" s="26"/>
      <c r="AF5587" s="26"/>
      <c r="AJ5587" s="26"/>
    </row>
    <row r="5588" spans="29:36">
      <c r="AC5588" s="26"/>
      <c r="AE5588" s="26"/>
      <c r="AF5588" s="26"/>
      <c r="AJ5588" s="26"/>
    </row>
    <row r="5589" spans="29:36">
      <c r="AC5589" s="26"/>
      <c r="AE5589" s="26"/>
      <c r="AF5589" s="26"/>
      <c r="AJ5589" s="26"/>
    </row>
    <row r="5590" spans="29:36">
      <c r="AC5590" s="26"/>
      <c r="AE5590" s="26"/>
      <c r="AF5590" s="26"/>
      <c r="AJ5590" s="26"/>
    </row>
    <row r="5591" spans="29:36">
      <c r="AC5591" s="26"/>
      <c r="AE5591" s="26"/>
      <c r="AF5591" s="26"/>
      <c r="AJ5591" s="26"/>
    </row>
    <row r="5592" spans="29:36">
      <c r="AC5592" s="26"/>
      <c r="AE5592" s="26"/>
      <c r="AF5592" s="26"/>
      <c r="AJ5592" s="26"/>
    </row>
    <row r="5593" spans="29:36">
      <c r="AC5593" s="26"/>
      <c r="AE5593" s="26"/>
      <c r="AF5593" s="26"/>
      <c r="AJ5593" s="26"/>
    </row>
    <row r="5594" spans="29:36">
      <c r="AC5594" s="26"/>
      <c r="AE5594" s="26"/>
      <c r="AF5594" s="26"/>
      <c r="AJ5594" s="26"/>
    </row>
    <row r="5595" spans="29:36">
      <c r="AC5595" s="26"/>
      <c r="AE5595" s="26"/>
      <c r="AF5595" s="26"/>
      <c r="AJ5595" s="26"/>
    </row>
    <row r="5596" spans="29:36">
      <c r="AC5596" s="26"/>
      <c r="AE5596" s="26"/>
      <c r="AF5596" s="26"/>
      <c r="AJ5596" s="26"/>
    </row>
    <row r="5597" spans="29:36">
      <c r="AC5597" s="26"/>
      <c r="AE5597" s="26"/>
      <c r="AF5597" s="26"/>
      <c r="AJ5597" s="26"/>
    </row>
    <row r="5598" spans="29:36">
      <c r="AC5598" s="26"/>
      <c r="AE5598" s="26"/>
      <c r="AF5598" s="26"/>
      <c r="AJ5598" s="26"/>
    </row>
    <row r="5599" spans="29:36">
      <c r="AC5599" s="26"/>
      <c r="AE5599" s="26"/>
      <c r="AF5599" s="26"/>
      <c r="AJ5599" s="26"/>
    </row>
    <row r="5600" spans="29:36">
      <c r="AC5600" s="26"/>
      <c r="AE5600" s="26"/>
      <c r="AF5600" s="26"/>
      <c r="AJ5600" s="26"/>
    </row>
    <row r="5601" spans="29:36">
      <c r="AC5601" s="26"/>
      <c r="AE5601" s="26"/>
      <c r="AF5601" s="26"/>
      <c r="AJ5601" s="26"/>
    </row>
    <row r="5602" spans="29:36">
      <c r="AC5602" s="26"/>
      <c r="AE5602" s="26"/>
      <c r="AF5602" s="26"/>
      <c r="AJ5602" s="26"/>
    </row>
    <row r="5603" spans="29:36">
      <c r="AC5603" s="26"/>
      <c r="AE5603" s="26"/>
      <c r="AF5603" s="26"/>
      <c r="AJ5603" s="26"/>
    </row>
    <row r="5604" spans="29:36">
      <c r="AC5604" s="26"/>
      <c r="AE5604" s="26"/>
      <c r="AF5604" s="26"/>
      <c r="AJ5604" s="26"/>
    </row>
    <row r="5605" spans="29:36">
      <c r="AC5605" s="26"/>
      <c r="AE5605" s="26"/>
      <c r="AF5605" s="26"/>
      <c r="AJ5605" s="26"/>
    </row>
    <row r="5606" spans="29:36">
      <c r="AC5606" s="26"/>
      <c r="AE5606" s="26"/>
      <c r="AF5606" s="26"/>
      <c r="AJ5606" s="26"/>
    </row>
    <row r="5607" spans="29:36">
      <c r="AC5607" s="26"/>
      <c r="AE5607" s="26"/>
      <c r="AF5607" s="26"/>
      <c r="AJ5607" s="26"/>
    </row>
    <row r="5608" spans="29:36">
      <c r="AC5608" s="26"/>
      <c r="AE5608" s="26"/>
      <c r="AF5608" s="26"/>
      <c r="AJ5608" s="26"/>
    </row>
    <row r="5609" spans="29:36">
      <c r="AC5609" s="26"/>
      <c r="AE5609" s="26"/>
      <c r="AF5609" s="26"/>
      <c r="AJ5609" s="26"/>
    </row>
    <row r="5610" spans="29:36">
      <c r="AC5610" s="26"/>
      <c r="AE5610" s="26"/>
      <c r="AF5610" s="26"/>
      <c r="AJ5610" s="26"/>
    </row>
    <row r="5611" spans="29:36">
      <c r="AC5611" s="26"/>
      <c r="AE5611" s="26"/>
      <c r="AF5611" s="26"/>
      <c r="AJ5611" s="26"/>
    </row>
    <row r="5612" spans="29:36">
      <c r="AC5612" s="26"/>
      <c r="AE5612" s="26"/>
      <c r="AF5612" s="26"/>
      <c r="AJ5612" s="26"/>
    </row>
    <row r="5613" spans="29:36">
      <c r="AC5613" s="26"/>
      <c r="AE5613" s="26"/>
      <c r="AF5613" s="26"/>
      <c r="AJ5613" s="26"/>
    </row>
    <row r="5614" spans="29:36">
      <c r="AC5614" s="26"/>
      <c r="AE5614" s="26"/>
      <c r="AF5614" s="26"/>
      <c r="AJ5614" s="26"/>
    </row>
    <row r="5615" spans="29:36">
      <c r="AC5615" s="26"/>
      <c r="AE5615" s="26"/>
      <c r="AF5615" s="26"/>
      <c r="AJ5615" s="26"/>
    </row>
    <row r="5616" spans="29:36">
      <c r="AC5616" s="26"/>
      <c r="AE5616" s="26"/>
      <c r="AF5616" s="26"/>
      <c r="AJ5616" s="26"/>
    </row>
    <row r="5617" spans="29:36">
      <c r="AC5617" s="26"/>
      <c r="AE5617" s="26"/>
      <c r="AF5617" s="26"/>
      <c r="AJ5617" s="26"/>
    </row>
    <row r="5618" spans="29:36">
      <c r="AC5618" s="26"/>
      <c r="AE5618" s="26"/>
      <c r="AF5618" s="26"/>
      <c r="AJ5618" s="26"/>
    </row>
    <row r="5619" spans="29:36">
      <c r="AC5619" s="26"/>
      <c r="AE5619" s="26"/>
      <c r="AF5619" s="26"/>
      <c r="AJ5619" s="26"/>
    </row>
    <row r="5620" spans="29:36">
      <c r="AC5620" s="26"/>
      <c r="AE5620" s="26"/>
      <c r="AF5620" s="26"/>
      <c r="AJ5620" s="26"/>
    </row>
    <row r="5621" spans="29:36">
      <c r="AC5621" s="26"/>
      <c r="AE5621" s="26"/>
      <c r="AF5621" s="26"/>
      <c r="AJ5621" s="26"/>
    </row>
    <row r="5622" spans="29:36">
      <c r="AC5622" s="26"/>
      <c r="AE5622" s="26"/>
      <c r="AF5622" s="26"/>
      <c r="AJ5622" s="26"/>
    </row>
    <row r="5623" spans="29:36">
      <c r="AC5623" s="26"/>
      <c r="AE5623" s="26"/>
      <c r="AF5623" s="26"/>
      <c r="AJ5623" s="26"/>
    </row>
    <row r="5624" spans="29:36">
      <c r="AC5624" s="26"/>
      <c r="AE5624" s="26"/>
      <c r="AF5624" s="26"/>
      <c r="AJ5624" s="26"/>
    </row>
    <row r="5625" spans="29:36">
      <c r="AC5625" s="26"/>
      <c r="AE5625" s="26"/>
      <c r="AF5625" s="26"/>
      <c r="AJ5625" s="26"/>
    </row>
    <row r="5626" spans="29:36">
      <c r="AC5626" s="26"/>
      <c r="AE5626" s="26"/>
      <c r="AF5626" s="26"/>
      <c r="AJ5626" s="26"/>
    </row>
    <row r="5627" spans="29:36">
      <c r="AC5627" s="26"/>
      <c r="AE5627" s="26"/>
      <c r="AF5627" s="26"/>
      <c r="AJ5627" s="26"/>
    </row>
    <row r="5628" spans="29:36">
      <c r="AC5628" s="26"/>
      <c r="AE5628" s="26"/>
      <c r="AF5628" s="26"/>
      <c r="AJ5628" s="26"/>
    </row>
    <row r="5629" spans="29:36">
      <c r="AC5629" s="26"/>
      <c r="AE5629" s="26"/>
      <c r="AF5629" s="26"/>
      <c r="AJ5629" s="26"/>
    </row>
    <row r="5630" spans="29:36">
      <c r="AC5630" s="26"/>
      <c r="AE5630" s="26"/>
      <c r="AF5630" s="26"/>
      <c r="AJ5630" s="26"/>
    </row>
    <row r="5631" spans="29:36">
      <c r="AC5631" s="26"/>
      <c r="AE5631" s="26"/>
      <c r="AF5631" s="26"/>
      <c r="AJ5631" s="26"/>
    </row>
    <row r="5632" spans="29:36">
      <c r="AC5632" s="26"/>
      <c r="AE5632" s="26"/>
      <c r="AF5632" s="26"/>
      <c r="AJ5632" s="26"/>
    </row>
    <row r="5633" spans="29:36">
      <c r="AC5633" s="26"/>
      <c r="AE5633" s="26"/>
      <c r="AF5633" s="26"/>
      <c r="AJ5633" s="26"/>
    </row>
    <row r="5634" spans="29:36">
      <c r="AC5634" s="26"/>
      <c r="AE5634" s="26"/>
      <c r="AF5634" s="26"/>
      <c r="AJ5634" s="26"/>
    </row>
    <row r="5635" spans="29:36">
      <c r="AC5635" s="26"/>
      <c r="AE5635" s="26"/>
      <c r="AF5635" s="26"/>
      <c r="AJ5635" s="26"/>
    </row>
    <row r="5636" spans="29:36">
      <c r="AC5636" s="26"/>
      <c r="AE5636" s="26"/>
      <c r="AF5636" s="26"/>
      <c r="AJ5636" s="26"/>
    </row>
    <row r="5637" spans="29:36">
      <c r="AC5637" s="26"/>
      <c r="AE5637" s="26"/>
      <c r="AF5637" s="26"/>
      <c r="AJ5637" s="26"/>
    </row>
    <row r="5638" spans="29:36">
      <c r="AC5638" s="26"/>
      <c r="AE5638" s="26"/>
      <c r="AF5638" s="26"/>
      <c r="AJ5638" s="26"/>
    </row>
    <row r="5639" spans="29:36">
      <c r="AC5639" s="26"/>
      <c r="AE5639" s="26"/>
      <c r="AF5639" s="26"/>
      <c r="AJ5639" s="26"/>
    </row>
    <row r="5640" spans="29:36">
      <c r="AC5640" s="26"/>
      <c r="AE5640" s="26"/>
      <c r="AF5640" s="26"/>
      <c r="AJ5640" s="26"/>
    </row>
    <row r="5641" spans="29:36">
      <c r="AC5641" s="26"/>
      <c r="AE5641" s="26"/>
      <c r="AF5641" s="26"/>
      <c r="AJ5641" s="26"/>
    </row>
    <row r="5642" spans="29:36">
      <c r="AC5642" s="26"/>
      <c r="AE5642" s="26"/>
      <c r="AF5642" s="26"/>
      <c r="AJ5642" s="26"/>
    </row>
    <row r="5643" spans="29:36">
      <c r="AC5643" s="26"/>
      <c r="AE5643" s="26"/>
      <c r="AF5643" s="26"/>
      <c r="AJ5643" s="26"/>
    </row>
    <row r="5644" spans="29:36">
      <c r="AC5644" s="26"/>
      <c r="AE5644" s="26"/>
      <c r="AF5644" s="26"/>
      <c r="AJ5644" s="26"/>
    </row>
    <row r="5645" spans="29:36">
      <c r="AC5645" s="26"/>
      <c r="AE5645" s="26"/>
      <c r="AF5645" s="26"/>
      <c r="AJ5645" s="26"/>
    </row>
    <row r="5646" spans="29:36">
      <c r="AC5646" s="26"/>
      <c r="AE5646" s="26"/>
      <c r="AF5646" s="26"/>
      <c r="AJ5646" s="26"/>
    </row>
    <row r="5647" spans="29:36">
      <c r="AC5647" s="26"/>
      <c r="AE5647" s="26"/>
      <c r="AF5647" s="26"/>
      <c r="AJ5647" s="26"/>
    </row>
    <row r="5648" spans="29:36">
      <c r="AC5648" s="26"/>
      <c r="AE5648" s="26"/>
      <c r="AF5648" s="26"/>
      <c r="AJ5648" s="26"/>
    </row>
    <row r="5649" spans="29:36">
      <c r="AC5649" s="26"/>
      <c r="AE5649" s="26"/>
      <c r="AF5649" s="26"/>
      <c r="AJ5649" s="26"/>
    </row>
    <row r="5650" spans="29:36">
      <c r="AC5650" s="26"/>
      <c r="AE5650" s="26"/>
      <c r="AF5650" s="26"/>
      <c r="AJ5650" s="26"/>
    </row>
    <row r="5651" spans="29:36">
      <c r="AC5651" s="26"/>
      <c r="AE5651" s="26"/>
      <c r="AF5651" s="26"/>
      <c r="AJ5651" s="26"/>
    </row>
    <row r="5652" spans="29:36">
      <c r="AC5652" s="26"/>
      <c r="AE5652" s="26"/>
      <c r="AF5652" s="26"/>
      <c r="AJ5652" s="26"/>
    </row>
    <row r="5653" spans="29:36">
      <c r="AC5653" s="26"/>
      <c r="AE5653" s="26"/>
      <c r="AF5653" s="26"/>
      <c r="AJ5653" s="26"/>
    </row>
    <row r="5654" spans="29:36">
      <c r="AC5654" s="26"/>
      <c r="AE5654" s="26"/>
      <c r="AF5654" s="26"/>
      <c r="AJ5654" s="26"/>
    </row>
    <row r="5655" spans="29:36">
      <c r="AC5655" s="26"/>
      <c r="AE5655" s="26"/>
      <c r="AF5655" s="26"/>
      <c r="AJ5655" s="26"/>
    </row>
    <row r="5656" spans="29:36">
      <c r="AC5656" s="26"/>
      <c r="AE5656" s="26"/>
      <c r="AF5656" s="26"/>
      <c r="AJ5656" s="26"/>
    </row>
    <row r="5657" spans="29:36">
      <c r="AC5657" s="26"/>
      <c r="AE5657" s="26"/>
      <c r="AF5657" s="26"/>
      <c r="AJ5657" s="26"/>
    </row>
    <row r="5658" spans="29:36">
      <c r="AC5658" s="26"/>
      <c r="AE5658" s="26"/>
      <c r="AF5658" s="26"/>
      <c r="AJ5658" s="26"/>
    </row>
    <row r="5659" spans="29:36">
      <c r="AC5659" s="26"/>
      <c r="AE5659" s="26"/>
      <c r="AF5659" s="26"/>
      <c r="AJ5659" s="26"/>
    </row>
    <row r="5660" spans="29:36">
      <c r="AC5660" s="26"/>
      <c r="AE5660" s="26"/>
      <c r="AF5660" s="26"/>
      <c r="AJ5660" s="26"/>
    </row>
    <row r="5661" spans="29:36">
      <c r="AC5661" s="26"/>
      <c r="AE5661" s="26"/>
      <c r="AF5661" s="26"/>
      <c r="AJ5661" s="26"/>
    </row>
    <row r="5662" spans="29:36">
      <c r="AC5662" s="26"/>
      <c r="AE5662" s="26"/>
      <c r="AF5662" s="26"/>
      <c r="AJ5662" s="26"/>
    </row>
    <row r="5663" spans="29:36">
      <c r="AC5663" s="26"/>
      <c r="AE5663" s="26"/>
      <c r="AF5663" s="26"/>
      <c r="AJ5663" s="26"/>
    </row>
    <row r="5664" spans="29:36">
      <c r="AC5664" s="26"/>
      <c r="AE5664" s="26"/>
      <c r="AF5664" s="26"/>
      <c r="AJ5664" s="26"/>
    </row>
    <row r="5665" spans="29:36">
      <c r="AC5665" s="26"/>
      <c r="AE5665" s="26"/>
      <c r="AF5665" s="26"/>
      <c r="AJ5665" s="26"/>
    </row>
    <row r="5666" spans="29:36">
      <c r="AC5666" s="26"/>
      <c r="AE5666" s="26"/>
      <c r="AF5666" s="26"/>
      <c r="AJ5666" s="26"/>
    </row>
    <row r="5667" spans="29:36">
      <c r="AC5667" s="26"/>
      <c r="AE5667" s="26"/>
      <c r="AF5667" s="26"/>
      <c r="AJ5667" s="26"/>
    </row>
    <row r="5668" spans="29:36">
      <c r="AC5668" s="26"/>
      <c r="AE5668" s="26"/>
      <c r="AF5668" s="26"/>
      <c r="AJ5668" s="26"/>
    </row>
    <row r="5669" spans="29:36">
      <c r="AC5669" s="26"/>
      <c r="AE5669" s="26"/>
      <c r="AF5669" s="26"/>
      <c r="AJ5669" s="26"/>
    </row>
    <row r="5670" spans="29:36">
      <c r="AC5670" s="26"/>
      <c r="AE5670" s="26"/>
      <c r="AF5670" s="26"/>
      <c r="AJ5670" s="26"/>
    </row>
    <row r="5671" spans="29:36">
      <c r="AC5671" s="26"/>
      <c r="AE5671" s="26"/>
      <c r="AF5671" s="26"/>
      <c r="AJ5671" s="26"/>
    </row>
    <row r="5672" spans="29:36">
      <c r="AC5672" s="26"/>
      <c r="AE5672" s="26"/>
      <c r="AF5672" s="26"/>
      <c r="AJ5672" s="26"/>
    </row>
    <row r="5673" spans="29:36">
      <c r="AC5673" s="26"/>
      <c r="AE5673" s="26"/>
      <c r="AF5673" s="26"/>
      <c r="AJ5673" s="26"/>
    </row>
    <row r="5674" spans="29:36">
      <c r="AC5674" s="26"/>
      <c r="AE5674" s="26"/>
      <c r="AF5674" s="26"/>
      <c r="AJ5674" s="26"/>
    </row>
    <row r="5675" spans="29:36">
      <c r="AC5675" s="26"/>
      <c r="AE5675" s="26"/>
      <c r="AF5675" s="26"/>
      <c r="AJ5675" s="26"/>
    </row>
    <row r="5676" spans="29:36">
      <c r="AC5676" s="26"/>
      <c r="AE5676" s="26"/>
      <c r="AF5676" s="26"/>
      <c r="AJ5676" s="26"/>
    </row>
    <row r="5677" spans="29:36">
      <c r="AC5677" s="26"/>
      <c r="AE5677" s="26"/>
      <c r="AF5677" s="26"/>
      <c r="AJ5677" s="26"/>
    </row>
    <row r="5678" spans="29:36">
      <c r="AC5678" s="26"/>
      <c r="AE5678" s="26"/>
      <c r="AF5678" s="26"/>
      <c r="AJ5678" s="26"/>
    </row>
    <row r="5679" spans="29:36">
      <c r="AC5679" s="26"/>
      <c r="AE5679" s="26"/>
      <c r="AF5679" s="26"/>
      <c r="AJ5679" s="26"/>
    </row>
    <row r="5680" spans="29:36">
      <c r="AC5680" s="26"/>
      <c r="AE5680" s="26"/>
      <c r="AF5680" s="26"/>
      <c r="AJ5680" s="26"/>
    </row>
    <row r="5681" spans="29:36">
      <c r="AC5681" s="26"/>
      <c r="AE5681" s="26"/>
      <c r="AF5681" s="26"/>
      <c r="AJ5681" s="26"/>
    </row>
    <row r="5682" spans="29:36">
      <c r="AC5682" s="26"/>
      <c r="AE5682" s="26"/>
      <c r="AF5682" s="26"/>
      <c r="AJ5682" s="26"/>
    </row>
    <row r="5683" spans="29:36">
      <c r="AC5683" s="26"/>
      <c r="AE5683" s="26"/>
      <c r="AF5683" s="26"/>
      <c r="AJ5683" s="26"/>
    </row>
    <row r="5684" spans="29:36">
      <c r="AC5684" s="26"/>
      <c r="AE5684" s="26"/>
      <c r="AF5684" s="26"/>
      <c r="AJ5684" s="26"/>
    </row>
    <row r="5685" spans="29:36">
      <c r="AC5685" s="26"/>
      <c r="AE5685" s="26"/>
      <c r="AF5685" s="26"/>
      <c r="AJ5685" s="26"/>
    </row>
    <row r="5686" spans="29:36">
      <c r="AC5686" s="26"/>
      <c r="AE5686" s="26"/>
      <c r="AF5686" s="26"/>
      <c r="AJ5686" s="26"/>
    </row>
    <row r="5687" spans="29:36">
      <c r="AC5687" s="26"/>
      <c r="AE5687" s="26"/>
      <c r="AF5687" s="26"/>
      <c r="AJ5687" s="26"/>
    </row>
    <row r="5688" spans="29:36">
      <c r="AC5688" s="26"/>
      <c r="AE5688" s="26"/>
      <c r="AF5688" s="26"/>
      <c r="AJ5688" s="26"/>
    </row>
    <row r="5689" spans="29:36">
      <c r="AC5689" s="26"/>
      <c r="AE5689" s="26"/>
      <c r="AF5689" s="26"/>
      <c r="AJ5689" s="26"/>
    </row>
    <row r="5690" spans="29:36">
      <c r="AC5690" s="26"/>
      <c r="AE5690" s="26"/>
      <c r="AF5690" s="26"/>
      <c r="AJ5690" s="26"/>
    </row>
    <row r="5691" spans="29:36">
      <c r="AC5691" s="26"/>
      <c r="AE5691" s="26"/>
      <c r="AF5691" s="26"/>
      <c r="AJ5691" s="26"/>
    </row>
    <row r="5692" spans="29:36">
      <c r="AC5692" s="26"/>
      <c r="AE5692" s="26"/>
      <c r="AF5692" s="26"/>
      <c r="AJ5692" s="26"/>
    </row>
    <row r="5693" spans="29:36">
      <c r="AC5693" s="26"/>
      <c r="AE5693" s="26"/>
      <c r="AF5693" s="26"/>
      <c r="AJ5693" s="26"/>
    </row>
    <row r="5694" spans="29:36">
      <c r="AC5694" s="26"/>
      <c r="AE5694" s="26"/>
      <c r="AF5694" s="26"/>
      <c r="AJ5694" s="26"/>
    </row>
    <row r="5695" spans="29:36">
      <c r="AC5695" s="26"/>
      <c r="AE5695" s="26"/>
      <c r="AF5695" s="26"/>
      <c r="AJ5695" s="26"/>
    </row>
    <row r="5696" spans="29:36">
      <c r="AC5696" s="26"/>
      <c r="AE5696" s="26"/>
      <c r="AF5696" s="26"/>
      <c r="AJ5696" s="26"/>
    </row>
    <row r="5697" spans="29:36">
      <c r="AC5697" s="26"/>
      <c r="AE5697" s="26"/>
      <c r="AF5697" s="26"/>
      <c r="AJ5697" s="26"/>
    </row>
    <row r="5698" spans="29:36">
      <c r="AC5698" s="26"/>
      <c r="AE5698" s="26"/>
      <c r="AF5698" s="26"/>
      <c r="AJ5698" s="26"/>
    </row>
    <row r="5699" spans="29:36">
      <c r="AC5699" s="26"/>
      <c r="AE5699" s="26"/>
      <c r="AF5699" s="26"/>
      <c r="AJ5699" s="26"/>
    </row>
    <row r="5700" spans="29:36">
      <c r="AC5700" s="26"/>
      <c r="AE5700" s="26"/>
      <c r="AF5700" s="26"/>
      <c r="AJ5700" s="26"/>
    </row>
    <row r="5701" spans="29:36">
      <c r="AC5701" s="26"/>
      <c r="AE5701" s="26"/>
      <c r="AF5701" s="26"/>
      <c r="AJ5701" s="26"/>
    </row>
    <row r="5702" spans="29:36">
      <c r="AC5702" s="26"/>
      <c r="AE5702" s="26"/>
      <c r="AF5702" s="26"/>
      <c r="AJ5702" s="26"/>
    </row>
    <row r="5703" spans="29:36">
      <c r="AC5703" s="26"/>
      <c r="AE5703" s="26"/>
      <c r="AF5703" s="26"/>
      <c r="AJ5703" s="26"/>
    </row>
    <row r="5704" spans="29:36">
      <c r="AC5704" s="26"/>
      <c r="AE5704" s="26"/>
      <c r="AF5704" s="26"/>
      <c r="AJ5704" s="26"/>
    </row>
    <row r="5705" spans="29:36">
      <c r="AC5705" s="26"/>
      <c r="AE5705" s="26"/>
      <c r="AF5705" s="26"/>
      <c r="AJ5705" s="26"/>
    </row>
    <row r="5706" spans="29:36">
      <c r="AC5706" s="26"/>
      <c r="AE5706" s="26"/>
      <c r="AF5706" s="26"/>
      <c r="AJ5706" s="26"/>
    </row>
    <row r="5707" spans="29:36">
      <c r="AC5707" s="26"/>
      <c r="AE5707" s="26"/>
      <c r="AF5707" s="26"/>
      <c r="AJ5707" s="26"/>
    </row>
    <row r="5708" spans="29:36">
      <c r="AC5708" s="26"/>
      <c r="AE5708" s="26"/>
      <c r="AF5708" s="26"/>
      <c r="AJ5708" s="26"/>
    </row>
    <row r="5709" spans="29:36">
      <c r="AC5709" s="26"/>
      <c r="AE5709" s="26"/>
      <c r="AF5709" s="26"/>
      <c r="AJ5709" s="26"/>
    </row>
    <row r="5710" spans="29:36">
      <c r="AC5710" s="26"/>
      <c r="AE5710" s="26"/>
      <c r="AF5710" s="26"/>
      <c r="AJ5710" s="26"/>
    </row>
    <row r="5711" spans="29:36">
      <c r="AC5711" s="26"/>
      <c r="AE5711" s="26"/>
      <c r="AF5711" s="26"/>
      <c r="AJ5711" s="26"/>
    </row>
    <row r="5712" spans="29:36">
      <c r="AC5712" s="26"/>
      <c r="AE5712" s="26"/>
      <c r="AF5712" s="26"/>
      <c r="AJ5712" s="26"/>
    </row>
    <row r="5713" spans="29:36">
      <c r="AC5713" s="26"/>
      <c r="AE5713" s="26"/>
      <c r="AF5713" s="26"/>
      <c r="AJ5713" s="26"/>
    </row>
    <row r="5714" spans="29:36">
      <c r="AC5714" s="26"/>
      <c r="AE5714" s="26"/>
      <c r="AF5714" s="26"/>
      <c r="AJ5714" s="26"/>
    </row>
    <row r="5715" spans="29:36">
      <c r="AC5715" s="26"/>
      <c r="AE5715" s="26"/>
      <c r="AF5715" s="26"/>
      <c r="AJ5715" s="26"/>
    </row>
    <row r="5716" spans="29:36">
      <c r="AC5716" s="26"/>
      <c r="AE5716" s="26"/>
      <c r="AF5716" s="26"/>
      <c r="AJ5716" s="26"/>
    </row>
    <row r="5717" spans="29:36">
      <c r="AC5717" s="26"/>
      <c r="AE5717" s="26"/>
      <c r="AF5717" s="26"/>
      <c r="AJ5717" s="26"/>
    </row>
    <row r="5718" spans="29:36">
      <c r="AC5718" s="26"/>
      <c r="AE5718" s="26"/>
      <c r="AF5718" s="26"/>
      <c r="AJ5718" s="26"/>
    </row>
    <row r="5719" spans="29:36">
      <c r="AC5719" s="26"/>
      <c r="AE5719" s="26"/>
      <c r="AF5719" s="26"/>
      <c r="AJ5719" s="26"/>
    </row>
    <row r="5720" spans="29:36">
      <c r="AC5720" s="26"/>
      <c r="AE5720" s="26"/>
      <c r="AF5720" s="26"/>
      <c r="AJ5720" s="26"/>
    </row>
    <row r="5721" spans="29:36">
      <c r="AC5721" s="26"/>
      <c r="AE5721" s="26"/>
      <c r="AF5721" s="26"/>
      <c r="AJ5721" s="26"/>
    </row>
    <row r="5722" spans="29:36">
      <c r="AC5722" s="26"/>
      <c r="AE5722" s="26"/>
      <c r="AF5722" s="26"/>
      <c r="AJ5722" s="26"/>
    </row>
    <row r="5723" spans="29:36">
      <c r="AC5723" s="26"/>
      <c r="AE5723" s="26"/>
      <c r="AF5723" s="26"/>
      <c r="AJ5723" s="26"/>
    </row>
    <row r="5724" spans="29:36">
      <c r="AC5724" s="26"/>
      <c r="AE5724" s="26"/>
      <c r="AF5724" s="26"/>
      <c r="AJ5724" s="26"/>
    </row>
    <row r="5725" spans="29:36">
      <c r="AC5725" s="26"/>
      <c r="AE5725" s="26"/>
      <c r="AF5725" s="26"/>
      <c r="AJ5725" s="26"/>
    </row>
    <row r="5726" spans="29:36">
      <c r="AC5726" s="26"/>
      <c r="AE5726" s="26"/>
      <c r="AF5726" s="26"/>
      <c r="AJ5726" s="26"/>
    </row>
    <row r="5727" spans="29:36">
      <c r="AC5727" s="26"/>
      <c r="AE5727" s="26"/>
      <c r="AF5727" s="26"/>
      <c r="AJ5727" s="26"/>
    </row>
    <row r="5728" spans="29:36">
      <c r="AC5728" s="26"/>
      <c r="AE5728" s="26"/>
      <c r="AF5728" s="26"/>
      <c r="AJ5728" s="26"/>
    </row>
    <row r="5729" spans="29:36">
      <c r="AC5729" s="26"/>
      <c r="AE5729" s="26"/>
      <c r="AF5729" s="26"/>
      <c r="AJ5729" s="26"/>
    </row>
    <row r="5730" spans="29:36">
      <c r="AC5730" s="26"/>
      <c r="AE5730" s="26"/>
      <c r="AF5730" s="26"/>
      <c r="AJ5730" s="26"/>
    </row>
    <row r="5731" spans="29:36">
      <c r="AC5731" s="26"/>
      <c r="AE5731" s="26"/>
      <c r="AF5731" s="26"/>
      <c r="AJ5731" s="26"/>
    </row>
    <row r="5732" spans="29:36">
      <c r="AC5732" s="26"/>
      <c r="AE5732" s="26"/>
      <c r="AF5732" s="26"/>
      <c r="AJ5732" s="26"/>
    </row>
    <row r="5733" spans="29:36">
      <c r="AC5733" s="26"/>
      <c r="AE5733" s="26"/>
      <c r="AF5733" s="26"/>
      <c r="AJ5733" s="26"/>
    </row>
    <row r="5734" spans="29:36">
      <c r="AC5734" s="26"/>
      <c r="AE5734" s="26"/>
      <c r="AF5734" s="26"/>
      <c r="AJ5734" s="26"/>
    </row>
    <row r="5735" spans="29:36">
      <c r="AC5735" s="26"/>
      <c r="AE5735" s="26"/>
      <c r="AF5735" s="26"/>
      <c r="AJ5735" s="26"/>
    </row>
    <row r="5736" spans="29:36">
      <c r="AC5736" s="26"/>
      <c r="AE5736" s="26"/>
      <c r="AF5736" s="26"/>
      <c r="AJ5736" s="26"/>
    </row>
    <row r="5737" spans="29:36">
      <c r="AC5737" s="26"/>
      <c r="AE5737" s="26"/>
      <c r="AF5737" s="26"/>
      <c r="AJ5737" s="26"/>
    </row>
    <row r="5738" spans="29:36">
      <c r="AC5738" s="26"/>
      <c r="AE5738" s="26"/>
      <c r="AF5738" s="26"/>
      <c r="AJ5738" s="26"/>
    </row>
    <row r="5739" spans="29:36">
      <c r="AC5739" s="26"/>
      <c r="AE5739" s="26"/>
      <c r="AF5739" s="26"/>
      <c r="AJ5739" s="26"/>
    </row>
    <row r="5740" spans="29:36">
      <c r="AC5740" s="26"/>
      <c r="AE5740" s="26"/>
      <c r="AF5740" s="26"/>
      <c r="AJ5740" s="26"/>
    </row>
    <row r="5741" spans="29:36">
      <c r="AC5741" s="26"/>
      <c r="AE5741" s="26"/>
      <c r="AF5741" s="26"/>
      <c r="AJ5741" s="26"/>
    </row>
    <row r="5742" spans="29:36">
      <c r="AC5742" s="26"/>
      <c r="AE5742" s="26"/>
      <c r="AF5742" s="26"/>
      <c r="AJ5742" s="26"/>
    </row>
    <row r="5743" spans="29:36">
      <c r="AC5743" s="26"/>
      <c r="AE5743" s="26"/>
      <c r="AF5743" s="26"/>
      <c r="AJ5743" s="26"/>
    </row>
    <row r="5744" spans="29:36">
      <c r="AC5744" s="26"/>
      <c r="AE5744" s="26"/>
      <c r="AF5744" s="26"/>
      <c r="AJ5744" s="26"/>
    </row>
    <row r="5745" spans="29:36">
      <c r="AC5745" s="26"/>
      <c r="AE5745" s="26"/>
      <c r="AF5745" s="26"/>
      <c r="AJ5745" s="26"/>
    </row>
    <row r="5746" spans="29:36">
      <c r="AC5746" s="26"/>
      <c r="AE5746" s="26"/>
      <c r="AF5746" s="26"/>
      <c r="AJ5746" s="26"/>
    </row>
    <row r="5747" spans="29:36">
      <c r="AC5747" s="26"/>
      <c r="AE5747" s="26"/>
      <c r="AF5747" s="26"/>
      <c r="AJ5747" s="26"/>
    </row>
    <row r="5748" spans="29:36">
      <c r="AC5748" s="26"/>
      <c r="AE5748" s="26"/>
      <c r="AF5748" s="26"/>
      <c r="AJ5748" s="26"/>
    </row>
    <row r="5749" spans="29:36">
      <c r="AC5749" s="26"/>
      <c r="AE5749" s="26"/>
      <c r="AF5749" s="26"/>
      <c r="AJ5749" s="26"/>
    </row>
    <row r="5750" spans="29:36">
      <c r="AC5750" s="26"/>
      <c r="AE5750" s="26"/>
      <c r="AF5750" s="26"/>
      <c r="AJ5750" s="26"/>
    </row>
    <row r="5751" spans="29:36">
      <c r="AC5751" s="26"/>
      <c r="AE5751" s="26"/>
      <c r="AF5751" s="26"/>
      <c r="AJ5751" s="26"/>
    </row>
    <row r="5752" spans="29:36">
      <c r="AC5752" s="26"/>
      <c r="AE5752" s="26"/>
      <c r="AF5752" s="26"/>
      <c r="AJ5752" s="26"/>
    </row>
    <row r="5753" spans="29:36">
      <c r="AC5753" s="26"/>
      <c r="AE5753" s="26"/>
      <c r="AF5753" s="26"/>
      <c r="AJ5753" s="26"/>
    </row>
    <row r="5754" spans="29:36">
      <c r="AC5754" s="26"/>
      <c r="AE5754" s="26"/>
      <c r="AF5754" s="26"/>
      <c r="AJ5754" s="26"/>
    </row>
    <row r="5755" spans="29:36">
      <c r="AC5755" s="26"/>
      <c r="AE5755" s="26"/>
      <c r="AF5755" s="26"/>
      <c r="AJ5755" s="26"/>
    </row>
    <row r="5756" spans="29:36">
      <c r="AC5756" s="26"/>
      <c r="AE5756" s="26"/>
      <c r="AF5756" s="26"/>
      <c r="AJ5756" s="26"/>
    </row>
    <row r="5757" spans="29:36">
      <c r="AC5757" s="26"/>
      <c r="AE5757" s="26"/>
      <c r="AF5757" s="26"/>
      <c r="AJ5757" s="26"/>
    </row>
    <row r="5758" spans="29:36">
      <c r="AC5758" s="26"/>
      <c r="AE5758" s="26"/>
      <c r="AF5758" s="26"/>
      <c r="AJ5758" s="26"/>
    </row>
    <row r="5759" spans="29:36">
      <c r="AC5759" s="26"/>
      <c r="AE5759" s="26"/>
      <c r="AF5759" s="26"/>
      <c r="AJ5759" s="26"/>
    </row>
    <row r="5760" spans="29:36">
      <c r="AC5760" s="26"/>
      <c r="AE5760" s="26"/>
      <c r="AF5760" s="26"/>
      <c r="AJ5760" s="26"/>
    </row>
    <row r="5761" spans="29:36">
      <c r="AC5761" s="26"/>
      <c r="AE5761" s="26"/>
      <c r="AF5761" s="26"/>
      <c r="AJ5761" s="26"/>
    </row>
    <row r="5762" spans="29:36">
      <c r="AC5762" s="26"/>
      <c r="AE5762" s="26"/>
      <c r="AF5762" s="26"/>
      <c r="AJ5762" s="26"/>
    </row>
    <row r="5763" spans="29:36">
      <c r="AC5763" s="26"/>
      <c r="AE5763" s="26"/>
      <c r="AF5763" s="26"/>
      <c r="AJ5763" s="26"/>
    </row>
    <row r="5764" spans="29:36">
      <c r="AC5764" s="26"/>
      <c r="AE5764" s="26"/>
      <c r="AF5764" s="26"/>
      <c r="AJ5764" s="26"/>
    </row>
    <row r="5765" spans="29:36">
      <c r="AC5765" s="26"/>
      <c r="AE5765" s="26"/>
      <c r="AF5765" s="26"/>
      <c r="AJ5765" s="26"/>
    </row>
    <row r="5766" spans="29:36">
      <c r="AC5766" s="26"/>
      <c r="AE5766" s="26"/>
      <c r="AF5766" s="26"/>
      <c r="AJ5766" s="26"/>
    </row>
    <row r="5767" spans="29:36">
      <c r="AC5767" s="26"/>
      <c r="AE5767" s="26"/>
      <c r="AF5767" s="26"/>
      <c r="AJ5767" s="26"/>
    </row>
    <row r="5768" spans="29:36">
      <c r="AC5768" s="26"/>
      <c r="AE5768" s="26"/>
      <c r="AF5768" s="26"/>
      <c r="AJ5768" s="26"/>
    </row>
    <row r="5769" spans="29:36">
      <c r="AC5769" s="26"/>
      <c r="AE5769" s="26"/>
      <c r="AF5769" s="26"/>
      <c r="AJ5769" s="26"/>
    </row>
    <row r="5770" spans="29:36">
      <c r="AC5770" s="26"/>
      <c r="AE5770" s="26"/>
      <c r="AF5770" s="26"/>
      <c r="AJ5770" s="26"/>
    </row>
    <row r="5771" spans="29:36">
      <c r="AC5771" s="26"/>
      <c r="AE5771" s="26"/>
      <c r="AF5771" s="26"/>
      <c r="AJ5771" s="26"/>
    </row>
    <row r="5772" spans="29:36">
      <c r="AC5772" s="26"/>
      <c r="AE5772" s="26"/>
      <c r="AF5772" s="26"/>
      <c r="AJ5772" s="26"/>
    </row>
    <row r="5773" spans="29:36">
      <c r="AC5773" s="26"/>
      <c r="AE5773" s="26"/>
      <c r="AF5773" s="26"/>
      <c r="AJ5773" s="26"/>
    </row>
    <row r="5774" spans="29:36">
      <c r="AC5774" s="26"/>
      <c r="AE5774" s="26"/>
      <c r="AF5774" s="26"/>
      <c r="AJ5774" s="26"/>
    </row>
    <row r="5775" spans="29:36">
      <c r="AC5775" s="26"/>
      <c r="AE5775" s="26"/>
      <c r="AF5775" s="26"/>
      <c r="AJ5775" s="26"/>
    </row>
    <row r="5776" spans="29:36">
      <c r="AC5776" s="26"/>
      <c r="AE5776" s="26"/>
      <c r="AF5776" s="26"/>
      <c r="AJ5776" s="26"/>
    </row>
    <row r="5777" spans="29:36">
      <c r="AC5777" s="26"/>
      <c r="AE5777" s="26"/>
      <c r="AF5777" s="26"/>
      <c r="AJ5777" s="26"/>
    </row>
    <row r="5778" spans="29:36">
      <c r="AC5778" s="26"/>
      <c r="AE5778" s="26"/>
      <c r="AF5778" s="26"/>
      <c r="AJ5778" s="26"/>
    </row>
    <row r="5779" spans="29:36">
      <c r="AC5779" s="26"/>
      <c r="AE5779" s="26"/>
      <c r="AF5779" s="26"/>
      <c r="AJ5779" s="26"/>
    </row>
    <row r="5780" spans="29:36">
      <c r="AC5780" s="26"/>
      <c r="AE5780" s="26"/>
      <c r="AF5780" s="26"/>
      <c r="AJ5780" s="26"/>
    </row>
    <row r="5781" spans="29:36">
      <c r="AC5781" s="26"/>
      <c r="AE5781" s="26"/>
      <c r="AF5781" s="26"/>
      <c r="AJ5781" s="26"/>
    </row>
    <row r="5782" spans="29:36">
      <c r="AC5782" s="26"/>
      <c r="AE5782" s="26"/>
      <c r="AF5782" s="26"/>
      <c r="AJ5782" s="26"/>
    </row>
    <row r="5783" spans="29:36">
      <c r="AC5783" s="26"/>
      <c r="AE5783" s="26"/>
      <c r="AF5783" s="26"/>
      <c r="AJ5783" s="26"/>
    </row>
    <row r="5784" spans="29:36">
      <c r="AC5784" s="26"/>
      <c r="AE5784" s="26"/>
      <c r="AF5784" s="26"/>
      <c r="AJ5784" s="26"/>
    </row>
    <row r="5785" spans="29:36">
      <c r="AC5785" s="26"/>
      <c r="AE5785" s="26"/>
      <c r="AF5785" s="26"/>
      <c r="AJ5785" s="26"/>
    </row>
    <row r="5786" spans="29:36">
      <c r="AC5786" s="26"/>
      <c r="AE5786" s="26"/>
      <c r="AF5786" s="26"/>
      <c r="AJ5786" s="26"/>
    </row>
    <row r="5787" spans="29:36">
      <c r="AC5787" s="26"/>
      <c r="AE5787" s="26"/>
      <c r="AF5787" s="26"/>
      <c r="AJ5787" s="26"/>
    </row>
    <row r="5788" spans="29:36">
      <c r="AC5788" s="26"/>
      <c r="AE5788" s="26"/>
      <c r="AF5788" s="26"/>
      <c r="AJ5788" s="26"/>
    </row>
    <row r="5789" spans="29:36">
      <c r="AC5789" s="26"/>
      <c r="AE5789" s="26"/>
      <c r="AF5789" s="26"/>
      <c r="AJ5789" s="26"/>
    </row>
    <row r="5790" spans="29:36">
      <c r="AC5790" s="26"/>
      <c r="AE5790" s="26"/>
      <c r="AF5790" s="26"/>
      <c r="AJ5790" s="26"/>
    </row>
    <row r="5791" spans="29:36">
      <c r="AC5791" s="26"/>
      <c r="AE5791" s="26"/>
      <c r="AF5791" s="26"/>
      <c r="AJ5791" s="26"/>
    </row>
    <row r="5792" spans="29:36">
      <c r="AC5792" s="26"/>
      <c r="AE5792" s="26"/>
      <c r="AF5792" s="26"/>
      <c r="AJ5792" s="26"/>
    </row>
    <row r="5793" spans="29:36">
      <c r="AC5793" s="26"/>
      <c r="AE5793" s="26"/>
      <c r="AF5793" s="26"/>
      <c r="AJ5793" s="26"/>
    </row>
    <row r="5794" spans="29:36">
      <c r="AC5794" s="26"/>
      <c r="AE5794" s="26"/>
      <c r="AF5794" s="26"/>
      <c r="AJ5794" s="26"/>
    </row>
    <row r="5795" spans="29:36">
      <c r="AC5795" s="26"/>
      <c r="AE5795" s="26"/>
      <c r="AF5795" s="26"/>
      <c r="AJ5795" s="26"/>
    </row>
    <row r="5796" spans="29:36">
      <c r="AC5796" s="26"/>
      <c r="AE5796" s="26"/>
      <c r="AF5796" s="26"/>
      <c r="AJ5796" s="26"/>
    </row>
    <row r="5797" spans="29:36">
      <c r="AC5797" s="26"/>
      <c r="AE5797" s="26"/>
      <c r="AF5797" s="26"/>
      <c r="AJ5797" s="26"/>
    </row>
    <row r="5798" spans="29:36">
      <c r="AC5798" s="26"/>
      <c r="AE5798" s="26"/>
      <c r="AF5798" s="26"/>
      <c r="AJ5798" s="26"/>
    </row>
    <row r="5799" spans="29:36">
      <c r="AC5799" s="26"/>
      <c r="AE5799" s="26"/>
      <c r="AF5799" s="26"/>
      <c r="AJ5799" s="26"/>
    </row>
    <row r="5800" spans="29:36">
      <c r="AC5800" s="26"/>
      <c r="AE5800" s="26"/>
      <c r="AF5800" s="26"/>
      <c r="AJ5800" s="26"/>
    </row>
    <row r="5801" spans="29:36">
      <c r="AC5801" s="26"/>
      <c r="AE5801" s="26"/>
      <c r="AF5801" s="26"/>
      <c r="AJ5801" s="26"/>
    </row>
    <row r="5802" spans="29:36">
      <c r="AC5802" s="26"/>
      <c r="AE5802" s="26"/>
      <c r="AF5802" s="26"/>
      <c r="AJ5802" s="26"/>
    </row>
    <row r="5803" spans="29:36">
      <c r="AC5803" s="26"/>
      <c r="AE5803" s="26"/>
      <c r="AF5803" s="26"/>
      <c r="AJ5803" s="26"/>
    </row>
    <row r="5804" spans="29:36">
      <c r="AC5804" s="26"/>
      <c r="AE5804" s="26"/>
      <c r="AF5804" s="26"/>
      <c r="AJ5804" s="26"/>
    </row>
    <row r="5805" spans="29:36">
      <c r="AC5805" s="26"/>
      <c r="AE5805" s="26"/>
      <c r="AF5805" s="26"/>
      <c r="AJ5805" s="26"/>
    </row>
    <row r="5806" spans="29:36">
      <c r="AC5806" s="26"/>
      <c r="AE5806" s="26"/>
      <c r="AF5806" s="26"/>
      <c r="AJ5806" s="26"/>
    </row>
    <row r="5807" spans="29:36">
      <c r="AC5807" s="26"/>
      <c r="AE5807" s="26"/>
      <c r="AF5807" s="26"/>
      <c r="AJ5807" s="26"/>
    </row>
    <row r="5808" spans="29:36">
      <c r="AC5808" s="26"/>
      <c r="AE5808" s="26"/>
      <c r="AF5808" s="26"/>
      <c r="AJ5808" s="26"/>
    </row>
    <row r="5809" spans="29:36">
      <c r="AC5809" s="26"/>
      <c r="AE5809" s="26"/>
      <c r="AF5809" s="26"/>
      <c r="AJ5809" s="26"/>
    </row>
    <row r="5810" spans="29:36">
      <c r="AC5810" s="26"/>
      <c r="AE5810" s="26"/>
      <c r="AF5810" s="26"/>
      <c r="AJ5810" s="26"/>
    </row>
    <row r="5811" spans="29:36">
      <c r="AC5811" s="26"/>
      <c r="AE5811" s="26"/>
      <c r="AF5811" s="26"/>
      <c r="AJ5811" s="26"/>
    </row>
    <row r="5812" spans="29:36">
      <c r="AC5812" s="26"/>
      <c r="AE5812" s="26"/>
      <c r="AF5812" s="26"/>
      <c r="AJ5812" s="26"/>
    </row>
    <row r="5813" spans="29:36">
      <c r="AC5813" s="26"/>
      <c r="AE5813" s="26"/>
      <c r="AF5813" s="26"/>
      <c r="AJ5813" s="26"/>
    </row>
    <row r="5814" spans="29:36">
      <c r="AC5814" s="26"/>
      <c r="AE5814" s="26"/>
      <c r="AF5814" s="26"/>
      <c r="AJ5814" s="26"/>
    </row>
    <row r="5815" spans="29:36">
      <c r="AC5815" s="26"/>
      <c r="AE5815" s="26"/>
      <c r="AF5815" s="26"/>
      <c r="AJ5815" s="26"/>
    </row>
    <row r="5816" spans="29:36">
      <c r="AC5816" s="26"/>
      <c r="AE5816" s="26"/>
      <c r="AF5816" s="26"/>
      <c r="AJ5816" s="26"/>
    </row>
    <row r="5817" spans="29:36">
      <c r="AC5817" s="26"/>
      <c r="AE5817" s="26"/>
      <c r="AF5817" s="26"/>
      <c r="AJ5817" s="26"/>
    </row>
    <row r="5818" spans="29:36">
      <c r="AC5818" s="26"/>
      <c r="AE5818" s="26"/>
      <c r="AF5818" s="26"/>
      <c r="AJ5818" s="26"/>
    </row>
    <row r="5819" spans="29:36">
      <c r="AC5819" s="26"/>
      <c r="AE5819" s="26"/>
      <c r="AF5819" s="26"/>
      <c r="AJ5819" s="26"/>
    </row>
    <row r="5820" spans="29:36">
      <c r="AC5820" s="26"/>
      <c r="AE5820" s="26"/>
      <c r="AF5820" s="26"/>
      <c r="AJ5820" s="26"/>
    </row>
    <row r="5821" spans="29:36">
      <c r="AC5821" s="26"/>
      <c r="AE5821" s="26"/>
      <c r="AF5821" s="26"/>
      <c r="AJ5821" s="26"/>
    </row>
    <row r="5822" spans="29:36">
      <c r="AC5822" s="26"/>
      <c r="AE5822" s="26"/>
      <c r="AF5822" s="26"/>
      <c r="AJ5822" s="26"/>
    </row>
    <row r="5823" spans="29:36">
      <c r="AC5823" s="26"/>
      <c r="AE5823" s="26"/>
      <c r="AF5823" s="26"/>
      <c r="AJ5823" s="26"/>
    </row>
    <row r="5824" spans="29:36">
      <c r="AC5824" s="26"/>
      <c r="AE5824" s="26"/>
      <c r="AF5824" s="26"/>
      <c r="AJ5824" s="26"/>
    </row>
    <row r="5825" spans="29:36">
      <c r="AC5825" s="26"/>
      <c r="AE5825" s="26"/>
      <c r="AF5825" s="26"/>
      <c r="AJ5825" s="26"/>
    </row>
    <row r="5826" spans="29:36">
      <c r="AC5826" s="26"/>
      <c r="AE5826" s="26"/>
      <c r="AF5826" s="26"/>
      <c r="AJ5826" s="26"/>
    </row>
    <row r="5827" spans="29:36">
      <c r="AC5827" s="26"/>
      <c r="AE5827" s="26"/>
      <c r="AF5827" s="26"/>
      <c r="AJ5827" s="26"/>
    </row>
    <row r="5828" spans="29:36">
      <c r="AC5828" s="26"/>
      <c r="AE5828" s="26"/>
      <c r="AF5828" s="26"/>
      <c r="AJ5828" s="26"/>
    </row>
    <row r="5829" spans="29:36">
      <c r="AC5829" s="26"/>
      <c r="AE5829" s="26"/>
      <c r="AF5829" s="26"/>
      <c r="AJ5829" s="26"/>
    </row>
    <row r="5830" spans="29:36">
      <c r="AC5830" s="26"/>
      <c r="AE5830" s="26"/>
      <c r="AF5830" s="26"/>
      <c r="AJ5830" s="26"/>
    </row>
    <row r="5831" spans="29:36">
      <c r="AC5831" s="26"/>
      <c r="AE5831" s="26"/>
      <c r="AF5831" s="26"/>
      <c r="AJ5831" s="26"/>
    </row>
    <row r="5832" spans="29:36">
      <c r="AC5832" s="26"/>
      <c r="AE5832" s="26"/>
      <c r="AF5832" s="26"/>
      <c r="AJ5832" s="26"/>
    </row>
    <row r="5833" spans="29:36">
      <c r="AC5833" s="26"/>
      <c r="AE5833" s="26"/>
      <c r="AF5833" s="26"/>
      <c r="AJ5833" s="26"/>
    </row>
    <row r="5834" spans="29:36">
      <c r="AC5834" s="26"/>
      <c r="AE5834" s="26"/>
      <c r="AF5834" s="26"/>
      <c r="AJ5834" s="26"/>
    </row>
    <row r="5835" spans="29:36">
      <c r="AC5835" s="26"/>
      <c r="AE5835" s="26"/>
      <c r="AF5835" s="26"/>
      <c r="AJ5835" s="26"/>
    </row>
    <row r="5836" spans="29:36">
      <c r="AC5836" s="26"/>
      <c r="AE5836" s="26"/>
      <c r="AF5836" s="26"/>
      <c r="AJ5836" s="26"/>
    </row>
    <row r="5837" spans="29:36">
      <c r="AC5837" s="26"/>
      <c r="AE5837" s="26"/>
      <c r="AF5837" s="26"/>
      <c r="AJ5837" s="26"/>
    </row>
    <row r="5838" spans="29:36">
      <c r="AC5838" s="26"/>
      <c r="AE5838" s="26"/>
      <c r="AF5838" s="26"/>
      <c r="AJ5838" s="26"/>
    </row>
    <row r="5839" spans="29:36">
      <c r="AC5839" s="26"/>
      <c r="AE5839" s="26"/>
      <c r="AF5839" s="26"/>
      <c r="AJ5839" s="26"/>
    </row>
    <row r="5840" spans="29:36">
      <c r="AC5840" s="26"/>
      <c r="AE5840" s="26"/>
      <c r="AF5840" s="26"/>
      <c r="AJ5840" s="26"/>
    </row>
    <row r="5841" spans="29:36">
      <c r="AC5841" s="26"/>
      <c r="AE5841" s="26"/>
      <c r="AF5841" s="26"/>
      <c r="AJ5841" s="26"/>
    </row>
    <row r="5842" spans="29:36">
      <c r="AC5842" s="26"/>
      <c r="AE5842" s="26"/>
      <c r="AF5842" s="26"/>
      <c r="AJ5842" s="26"/>
    </row>
    <row r="5843" spans="29:36">
      <c r="AC5843" s="26"/>
      <c r="AE5843" s="26"/>
      <c r="AF5843" s="26"/>
      <c r="AJ5843" s="26"/>
    </row>
    <row r="5844" spans="29:36">
      <c r="AC5844" s="26"/>
      <c r="AE5844" s="26"/>
      <c r="AF5844" s="26"/>
      <c r="AJ5844" s="26"/>
    </row>
    <row r="5845" spans="29:36">
      <c r="AC5845" s="26"/>
      <c r="AE5845" s="26"/>
      <c r="AF5845" s="26"/>
      <c r="AJ5845" s="26"/>
    </row>
    <row r="5846" spans="29:36">
      <c r="AC5846" s="26"/>
      <c r="AE5846" s="26"/>
      <c r="AF5846" s="26"/>
      <c r="AJ5846" s="26"/>
    </row>
    <row r="5847" spans="29:36">
      <c r="AC5847" s="26"/>
      <c r="AE5847" s="26"/>
      <c r="AF5847" s="26"/>
      <c r="AJ5847" s="26"/>
    </row>
    <row r="5848" spans="29:36">
      <c r="AC5848" s="26"/>
      <c r="AE5848" s="26"/>
      <c r="AF5848" s="26"/>
      <c r="AJ5848" s="26"/>
    </row>
    <row r="5849" spans="29:36">
      <c r="AC5849" s="26"/>
      <c r="AE5849" s="26"/>
      <c r="AF5849" s="26"/>
      <c r="AJ5849" s="26"/>
    </row>
    <row r="5850" spans="29:36">
      <c r="AC5850" s="26"/>
      <c r="AE5850" s="26"/>
      <c r="AF5850" s="26"/>
      <c r="AJ5850" s="26"/>
    </row>
    <row r="5851" spans="29:36">
      <c r="AC5851" s="26"/>
      <c r="AE5851" s="26"/>
      <c r="AF5851" s="26"/>
      <c r="AJ5851" s="26"/>
    </row>
    <row r="5852" spans="29:36">
      <c r="AC5852" s="26"/>
      <c r="AE5852" s="26"/>
      <c r="AF5852" s="26"/>
      <c r="AJ5852" s="26"/>
    </row>
    <row r="5853" spans="29:36">
      <c r="AC5853" s="26"/>
      <c r="AE5853" s="26"/>
      <c r="AF5853" s="26"/>
      <c r="AJ5853" s="26"/>
    </row>
    <row r="5854" spans="29:36">
      <c r="AC5854" s="26"/>
      <c r="AE5854" s="26"/>
      <c r="AF5854" s="26"/>
      <c r="AJ5854" s="26"/>
    </row>
    <row r="5855" spans="29:36">
      <c r="AC5855" s="26"/>
      <c r="AE5855" s="26"/>
      <c r="AF5855" s="26"/>
      <c r="AJ5855" s="26"/>
    </row>
    <row r="5856" spans="29:36">
      <c r="AC5856" s="26"/>
      <c r="AE5856" s="26"/>
      <c r="AF5856" s="26"/>
      <c r="AJ5856" s="26"/>
    </row>
    <row r="5857" spans="29:36">
      <c r="AC5857" s="26"/>
      <c r="AE5857" s="26"/>
      <c r="AF5857" s="26"/>
      <c r="AJ5857" s="26"/>
    </row>
    <row r="5858" spans="29:36">
      <c r="AC5858" s="26"/>
      <c r="AE5858" s="26"/>
      <c r="AF5858" s="26"/>
      <c r="AJ5858" s="26"/>
    </row>
    <row r="5859" spans="29:36">
      <c r="AC5859" s="26"/>
      <c r="AE5859" s="26"/>
      <c r="AF5859" s="26"/>
      <c r="AJ5859" s="26"/>
    </row>
    <row r="5860" spans="29:36">
      <c r="AC5860" s="26"/>
      <c r="AE5860" s="26"/>
      <c r="AF5860" s="26"/>
      <c r="AJ5860" s="26"/>
    </row>
    <row r="5861" spans="29:36">
      <c r="AC5861" s="26"/>
      <c r="AE5861" s="26"/>
      <c r="AF5861" s="26"/>
      <c r="AJ5861" s="26"/>
    </row>
    <row r="5862" spans="29:36">
      <c r="AC5862" s="26"/>
      <c r="AE5862" s="26"/>
      <c r="AF5862" s="26"/>
      <c r="AJ5862" s="26"/>
    </row>
    <row r="5863" spans="29:36">
      <c r="AC5863" s="26"/>
      <c r="AE5863" s="26"/>
      <c r="AF5863" s="26"/>
      <c r="AJ5863" s="26"/>
    </row>
    <row r="5864" spans="29:36">
      <c r="AC5864" s="26"/>
      <c r="AE5864" s="26"/>
      <c r="AF5864" s="26"/>
      <c r="AJ5864" s="26"/>
    </row>
    <row r="5865" spans="29:36">
      <c r="AC5865" s="26"/>
      <c r="AE5865" s="26"/>
      <c r="AF5865" s="26"/>
      <c r="AJ5865" s="26"/>
    </row>
    <row r="5866" spans="29:36">
      <c r="AC5866" s="26"/>
      <c r="AE5866" s="26"/>
      <c r="AF5866" s="26"/>
      <c r="AJ5866" s="26"/>
    </row>
    <row r="5867" spans="29:36">
      <c r="AC5867" s="26"/>
      <c r="AE5867" s="26"/>
      <c r="AF5867" s="26"/>
      <c r="AJ5867" s="26"/>
    </row>
    <row r="5868" spans="29:36">
      <c r="AC5868" s="26"/>
      <c r="AE5868" s="26"/>
      <c r="AF5868" s="26"/>
      <c r="AJ5868" s="26"/>
    </row>
    <row r="5869" spans="29:36">
      <c r="AC5869" s="26"/>
      <c r="AE5869" s="26"/>
      <c r="AF5869" s="26"/>
      <c r="AJ5869" s="26"/>
    </row>
    <row r="5870" spans="29:36">
      <c r="AC5870" s="26"/>
      <c r="AE5870" s="26"/>
      <c r="AF5870" s="26"/>
      <c r="AJ5870" s="26"/>
    </row>
    <row r="5871" spans="29:36">
      <c r="AC5871" s="26"/>
      <c r="AE5871" s="26"/>
      <c r="AF5871" s="26"/>
      <c r="AJ5871" s="26"/>
    </row>
    <row r="5872" spans="29:36">
      <c r="AC5872" s="26"/>
      <c r="AE5872" s="26"/>
      <c r="AF5872" s="26"/>
      <c r="AJ5872" s="26"/>
    </row>
    <row r="5873" spans="29:36">
      <c r="AC5873" s="26"/>
      <c r="AE5873" s="26"/>
      <c r="AF5873" s="26"/>
      <c r="AJ5873" s="26"/>
    </row>
    <row r="5874" spans="29:36">
      <c r="AC5874" s="26"/>
      <c r="AE5874" s="26"/>
      <c r="AF5874" s="26"/>
      <c r="AJ5874" s="26"/>
    </row>
    <row r="5875" spans="29:36">
      <c r="AC5875" s="26"/>
      <c r="AE5875" s="26"/>
      <c r="AF5875" s="26"/>
      <c r="AJ5875" s="26"/>
    </row>
    <row r="5876" spans="29:36">
      <c r="AC5876" s="26"/>
      <c r="AE5876" s="26"/>
      <c r="AF5876" s="26"/>
      <c r="AJ5876" s="26"/>
    </row>
    <row r="5877" spans="29:36">
      <c r="AC5877" s="26"/>
      <c r="AE5877" s="26"/>
      <c r="AF5877" s="26"/>
      <c r="AJ5877" s="26"/>
    </row>
    <row r="5878" spans="29:36">
      <c r="AC5878" s="26"/>
      <c r="AE5878" s="26"/>
      <c r="AF5878" s="26"/>
      <c r="AJ5878" s="26"/>
    </row>
    <row r="5879" spans="29:36">
      <c r="AC5879" s="26"/>
      <c r="AE5879" s="26"/>
      <c r="AF5879" s="26"/>
      <c r="AJ5879" s="26"/>
    </row>
    <row r="5880" spans="29:36">
      <c r="AC5880" s="26"/>
      <c r="AE5880" s="26"/>
      <c r="AF5880" s="26"/>
      <c r="AJ5880" s="26"/>
    </row>
    <row r="5881" spans="29:36">
      <c r="AC5881" s="26"/>
      <c r="AE5881" s="26"/>
      <c r="AF5881" s="26"/>
      <c r="AJ5881" s="26"/>
    </row>
    <row r="5882" spans="29:36">
      <c r="AC5882" s="26"/>
      <c r="AE5882" s="26"/>
      <c r="AF5882" s="26"/>
      <c r="AJ5882" s="26"/>
    </row>
    <row r="5883" spans="29:36">
      <c r="AC5883" s="26"/>
      <c r="AE5883" s="26"/>
      <c r="AF5883" s="26"/>
      <c r="AJ5883" s="26"/>
    </row>
    <row r="5884" spans="29:36">
      <c r="AC5884" s="26"/>
      <c r="AE5884" s="26"/>
      <c r="AF5884" s="26"/>
      <c r="AJ5884" s="26"/>
    </row>
    <row r="5885" spans="29:36">
      <c r="AC5885" s="26"/>
      <c r="AE5885" s="26"/>
      <c r="AF5885" s="26"/>
      <c r="AJ5885" s="26"/>
    </row>
    <row r="5886" spans="29:36">
      <c r="AC5886" s="26"/>
      <c r="AE5886" s="26"/>
      <c r="AF5886" s="26"/>
      <c r="AJ5886" s="26"/>
    </row>
    <row r="5887" spans="29:36">
      <c r="AC5887" s="26"/>
      <c r="AE5887" s="26"/>
      <c r="AF5887" s="26"/>
      <c r="AJ5887" s="26"/>
    </row>
    <row r="5888" spans="29:36">
      <c r="AC5888" s="26"/>
      <c r="AE5888" s="26"/>
      <c r="AF5888" s="26"/>
      <c r="AJ5888" s="26"/>
    </row>
    <row r="5889" spans="29:36">
      <c r="AC5889" s="26"/>
      <c r="AE5889" s="26"/>
      <c r="AF5889" s="26"/>
      <c r="AJ5889" s="26"/>
    </row>
    <row r="5890" spans="29:36">
      <c r="AC5890" s="26"/>
      <c r="AE5890" s="26"/>
      <c r="AF5890" s="26"/>
      <c r="AJ5890" s="26"/>
    </row>
    <row r="5891" spans="29:36">
      <c r="AC5891" s="26"/>
      <c r="AE5891" s="26"/>
      <c r="AF5891" s="26"/>
      <c r="AJ5891" s="26"/>
    </row>
    <row r="5892" spans="29:36">
      <c r="AC5892" s="26"/>
      <c r="AE5892" s="26"/>
      <c r="AF5892" s="26"/>
      <c r="AJ5892" s="26"/>
    </row>
    <row r="5893" spans="29:36">
      <c r="AC5893" s="26"/>
      <c r="AE5893" s="26"/>
      <c r="AF5893" s="26"/>
      <c r="AJ5893" s="26"/>
    </row>
    <row r="5894" spans="29:36">
      <c r="AC5894" s="26"/>
      <c r="AE5894" s="26"/>
      <c r="AF5894" s="26"/>
      <c r="AJ5894" s="26"/>
    </row>
    <row r="5895" spans="29:36">
      <c r="AC5895" s="26"/>
      <c r="AE5895" s="26"/>
      <c r="AF5895" s="26"/>
      <c r="AJ5895" s="26"/>
    </row>
    <row r="5896" spans="29:36">
      <c r="AC5896" s="26"/>
      <c r="AE5896" s="26"/>
      <c r="AF5896" s="26"/>
      <c r="AJ5896" s="26"/>
    </row>
    <row r="5897" spans="29:36">
      <c r="AC5897" s="26"/>
      <c r="AE5897" s="26"/>
      <c r="AF5897" s="26"/>
      <c r="AJ5897" s="26"/>
    </row>
    <row r="5898" spans="29:36">
      <c r="AC5898" s="26"/>
      <c r="AE5898" s="26"/>
      <c r="AF5898" s="26"/>
      <c r="AJ5898" s="26"/>
    </row>
    <row r="5899" spans="29:36">
      <c r="AC5899" s="26"/>
      <c r="AE5899" s="26"/>
      <c r="AF5899" s="26"/>
      <c r="AJ5899" s="26"/>
    </row>
    <row r="5900" spans="29:36">
      <c r="AC5900" s="26"/>
      <c r="AE5900" s="26"/>
      <c r="AF5900" s="26"/>
      <c r="AJ5900" s="26"/>
    </row>
    <row r="5901" spans="29:36">
      <c r="AC5901" s="26"/>
      <c r="AE5901" s="26"/>
      <c r="AF5901" s="26"/>
      <c r="AJ5901" s="26"/>
    </row>
    <row r="5902" spans="29:36">
      <c r="AC5902" s="26"/>
      <c r="AE5902" s="26"/>
      <c r="AF5902" s="26"/>
      <c r="AJ5902" s="26"/>
    </row>
    <row r="5903" spans="29:36">
      <c r="AC5903" s="26"/>
      <c r="AE5903" s="26"/>
      <c r="AF5903" s="26"/>
      <c r="AJ5903" s="26"/>
    </row>
    <row r="5904" spans="29:36">
      <c r="AC5904" s="26"/>
      <c r="AE5904" s="26"/>
      <c r="AF5904" s="26"/>
      <c r="AJ5904" s="26"/>
    </row>
    <row r="5905" spans="29:36">
      <c r="AC5905" s="26"/>
      <c r="AE5905" s="26"/>
      <c r="AF5905" s="26"/>
      <c r="AJ5905" s="26"/>
    </row>
    <row r="5906" spans="29:36">
      <c r="AC5906" s="26"/>
      <c r="AE5906" s="26"/>
      <c r="AF5906" s="26"/>
      <c r="AJ5906" s="26"/>
    </row>
    <row r="5907" spans="29:36">
      <c r="AC5907" s="26"/>
      <c r="AE5907" s="26"/>
      <c r="AF5907" s="26"/>
      <c r="AJ5907" s="26"/>
    </row>
    <row r="5908" spans="29:36">
      <c r="AC5908" s="26"/>
      <c r="AE5908" s="26"/>
      <c r="AF5908" s="26"/>
      <c r="AJ5908" s="26"/>
    </row>
    <row r="5909" spans="29:36">
      <c r="AC5909" s="26"/>
      <c r="AE5909" s="26"/>
      <c r="AF5909" s="26"/>
      <c r="AJ5909" s="26"/>
    </row>
    <row r="5910" spans="29:36">
      <c r="AC5910" s="26"/>
      <c r="AE5910" s="26"/>
      <c r="AF5910" s="26"/>
      <c r="AJ5910" s="26"/>
    </row>
    <row r="5911" spans="29:36">
      <c r="AC5911" s="26"/>
      <c r="AE5911" s="26"/>
      <c r="AF5911" s="26"/>
      <c r="AJ5911" s="26"/>
    </row>
    <row r="5912" spans="29:36">
      <c r="AC5912" s="26"/>
      <c r="AE5912" s="26"/>
      <c r="AF5912" s="26"/>
      <c r="AJ5912" s="26"/>
    </row>
    <row r="5913" spans="29:36">
      <c r="AC5913" s="26"/>
      <c r="AE5913" s="26"/>
      <c r="AF5913" s="26"/>
      <c r="AJ5913" s="26"/>
    </row>
    <row r="5914" spans="29:36">
      <c r="AC5914" s="26"/>
      <c r="AE5914" s="26"/>
      <c r="AF5914" s="26"/>
      <c r="AJ5914" s="26"/>
    </row>
    <row r="5915" spans="29:36">
      <c r="AC5915" s="26"/>
      <c r="AE5915" s="26"/>
      <c r="AF5915" s="26"/>
      <c r="AJ5915" s="26"/>
    </row>
    <row r="5916" spans="29:36">
      <c r="AC5916" s="26"/>
      <c r="AE5916" s="26"/>
      <c r="AF5916" s="26"/>
      <c r="AJ5916" s="26"/>
    </row>
    <row r="5917" spans="29:36">
      <c r="AC5917" s="26"/>
      <c r="AE5917" s="26"/>
      <c r="AF5917" s="26"/>
      <c r="AJ5917" s="26"/>
    </row>
    <row r="5918" spans="29:36">
      <c r="AC5918" s="26"/>
      <c r="AE5918" s="26"/>
      <c r="AF5918" s="26"/>
      <c r="AJ5918" s="26"/>
    </row>
    <row r="5919" spans="29:36">
      <c r="AC5919" s="26"/>
      <c r="AE5919" s="26"/>
      <c r="AF5919" s="26"/>
      <c r="AJ5919" s="26"/>
    </row>
    <row r="5920" spans="29:36">
      <c r="AC5920" s="26"/>
      <c r="AE5920" s="26"/>
      <c r="AF5920" s="26"/>
      <c r="AJ5920" s="26"/>
    </row>
    <row r="5921" spans="29:36">
      <c r="AC5921" s="26"/>
      <c r="AE5921" s="26"/>
      <c r="AF5921" s="26"/>
      <c r="AJ5921" s="26"/>
    </row>
    <row r="5922" spans="29:36">
      <c r="AC5922" s="26"/>
      <c r="AE5922" s="26"/>
      <c r="AF5922" s="26"/>
      <c r="AJ5922" s="26"/>
    </row>
    <row r="5923" spans="29:36">
      <c r="AC5923" s="26"/>
      <c r="AE5923" s="26"/>
      <c r="AF5923" s="26"/>
      <c r="AJ5923" s="26"/>
    </row>
    <row r="5924" spans="29:36">
      <c r="AC5924" s="26"/>
      <c r="AE5924" s="26"/>
      <c r="AF5924" s="26"/>
      <c r="AJ5924" s="26"/>
    </row>
    <row r="5925" spans="29:36">
      <c r="AC5925" s="26"/>
      <c r="AE5925" s="26"/>
      <c r="AF5925" s="26"/>
      <c r="AJ5925" s="26"/>
    </row>
    <row r="5926" spans="29:36">
      <c r="AC5926" s="26"/>
      <c r="AE5926" s="26"/>
      <c r="AF5926" s="26"/>
      <c r="AJ5926" s="26"/>
    </row>
    <row r="5927" spans="29:36">
      <c r="AC5927" s="26"/>
      <c r="AE5927" s="26"/>
      <c r="AF5927" s="26"/>
      <c r="AJ5927" s="26"/>
    </row>
    <row r="5928" spans="29:36">
      <c r="AC5928" s="26"/>
      <c r="AE5928" s="26"/>
      <c r="AF5928" s="26"/>
      <c r="AJ5928" s="26"/>
    </row>
    <row r="5929" spans="29:36">
      <c r="AC5929" s="26"/>
      <c r="AE5929" s="26"/>
      <c r="AF5929" s="26"/>
      <c r="AJ5929" s="26"/>
    </row>
    <row r="5930" spans="29:36">
      <c r="AC5930" s="26"/>
      <c r="AE5930" s="26"/>
      <c r="AF5930" s="26"/>
      <c r="AJ5930" s="26"/>
    </row>
    <row r="5931" spans="29:36">
      <c r="AC5931" s="26"/>
      <c r="AE5931" s="26"/>
      <c r="AF5931" s="26"/>
      <c r="AJ5931" s="26"/>
    </row>
    <row r="5932" spans="29:36">
      <c r="AC5932" s="26"/>
      <c r="AE5932" s="26"/>
      <c r="AF5932" s="26"/>
      <c r="AJ5932" s="26"/>
    </row>
    <row r="5933" spans="29:36">
      <c r="AC5933" s="26"/>
      <c r="AE5933" s="26"/>
      <c r="AF5933" s="26"/>
      <c r="AJ5933" s="26"/>
    </row>
    <row r="5934" spans="29:36">
      <c r="AC5934" s="26"/>
      <c r="AE5934" s="26"/>
      <c r="AF5934" s="26"/>
      <c r="AJ5934" s="26"/>
    </row>
    <row r="5935" spans="29:36">
      <c r="AC5935" s="26"/>
      <c r="AE5935" s="26"/>
      <c r="AF5935" s="26"/>
      <c r="AJ5935" s="26"/>
    </row>
    <row r="5936" spans="29:36">
      <c r="AC5936" s="26"/>
      <c r="AE5936" s="26"/>
      <c r="AF5936" s="26"/>
      <c r="AJ5936" s="26"/>
    </row>
    <row r="5937" spans="29:36">
      <c r="AC5937" s="26"/>
      <c r="AE5937" s="26"/>
      <c r="AF5937" s="26"/>
      <c r="AJ5937" s="26"/>
    </row>
    <row r="5938" spans="29:36">
      <c r="AC5938" s="26"/>
      <c r="AE5938" s="26"/>
      <c r="AF5938" s="26"/>
      <c r="AJ5938" s="26"/>
    </row>
    <row r="5939" spans="29:36">
      <c r="AC5939" s="26"/>
      <c r="AE5939" s="26"/>
      <c r="AF5939" s="26"/>
      <c r="AJ5939" s="26"/>
    </row>
    <row r="5940" spans="29:36">
      <c r="AC5940" s="26"/>
      <c r="AE5940" s="26"/>
      <c r="AF5940" s="26"/>
      <c r="AJ5940" s="26"/>
    </row>
    <row r="5941" spans="29:36">
      <c r="AC5941" s="26"/>
      <c r="AE5941" s="26"/>
      <c r="AF5941" s="26"/>
      <c r="AJ5941" s="26"/>
    </row>
    <row r="5942" spans="29:36">
      <c r="AC5942" s="26"/>
      <c r="AE5942" s="26"/>
      <c r="AF5942" s="26"/>
      <c r="AJ5942" s="26"/>
    </row>
    <row r="5943" spans="29:36">
      <c r="AC5943" s="26"/>
      <c r="AE5943" s="26"/>
      <c r="AF5943" s="26"/>
      <c r="AJ5943" s="26"/>
    </row>
    <row r="5944" spans="29:36">
      <c r="AC5944" s="26"/>
      <c r="AE5944" s="26"/>
      <c r="AF5944" s="26"/>
      <c r="AJ5944" s="26"/>
    </row>
    <row r="5945" spans="29:36">
      <c r="AC5945" s="26"/>
      <c r="AE5945" s="26"/>
      <c r="AF5945" s="26"/>
      <c r="AJ5945" s="26"/>
    </row>
    <row r="5946" spans="29:36">
      <c r="AC5946" s="26"/>
      <c r="AE5946" s="26"/>
      <c r="AF5946" s="26"/>
      <c r="AJ5946" s="26"/>
    </row>
    <row r="5947" spans="29:36">
      <c r="AC5947" s="26"/>
      <c r="AE5947" s="26"/>
      <c r="AF5947" s="26"/>
      <c r="AJ5947" s="26"/>
    </row>
    <row r="5948" spans="29:36">
      <c r="AC5948" s="26"/>
      <c r="AE5948" s="26"/>
      <c r="AF5948" s="26"/>
      <c r="AJ5948" s="26"/>
    </row>
    <row r="5949" spans="29:36">
      <c r="AC5949" s="26"/>
      <c r="AE5949" s="26"/>
      <c r="AF5949" s="26"/>
      <c r="AJ5949" s="26"/>
    </row>
    <row r="5950" spans="29:36">
      <c r="AC5950" s="26"/>
      <c r="AE5950" s="26"/>
      <c r="AF5950" s="26"/>
      <c r="AJ5950" s="26"/>
    </row>
    <row r="5951" spans="29:36">
      <c r="AC5951" s="26"/>
      <c r="AE5951" s="26"/>
      <c r="AF5951" s="26"/>
      <c r="AJ5951" s="26"/>
    </row>
    <row r="5952" spans="29:36">
      <c r="AC5952" s="26"/>
      <c r="AE5952" s="26"/>
      <c r="AF5952" s="26"/>
      <c r="AJ5952" s="26"/>
    </row>
    <row r="5953" spans="29:36">
      <c r="AC5953" s="26"/>
      <c r="AE5953" s="26"/>
      <c r="AF5953" s="26"/>
      <c r="AJ5953" s="26"/>
    </row>
    <row r="5954" spans="29:36">
      <c r="AC5954" s="26"/>
      <c r="AE5954" s="26"/>
      <c r="AF5954" s="26"/>
      <c r="AJ5954" s="26"/>
    </row>
    <row r="5955" spans="29:36">
      <c r="AC5955" s="26"/>
      <c r="AE5955" s="26"/>
      <c r="AF5955" s="26"/>
      <c r="AJ5955" s="26"/>
    </row>
    <row r="5956" spans="29:36">
      <c r="AC5956" s="26"/>
      <c r="AE5956" s="26"/>
      <c r="AF5956" s="26"/>
      <c r="AJ5956" s="26"/>
    </row>
    <row r="5957" spans="29:36">
      <c r="AC5957" s="26"/>
      <c r="AE5957" s="26"/>
      <c r="AF5957" s="26"/>
      <c r="AJ5957" s="26"/>
    </row>
    <row r="5958" spans="29:36">
      <c r="AC5958" s="26"/>
      <c r="AE5958" s="26"/>
      <c r="AF5958" s="26"/>
      <c r="AJ5958" s="26"/>
    </row>
    <row r="5959" spans="29:36">
      <c r="AC5959" s="26"/>
      <c r="AE5959" s="26"/>
      <c r="AF5959" s="26"/>
      <c r="AJ5959" s="26"/>
    </row>
    <row r="5960" spans="29:36">
      <c r="AC5960" s="26"/>
      <c r="AE5960" s="26"/>
      <c r="AF5960" s="26"/>
      <c r="AJ5960" s="26"/>
    </row>
    <row r="5961" spans="29:36">
      <c r="AC5961" s="26"/>
      <c r="AE5961" s="26"/>
      <c r="AF5961" s="26"/>
      <c r="AJ5961" s="26"/>
    </row>
    <row r="5962" spans="29:36">
      <c r="AC5962" s="26"/>
      <c r="AE5962" s="26"/>
      <c r="AF5962" s="26"/>
      <c r="AJ5962" s="26"/>
    </row>
    <row r="5963" spans="29:36">
      <c r="AC5963" s="26"/>
      <c r="AE5963" s="26"/>
      <c r="AF5963" s="26"/>
      <c r="AJ5963" s="26"/>
    </row>
    <row r="5964" spans="29:36">
      <c r="AC5964" s="26"/>
      <c r="AE5964" s="26"/>
      <c r="AF5964" s="26"/>
      <c r="AJ5964" s="26"/>
    </row>
    <row r="5965" spans="29:36">
      <c r="AC5965" s="26"/>
      <c r="AE5965" s="26"/>
      <c r="AF5965" s="26"/>
      <c r="AJ5965" s="26"/>
    </row>
    <row r="5966" spans="29:36">
      <c r="AC5966" s="26"/>
      <c r="AE5966" s="26"/>
      <c r="AF5966" s="26"/>
      <c r="AJ5966" s="26"/>
    </row>
    <row r="5967" spans="29:36">
      <c r="AC5967" s="26"/>
      <c r="AE5967" s="26"/>
      <c r="AF5967" s="26"/>
      <c r="AJ5967" s="26"/>
    </row>
    <row r="5968" spans="29:36">
      <c r="AC5968" s="26"/>
      <c r="AE5968" s="26"/>
      <c r="AF5968" s="26"/>
      <c r="AJ5968" s="26"/>
    </row>
    <row r="5969" spans="29:36">
      <c r="AC5969" s="26"/>
      <c r="AE5969" s="26"/>
      <c r="AF5969" s="26"/>
      <c r="AJ5969" s="26"/>
    </row>
    <row r="5970" spans="29:36">
      <c r="AC5970" s="26"/>
      <c r="AE5970" s="26"/>
      <c r="AF5970" s="26"/>
      <c r="AJ5970" s="26"/>
    </row>
    <row r="5971" spans="29:36">
      <c r="AC5971" s="26"/>
      <c r="AE5971" s="26"/>
      <c r="AF5971" s="26"/>
      <c r="AJ5971" s="26"/>
    </row>
    <row r="5972" spans="29:36">
      <c r="AC5972" s="26"/>
      <c r="AE5972" s="26"/>
      <c r="AF5972" s="26"/>
      <c r="AJ5972" s="26"/>
    </row>
    <row r="5973" spans="29:36">
      <c r="AC5973" s="26"/>
      <c r="AE5973" s="26"/>
      <c r="AF5973" s="26"/>
      <c r="AJ5973" s="26"/>
    </row>
    <row r="5974" spans="29:36">
      <c r="AC5974" s="26"/>
      <c r="AE5974" s="26"/>
      <c r="AF5974" s="26"/>
      <c r="AJ5974" s="26"/>
    </row>
    <row r="5975" spans="29:36">
      <c r="AC5975" s="26"/>
      <c r="AE5975" s="26"/>
      <c r="AF5975" s="26"/>
      <c r="AJ5975" s="26"/>
    </row>
    <row r="5976" spans="29:36">
      <c r="AC5976" s="26"/>
      <c r="AE5976" s="26"/>
      <c r="AF5976" s="26"/>
      <c r="AJ5976" s="26"/>
    </row>
    <row r="5977" spans="29:36">
      <c r="AC5977" s="26"/>
      <c r="AE5977" s="26"/>
      <c r="AF5977" s="26"/>
      <c r="AJ5977" s="26"/>
    </row>
    <row r="5978" spans="29:36">
      <c r="AC5978" s="26"/>
      <c r="AE5978" s="26"/>
      <c r="AF5978" s="26"/>
      <c r="AJ5978" s="26"/>
    </row>
    <row r="5979" spans="29:36">
      <c r="AC5979" s="26"/>
      <c r="AE5979" s="26"/>
      <c r="AF5979" s="26"/>
      <c r="AJ5979" s="26"/>
    </row>
    <row r="5980" spans="29:36">
      <c r="AC5980" s="26"/>
      <c r="AE5980" s="26"/>
      <c r="AF5980" s="26"/>
      <c r="AJ5980" s="26"/>
    </row>
    <row r="5981" spans="29:36">
      <c r="AC5981" s="26"/>
      <c r="AE5981" s="26"/>
      <c r="AF5981" s="26"/>
      <c r="AJ5981" s="26"/>
    </row>
    <row r="5982" spans="29:36">
      <c r="AC5982" s="26"/>
      <c r="AE5982" s="26"/>
      <c r="AF5982" s="26"/>
      <c r="AJ5982" s="26"/>
    </row>
    <row r="5983" spans="29:36">
      <c r="AC5983" s="26"/>
      <c r="AE5983" s="26"/>
      <c r="AF5983" s="26"/>
      <c r="AJ5983" s="26"/>
    </row>
    <row r="5984" spans="29:36">
      <c r="AC5984" s="26"/>
      <c r="AE5984" s="26"/>
      <c r="AF5984" s="26"/>
      <c r="AJ5984" s="26"/>
    </row>
    <row r="5985" spans="29:36">
      <c r="AC5985" s="26"/>
      <c r="AE5985" s="26"/>
      <c r="AF5985" s="26"/>
      <c r="AJ5985" s="26"/>
    </row>
    <row r="5986" spans="29:36">
      <c r="AC5986" s="26"/>
      <c r="AE5986" s="26"/>
      <c r="AF5986" s="26"/>
      <c r="AJ5986" s="26"/>
    </row>
    <row r="5987" spans="29:36">
      <c r="AC5987" s="26"/>
      <c r="AE5987" s="26"/>
      <c r="AF5987" s="26"/>
      <c r="AJ5987" s="26"/>
    </row>
    <row r="5988" spans="29:36">
      <c r="AC5988" s="26"/>
      <c r="AE5988" s="26"/>
      <c r="AF5988" s="26"/>
      <c r="AJ5988" s="26"/>
    </row>
    <row r="5989" spans="29:36">
      <c r="AC5989" s="26"/>
      <c r="AE5989" s="26"/>
      <c r="AF5989" s="26"/>
      <c r="AJ5989" s="26"/>
    </row>
    <row r="5990" spans="29:36">
      <c r="AC5990" s="26"/>
      <c r="AE5990" s="26"/>
      <c r="AF5990" s="26"/>
      <c r="AJ5990" s="26"/>
    </row>
    <row r="5991" spans="29:36">
      <c r="AC5991" s="26"/>
      <c r="AE5991" s="26"/>
      <c r="AF5991" s="26"/>
      <c r="AJ5991" s="26"/>
    </row>
    <row r="5992" spans="29:36">
      <c r="AC5992" s="26"/>
      <c r="AE5992" s="26"/>
      <c r="AF5992" s="26"/>
      <c r="AJ5992" s="26"/>
    </row>
    <row r="5993" spans="29:36">
      <c r="AC5993" s="26"/>
      <c r="AE5993" s="26"/>
      <c r="AF5993" s="26"/>
      <c r="AJ5993" s="26"/>
    </row>
    <row r="5994" spans="29:36">
      <c r="AC5994" s="26"/>
      <c r="AE5994" s="26"/>
      <c r="AF5994" s="26"/>
      <c r="AJ5994" s="26"/>
    </row>
    <row r="5995" spans="29:36">
      <c r="AC5995" s="26"/>
      <c r="AE5995" s="26"/>
      <c r="AF5995" s="26"/>
      <c r="AJ5995" s="26"/>
    </row>
    <row r="5996" spans="29:36">
      <c r="AC5996" s="26"/>
      <c r="AE5996" s="26"/>
      <c r="AF5996" s="26"/>
      <c r="AJ5996" s="26"/>
    </row>
    <row r="5997" spans="29:36">
      <c r="AC5997" s="26"/>
      <c r="AE5997" s="26"/>
      <c r="AF5997" s="26"/>
      <c r="AJ5997" s="26"/>
    </row>
    <row r="5998" spans="29:36">
      <c r="AC5998" s="26"/>
      <c r="AE5998" s="26"/>
      <c r="AF5998" s="26"/>
      <c r="AJ5998" s="26"/>
    </row>
    <row r="5999" spans="29:36">
      <c r="AC5999" s="26"/>
      <c r="AE5999" s="26"/>
      <c r="AF5999" s="26"/>
      <c r="AJ5999" s="26"/>
    </row>
    <row r="6000" spans="29:36">
      <c r="AC6000" s="26"/>
      <c r="AE6000" s="26"/>
      <c r="AF6000" s="26"/>
      <c r="AJ6000" s="26"/>
    </row>
    <row r="6001" spans="29:36">
      <c r="AC6001" s="26"/>
      <c r="AE6001" s="26"/>
      <c r="AF6001" s="26"/>
      <c r="AJ6001" s="26"/>
    </row>
    <row r="6002" spans="29:36">
      <c r="AC6002" s="26"/>
      <c r="AE6002" s="26"/>
      <c r="AF6002" s="26"/>
      <c r="AJ6002" s="26"/>
    </row>
    <row r="6003" spans="29:36">
      <c r="AC6003" s="26"/>
      <c r="AE6003" s="26"/>
      <c r="AF6003" s="26"/>
      <c r="AJ6003" s="26"/>
    </row>
    <row r="6004" spans="29:36">
      <c r="AC6004" s="26"/>
      <c r="AE6004" s="26"/>
      <c r="AF6004" s="26"/>
      <c r="AJ6004" s="26"/>
    </row>
    <row r="6005" spans="29:36">
      <c r="AC6005" s="26"/>
      <c r="AE6005" s="26"/>
      <c r="AF6005" s="26"/>
      <c r="AJ6005" s="26"/>
    </row>
    <row r="6006" spans="29:36">
      <c r="AC6006" s="26"/>
      <c r="AE6006" s="26"/>
      <c r="AF6006" s="26"/>
      <c r="AJ6006" s="26"/>
    </row>
    <row r="6007" spans="29:36">
      <c r="AC6007" s="26"/>
      <c r="AE6007" s="26"/>
      <c r="AF6007" s="26"/>
      <c r="AJ6007" s="26"/>
    </row>
    <row r="6008" spans="29:36">
      <c r="AC6008" s="26"/>
      <c r="AE6008" s="26"/>
      <c r="AF6008" s="26"/>
      <c r="AJ6008" s="26"/>
    </row>
    <row r="6009" spans="29:36">
      <c r="AC6009" s="26"/>
      <c r="AE6009" s="26"/>
      <c r="AF6009" s="26"/>
      <c r="AJ6009" s="26"/>
    </row>
    <row r="6010" spans="29:36">
      <c r="AC6010" s="26"/>
      <c r="AE6010" s="26"/>
      <c r="AF6010" s="26"/>
      <c r="AJ6010" s="26"/>
    </row>
    <row r="6011" spans="29:36">
      <c r="AC6011" s="26"/>
      <c r="AE6011" s="26"/>
      <c r="AF6011" s="26"/>
      <c r="AJ6011" s="26"/>
    </row>
    <row r="6012" spans="29:36">
      <c r="AC6012" s="26"/>
      <c r="AE6012" s="26"/>
      <c r="AF6012" s="26"/>
      <c r="AJ6012" s="26"/>
    </row>
    <row r="6013" spans="29:36">
      <c r="AC6013" s="26"/>
      <c r="AE6013" s="26"/>
      <c r="AF6013" s="26"/>
      <c r="AJ6013" s="26"/>
    </row>
    <row r="6014" spans="29:36">
      <c r="AC6014" s="26"/>
      <c r="AE6014" s="26"/>
      <c r="AF6014" s="26"/>
      <c r="AJ6014" s="26"/>
    </row>
    <row r="6015" spans="29:36">
      <c r="AC6015" s="26"/>
      <c r="AE6015" s="26"/>
      <c r="AF6015" s="26"/>
      <c r="AJ6015" s="26"/>
    </row>
    <row r="6016" spans="29:36">
      <c r="AC6016" s="26"/>
      <c r="AE6016" s="26"/>
      <c r="AF6016" s="26"/>
      <c r="AJ6016" s="26"/>
    </row>
    <row r="6017" spans="29:36">
      <c r="AC6017" s="26"/>
      <c r="AE6017" s="26"/>
      <c r="AF6017" s="26"/>
      <c r="AJ6017" s="26"/>
    </row>
    <row r="6018" spans="29:36">
      <c r="AC6018" s="26"/>
      <c r="AE6018" s="26"/>
      <c r="AF6018" s="26"/>
      <c r="AJ6018" s="26"/>
    </row>
    <row r="6019" spans="29:36">
      <c r="AC6019" s="26"/>
      <c r="AE6019" s="26"/>
      <c r="AF6019" s="26"/>
      <c r="AJ6019" s="26"/>
    </row>
    <row r="6020" spans="29:36">
      <c r="AC6020" s="26"/>
      <c r="AE6020" s="26"/>
      <c r="AF6020" s="26"/>
      <c r="AJ6020" s="26"/>
    </row>
    <row r="6021" spans="29:36">
      <c r="AC6021" s="26"/>
      <c r="AE6021" s="26"/>
      <c r="AF6021" s="26"/>
      <c r="AJ6021" s="26"/>
    </row>
    <row r="6022" spans="29:36">
      <c r="AC6022" s="26"/>
      <c r="AE6022" s="26"/>
      <c r="AF6022" s="26"/>
      <c r="AJ6022" s="26"/>
    </row>
    <row r="6023" spans="29:36">
      <c r="AC6023" s="26"/>
      <c r="AE6023" s="26"/>
      <c r="AF6023" s="26"/>
      <c r="AJ6023" s="26"/>
    </row>
    <row r="6024" spans="29:36">
      <c r="AC6024" s="26"/>
      <c r="AE6024" s="26"/>
      <c r="AF6024" s="26"/>
      <c r="AJ6024" s="26"/>
    </row>
    <row r="6025" spans="29:36">
      <c r="AC6025" s="26"/>
      <c r="AE6025" s="26"/>
      <c r="AF6025" s="26"/>
      <c r="AJ6025" s="26"/>
    </row>
    <row r="6026" spans="29:36">
      <c r="AC6026" s="26"/>
      <c r="AE6026" s="26"/>
      <c r="AF6026" s="26"/>
      <c r="AJ6026" s="26"/>
    </row>
    <row r="6027" spans="29:36">
      <c r="AC6027" s="26"/>
      <c r="AE6027" s="26"/>
      <c r="AF6027" s="26"/>
      <c r="AJ6027" s="26"/>
    </row>
    <row r="6028" spans="29:36">
      <c r="AC6028" s="26"/>
      <c r="AE6028" s="26"/>
      <c r="AF6028" s="26"/>
      <c r="AJ6028" s="26"/>
    </row>
    <row r="6029" spans="29:36">
      <c r="AC6029" s="26"/>
      <c r="AE6029" s="26"/>
      <c r="AF6029" s="26"/>
      <c r="AJ6029" s="26"/>
    </row>
    <row r="6030" spans="29:36">
      <c r="AC6030" s="26"/>
      <c r="AE6030" s="26"/>
      <c r="AF6030" s="26"/>
      <c r="AJ6030" s="26"/>
    </row>
    <row r="6031" spans="29:36">
      <c r="AC6031" s="26"/>
      <c r="AE6031" s="26"/>
      <c r="AF6031" s="26"/>
      <c r="AJ6031" s="26"/>
    </row>
    <row r="6032" spans="29:36">
      <c r="AC6032" s="26"/>
      <c r="AE6032" s="26"/>
      <c r="AF6032" s="26"/>
      <c r="AJ6032" s="26"/>
    </row>
    <row r="6033" spans="29:36">
      <c r="AC6033" s="26"/>
      <c r="AE6033" s="26"/>
      <c r="AF6033" s="26"/>
      <c r="AJ6033" s="26"/>
    </row>
    <row r="6034" spans="29:36">
      <c r="AC6034" s="26"/>
      <c r="AE6034" s="26"/>
      <c r="AF6034" s="26"/>
      <c r="AJ6034" s="26"/>
    </row>
    <row r="6035" spans="29:36">
      <c r="AC6035" s="26"/>
      <c r="AE6035" s="26"/>
      <c r="AF6035" s="26"/>
      <c r="AJ6035" s="26"/>
    </row>
    <row r="6036" spans="29:36">
      <c r="AC6036" s="26"/>
      <c r="AE6036" s="26"/>
      <c r="AF6036" s="26"/>
      <c r="AJ6036" s="26"/>
    </row>
    <row r="6037" spans="29:36">
      <c r="AC6037" s="26"/>
      <c r="AE6037" s="26"/>
      <c r="AF6037" s="26"/>
      <c r="AJ6037" s="26"/>
    </row>
    <row r="6038" spans="29:36">
      <c r="AC6038" s="26"/>
      <c r="AE6038" s="26"/>
      <c r="AF6038" s="26"/>
      <c r="AJ6038" s="26"/>
    </row>
    <row r="6039" spans="29:36">
      <c r="AC6039" s="26"/>
      <c r="AE6039" s="26"/>
      <c r="AF6039" s="26"/>
      <c r="AJ6039" s="26"/>
    </row>
    <row r="6040" spans="29:36">
      <c r="AC6040" s="26"/>
      <c r="AE6040" s="26"/>
      <c r="AF6040" s="26"/>
      <c r="AJ6040" s="26"/>
    </row>
    <row r="6041" spans="29:36">
      <c r="AC6041" s="26"/>
      <c r="AE6041" s="26"/>
      <c r="AF6041" s="26"/>
      <c r="AJ6041" s="26"/>
    </row>
    <row r="6042" spans="29:36">
      <c r="AC6042" s="26"/>
      <c r="AE6042" s="26"/>
      <c r="AF6042" s="26"/>
      <c r="AJ6042" s="26"/>
    </row>
    <row r="6043" spans="29:36">
      <c r="AC6043" s="26"/>
      <c r="AE6043" s="26"/>
      <c r="AF6043" s="26"/>
      <c r="AJ6043" s="26"/>
    </row>
    <row r="6044" spans="29:36">
      <c r="AC6044" s="26"/>
      <c r="AE6044" s="26"/>
      <c r="AF6044" s="26"/>
      <c r="AJ6044" s="26"/>
    </row>
    <row r="6045" spans="29:36">
      <c r="AC6045" s="26"/>
      <c r="AE6045" s="26"/>
      <c r="AF6045" s="26"/>
      <c r="AJ6045" s="26"/>
    </row>
    <row r="6046" spans="29:36">
      <c r="AC6046" s="26"/>
      <c r="AE6046" s="26"/>
      <c r="AF6046" s="26"/>
      <c r="AJ6046" s="26"/>
    </row>
    <row r="6047" spans="29:36">
      <c r="AC6047" s="26"/>
      <c r="AE6047" s="26"/>
      <c r="AF6047" s="26"/>
      <c r="AJ6047" s="26"/>
    </row>
    <row r="6048" spans="29:36">
      <c r="AC6048" s="26"/>
      <c r="AE6048" s="26"/>
      <c r="AF6048" s="26"/>
      <c r="AJ6048" s="26"/>
    </row>
    <row r="6049" spans="29:36">
      <c r="AC6049" s="26"/>
      <c r="AE6049" s="26"/>
      <c r="AF6049" s="26"/>
      <c r="AJ6049" s="26"/>
    </row>
    <row r="6050" spans="29:36">
      <c r="AC6050" s="26"/>
      <c r="AE6050" s="26"/>
      <c r="AF6050" s="26"/>
      <c r="AJ6050" s="26"/>
    </row>
    <row r="6051" spans="29:36">
      <c r="AC6051" s="26"/>
      <c r="AE6051" s="26"/>
      <c r="AF6051" s="26"/>
      <c r="AJ6051" s="26"/>
    </row>
    <row r="6052" spans="29:36">
      <c r="AC6052" s="26"/>
      <c r="AE6052" s="26"/>
      <c r="AF6052" s="26"/>
      <c r="AJ6052" s="26"/>
    </row>
    <row r="6053" spans="29:36">
      <c r="AC6053" s="26"/>
      <c r="AE6053" s="26"/>
      <c r="AF6053" s="26"/>
      <c r="AJ6053" s="26"/>
    </row>
    <row r="6054" spans="29:36">
      <c r="AC6054" s="26"/>
      <c r="AE6054" s="26"/>
      <c r="AF6054" s="26"/>
      <c r="AJ6054" s="26"/>
    </row>
    <row r="6055" spans="29:36">
      <c r="AC6055" s="26"/>
      <c r="AE6055" s="26"/>
      <c r="AF6055" s="26"/>
      <c r="AJ6055" s="26"/>
    </row>
    <row r="6056" spans="29:36">
      <c r="AC6056" s="26"/>
      <c r="AE6056" s="26"/>
      <c r="AF6056" s="26"/>
      <c r="AJ6056" s="26"/>
    </row>
    <row r="6057" spans="29:36">
      <c r="AC6057" s="26"/>
      <c r="AE6057" s="26"/>
      <c r="AF6057" s="26"/>
      <c r="AJ6057" s="26"/>
    </row>
    <row r="6058" spans="29:36">
      <c r="AC6058" s="26"/>
      <c r="AE6058" s="26"/>
      <c r="AF6058" s="26"/>
      <c r="AJ6058" s="26"/>
    </row>
    <row r="6059" spans="29:36">
      <c r="AC6059" s="26"/>
      <c r="AE6059" s="26"/>
      <c r="AF6059" s="26"/>
      <c r="AJ6059" s="26"/>
    </row>
    <row r="6060" spans="29:36">
      <c r="AC6060" s="26"/>
      <c r="AE6060" s="26"/>
      <c r="AF6060" s="26"/>
      <c r="AJ6060" s="26"/>
    </row>
    <row r="6061" spans="29:36">
      <c r="AC6061" s="26"/>
      <c r="AE6061" s="26"/>
      <c r="AF6061" s="26"/>
      <c r="AJ6061" s="26"/>
    </row>
    <row r="6062" spans="29:36">
      <c r="AC6062" s="26"/>
      <c r="AE6062" s="26"/>
      <c r="AF6062" s="26"/>
      <c r="AJ6062" s="26"/>
    </row>
    <row r="6063" spans="29:36">
      <c r="AC6063" s="26"/>
      <c r="AE6063" s="26"/>
      <c r="AF6063" s="26"/>
      <c r="AJ6063" s="26"/>
    </row>
    <row r="6064" spans="29:36">
      <c r="AC6064" s="26"/>
      <c r="AE6064" s="26"/>
      <c r="AF6064" s="26"/>
      <c r="AJ6064" s="26"/>
    </row>
    <row r="6065" spans="29:36">
      <c r="AC6065" s="26"/>
      <c r="AE6065" s="26"/>
      <c r="AF6065" s="26"/>
      <c r="AJ6065" s="26"/>
    </row>
    <row r="6066" spans="29:36">
      <c r="AC6066" s="26"/>
      <c r="AE6066" s="26"/>
      <c r="AF6066" s="26"/>
      <c r="AJ6066" s="26"/>
    </row>
    <row r="6067" spans="29:36">
      <c r="AC6067" s="26"/>
      <c r="AE6067" s="26"/>
      <c r="AF6067" s="26"/>
      <c r="AJ6067" s="26"/>
    </row>
    <row r="6068" spans="29:36">
      <c r="AC6068" s="26"/>
      <c r="AE6068" s="26"/>
      <c r="AF6068" s="26"/>
      <c r="AJ6068" s="26"/>
    </row>
    <row r="6069" spans="29:36">
      <c r="AC6069" s="26"/>
      <c r="AE6069" s="26"/>
      <c r="AF6069" s="26"/>
      <c r="AJ6069" s="26"/>
    </row>
    <row r="6070" spans="29:36">
      <c r="AC6070" s="26"/>
      <c r="AE6070" s="26"/>
      <c r="AF6070" s="26"/>
      <c r="AJ6070" s="26"/>
    </row>
    <row r="6071" spans="29:36">
      <c r="AC6071" s="26"/>
      <c r="AE6071" s="26"/>
      <c r="AF6071" s="26"/>
      <c r="AJ6071" s="26"/>
    </row>
    <row r="6072" spans="29:36">
      <c r="AC6072" s="26"/>
      <c r="AE6072" s="26"/>
      <c r="AF6072" s="26"/>
      <c r="AJ6072" s="26"/>
    </row>
    <row r="6073" spans="29:36">
      <c r="AC6073" s="26"/>
      <c r="AE6073" s="26"/>
      <c r="AF6073" s="26"/>
      <c r="AJ6073" s="26"/>
    </row>
    <row r="6074" spans="29:36">
      <c r="AC6074" s="26"/>
      <c r="AE6074" s="26"/>
      <c r="AF6074" s="26"/>
      <c r="AJ6074" s="26"/>
    </row>
    <row r="6075" spans="29:36">
      <c r="AC6075" s="26"/>
      <c r="AE6075" s="26"/>
      <c r="AF6075" s="26"/>
      <c r="AJ6075" s="26"/>
    </row>
    <row r="6076" spans="29:36">
      <c r="AC6076" s="26"/>
      <c r="AE6076" s="26"/>
      <c r="AF6076" s="26"/>
      <c r="AJ6076" s="26"/>
    </row>
    <row r="6077" spans="29:36">
      <c r="AC6077" s="26"/>
      <c r="AE6077" s="26"/>
      <c r="AF6077" s="26"/>
      <c r="AJ6077" s="26"/>
    </row>
    <row r="6078" spans="29:36">
      <c r="AC6078" s="26"/>
      <c r="AE6078" s="26"/>
      <c r="AF6078" s="26"/>
      <c r="AJ6078" s="26"/>
    </row>
    <row r="6079" spans="29:36">
      <c r="AC6079" s="26"/>
      <c r="AE6079" s="26"/>
      <c r="AF6079" s="26"/>
      <c r="AJ6079" s="26"/>
    </row>
    <row r="6080" spans="29:36">
      <c r="AC6080" s="26"/>
      <c r="AE6080" s="26"/>
      <c r="AF6080" s="26"/>
      <c r="AJ6080" s="26"/>
    </row>
    <row r="6081" spans="29:36">
      <c r="AC6081" s="26"/>
      <c r="AE6081" s="26"/>
      <c r="AF6081" s="26"/>
      <c r="AJ6081" s="26"/>
    </row>
    <row r="6082" spans="29:36">
      <c r="AC6082" s="26"/>
      <c r="AE6082" s="26"/>
      <c r="AF6082" s="26"/>
      <c r="AJ6082" s="26"/>
    </row>
    <row r="6083" spans="29:36">
      <c r="AC6083" s="26"/>
      <c r="AE6083" s="26"/>
      <c r="AF6083" s="26"/>
      <c r="AJ6083" s="26"/>
    </row>
    <row r="6084" spans="29:36">
      <c r="AC6084" s="26"/>
      <c r="AE6084" s="26"/>
      <c r="AF6084" s="26"/>
      <c r="AJ6084" s="26"/>
    </row>
    <row r="6085" spans="29:36">
      <c r="AC6085" s="26"/>
      <c r="AE6085" s="26"/>
      <c r="AF6085" s="26"/>
      <c r="AJ6085" s="26"/>
    </row>
    <row r="6086" spans="29:36">
      <c r="AC6086" s="26"/>
      <c r="AE6086" s="26"/>
      <c r="AF6086" s="26"/>
      <c r="AJ6086" s="26"/>
    </row>
    <row r="6087" spans="29:36">
      <c r="AC6087" s="26"/>
      <c r="AE6087" s="26"/>
      <c r="AF6087" s="26"/>
      <c r="AJ6087" s="26"/>
    </row>
    <row r="6088" spans="29:36">
      <c r="AC6088" s="26"/>
      <c r="AE6088" s="26"/>
      <c r="AF6088" s="26"/>
      <c r="AJ6088" s="26"/>
    </row>
    <row r="6089" spans="29:36">
      <c r="AC6089" s="26"/>
      <c r="AE6089" s="26"/>
      <c r="AF6089" s="26"/>
      <c r="AJ6089" s="26"/>
    </row>
    <row r="6090" spans="29:36">
      <c r="AC6090" s="26"/>
      <c r="AE6090" s="26"/>
      <c r="AF6090" s="26"/>
      <c r="AJ6090" s="26"/>
    </row>
    <row r="6091" spans="29:36">
      <c r="AC6091" s="26"/>
      <c r="AE6091" s="26"/>
      <c r="AF6091" s="26"/>
      <c r="AJ6091" s="26"/>
    </row>
    <row r="6092" spans="29:36">
      <c r="AC6092" s="26"/>
      <c r="AE6092" s="26"/>
      <c r="AF6092" s="26"/>
      <c r="AJ6092" s="26"/>
    </row>
    <row r="6093" spans="29:36">
      <c r="AC6093" s="26"/>
      <c r="AE6093" s="26"/>
      <c r="AF6093" s="26"/>
      <c r="AJ6093" s="26"/>
    </row>
    <row r="6094" spans="29:36">
      <c r="AC6094" s="26"/>
      <c r="AE6094" s="26"/>
      <c r="AF6094" s="26"/>
      <c r="AJ6094" s="26"/>
    </row>
    <row r="6095" spans="29:36">
      <c r="AC6095" s="26"/>
      <c r="AE6095" s="26"/>
      <c r="AF6095" s="26"/>
      <c r="AJ6095" s="26"/>
    </row>
    <row r="6096" spans="29:36">
      <c r="AC6096" s="26"/>
      <c r="AE6096" s="26"/>
      <c r="AF6096" s="26"/>
      <c r="AJ6096" s="26"/>
    </row>
    <row r="6097" spans="29:36">
      <c r="AC6097" s="26"/>
      <c r="AE6097" s="26"/>
      <c r="AF6097" s="26"/>
      <c r="AJ6097" s="26"/>
    </row>
    <row r="6098" spans="29:36">
      <c r="AC6098" s="26"/>
      <c r="AE6098" s="26"/>
      <c r="AF6098" s="26"/>
      <c r="AJ6098" s="26"/>
    </row>
    <row r="6099" spans="29:36">
      <c r="AC6099" s="26"/>
      <c r="AE6099" s="26"/>
      <c r="AF6099" s="26"/>
      <c r="AJ6099" s="26"/>
    </row>
    <row r="6100" spans="29:36">
      <c r="AC6100" s="26"/>
      <c r="AE6100" s="26"/>
      <c r="AF6100" s="26"/>
      <c r="AJ6100" s="26"/>
    </row>
    <row r="6101" spans="29:36">
      <c r="AC6101" s="26"/>
      <c r="AE6101" s="26"/>
      <c r="AF6101" s="26"/>
      <c r="AJ6101" s="26"/>
    </row>
    <row r="6102" spans="29:36">
      <c r="AC6102" s="26"/>
      <c r="AE6102" s="26"/>
      <c r="AF6102" s="26"/>
      <c r="AJ6102" s="26"/>
    </row>
    <row r="6103" spans="29:36">
      <c r="AC6103" s="26"/>
      <c r="AE6103" s="26"/>
      <c r="AF6103" s="26"/>
      <c r="AJ6103" s="26"/>
    </row>
    <row r="6104" spans="29:36">
      <c r="AC6104" s="26"/>
      <c r="AE6104" s="26"/>
      <c r="AF6104" s="26"/>
      <c r="AJ6104" s="26"/>
    </row>
    <row r="6105" spans="29:36">
      <c r="AC6105" s="26"/>
      <c r="AE6105" s="26"/>
      <c r="AF6105" s="26"/>
      <c r="AJ6105" s="26"/>
    </row>
    <row r="6106" spans="29:36">
      <c r="AC6106" s="26"/>
      <c r="AE6106" s="26"/>
      <c r="AF6106" s="26"/>
      <c r="AJ6106" s="26"/>
    </row>
    <row r="6107" spans="29:36">
      <c r="AC6107" s="26"/>
      <c r="AE6107" s="26"/>
      <c r="AF6107" s="26"/>
      <c r="AJ6107" s="26"/>
    </row>
    <row r="6108" spans="29:36">
      <c r="AC6108" s="26"/>
      <c r="AE6108" s="26"/>
      <c r="AF6108" s="26"/>
      <c r="AJ6108" s="26"/>
    </row>
    <row r="6109" spans="29:36">
      <c r="AC6109" s="26"/>
      <c r="AE6109" s="26"/>
      <c r="AF6109" s="26"/>
      <c r="AJ6109" s="26"/>
    </row>
    <row r="6110" spans="29:36">
      <c r="AC6110" s="26"/>
      <c r="AE6110" s="26"/>
      <c r="AF6110" s="26"/>
      <c r="AJ6110" s="26"/>
    </row>
    <row r="6111" spans="29:36">
      <c r="AC6111" s="26"/>
      <c r="AE6111" s="26"/>
      <c r="AF6111" s="26"/>
      <c r="AJ6111" s="26"/>
    </row>
    <row r="6112" spans="29:36">
      <c r="AC6112" s="26"/>
      <c r="AE6112" s="26"/>
      <c r="AF6112" s="26"/>
      <c r="AJ6112" s="26"/>
    </row>
    <row r="6113" spans="29:36">
      <c r="AC6113" s="26"/>
      <c r="AE6113" s="26"/>
      <c r="AF6113" s="26"/>
      <c r="AJ6113" s="26"/>
    </row>
    <row r="6114" spans="29:36">
      <c r="AC6114" s="26"/>
      <c r="AE6114" s="26"/>
      <c r="AF6114" s="26"/>
      <c r="AJ6114" s="26"/>
    </row>
    <row r="6115" spans="29:36">
      <c r="AC6115" s="26"/>
      <c r="AE6115" s="26"/>
      <c r="AF6115" s="26"/>
      <c r="AJ6115" s="26"/>
    </row>
    <row r="6116" spans="29:36">
      <c r="AC6116" s="26"/>
      <c r="AE6116" s="26"/>
      <c r="AF6116" s="26"/>
      <c r="AJ6116" s="26"/>
    </row>
    <row r="6117" spans="29:36">
      <c r="AC6117" s="26"/>
      <c r="AE6117" s="26"/>
      <c r="AF6117" s="26"/>
      <c r="AJ6117" s="26"/>
    </row>
    <row r="6118" spans="29:36">
      <c r="AC6118" s="26"/>
      <c r="AE6118" s="26"/>
      <c r="AF6118" s="26"/>
      <c r="AJ6118" s="26"/>
    </row>
    <row r="6119" spans="29:36">
      <c r="AC6119" s="26"/>
      <c r="AE6119" s="26"/>
      <c r="AF6119" s="26"/>
      <c r="AJ6119" s="26"/>
    </row>
    <row r="6120" spans="29:36">
      <c r="AC6120" s="26"/>
      <c r="AE6120" s="26"/>
      <c r="AF6120" s="26"/>
      <c r="AJ6120" s="26"/>
    </row>
    <row r="6121" spans="29:36">
      <c r="AC6121" s="26"/>
      <c r="AE6121" s="26"/>
      <c r="AF6121" s="26"/>
      <c r="AJ6121" s="26"/>
    </row>
    <row r="6122" spans="29:36">
      <c r="AC6122" s="26"/>
      <c r="AE6122" s="26"/>
      <c r="AF6122" s="26"/>
      <c r="AJ6122" s="26"/>
    </row>
    <row r="6123" spans="29:36">
      <c r="AC6123" s="26"/>
      <c r="AE6123" s="26"/>
      <c r="AF6123" s="26"/>
      <c r="AJ6123" s="26"/>
    </row>
    <row r="6124" spans="29:36">
      <c r="AC6124" s="26"/>
      <c r="AE6124" s="26"/>
      <c r="AF6124" s="26"/>
      <c r="AJ6124" s="26"/>
    </row>
    <row r="6125" spans="29:36">
      <c r="AC6125" s="26"/>
      <c r="AE6125" s="26"/>
      <c r="AF6125" s="26"/>
      <c r="AJ6125" s="26"/>
    </row>
    <row r="6126" spans="29:36">
      <c r="AC6126" s="26"/>
      <c r="AE6126" s="26"/>
      <c r="AF6126" s="26"/>
      <c r="AJ6126" s="26"/>
    </row>
    <row r="6127" spans="29:36">
      <c r="AC6127" s="26"/>
      <c r="AE6127" s="26"/>
      <c r="AF6127" s="26"/>
      <c r="AJ6127" s="26"/>
    </row>
    <row r="6128" spans="29:36">
      <c r="AC6128" s="26"/>
      <c r="AE6128" s="26"/>
      <c r="AF6128" s="26"/>
      <c r="AJ6128" s="26"/>
    </row>
    <row r="6129" spans="29:36">
      <c r="AC6129" s="26"/>
      <c r="AE6129" s="26"/>
      <c r="AF6129" s="26"/>
      <c r="AJ6129" s="26"/>
    </row>
    <row r="6130" spans="29:36">
      <c r="AC6130" s="26"/>
      <c r="AE6130" s="26"/>
      <c r="AF6130" s="26"/>
      <c r="AJ6130" s="26"/>
    </row>
    <row r="6131" spans="29:36">
      <c r="AC6131" s="26"/>
      <c r="AE6131" s="26"/>
      <c r="AF6131" s="26"/>
      <c r="AJ6131" s="26"/>
    </row>
    <row r="6132" spans="29:36">
      <c r="AC6132" s="26"/>
      <c r="AE6132" s="26"/>
      <c r="AF6132" s="26"/>
      <c r="AJ6132" s="26"/>
    </row>
    <row r="6133" spans="29:36">
      <c r="AC6133" s="26"/>
      <c r="AE6133" s="26"/>
      <c r="AF6133" s="26"/>
      <c r="AJ6133" s="26"/>
    </row>
    <row r="6134" spans="29:36">
      <c r="AC6134" s="26"/>
      <c r="AE6134" s="26"/>
      <c r="AF6134" s="26"/>
      <c r="AJ6134" s="26"/>
    </row>
    <row r="6135" spans="29:36">
      <c r="AC6135" s="26"/>
      <c r="AE6135" s="26"/>
      <c r="AF6135" s="26"/>
      <c r="AJ6135" s="26"/>
    </row>
    <row r="6136" spans="29:36">
      <c r="AC6136" s="26"/>
      <c r="AE6136" s="26"/>
      <c r="AF6136" s="26"/>
      <c r="AJ6136" s="26"/>
    </row>
    <row r="6137" spans="29:36">
      <c r="AC6137" s="26"/>
      <c r="AE6137" s="26"/>
      <c r="AF6137" s="26"/>
      <c r="AJ6137" s="26"/>
    </row>
    <row r="6138" spans="29:36">
      <c r="AC6138" s="26"/>
      <c r="AE6138" s="26"/>
      <c r="AF6138" s="26"/>
      <c r="AJ6138" s="26"/>
    </row>
    <row r="6139" spans="29:36">
      <c r="AC6139" s="26"/>
      <c r="AE6139" s="26"/>
      <c r="AF6139" s="26"/>
      <c r="AJ6139" s="26"/>
    </row>
    <row r="6140" spans="29:36">
      <c r="AC6140" s="26"/>
      <c r="AE6140" s="26"/>
      <c r="AF6140" s="26"/>
      <c r="AJ6140" s="26"/>
    </row>
    <row r="6141" spans="29:36">
      <c r="AC6141" s="26"/>
      <c r="AE6141" s="26"/>
      <c r="AF6141" s="26"/>
      <c r="AJ6141" s="26"/>
    </row>
    <row r="6142" spans="29:36">
      <c r="AC6142" s="26"/>
      <c r="AE6142" s="26"/>
      <c r="AF6142" s="26"/>
      <c r="AJ6142" s="26"/>
    </row>
    <row r="6143" spans="29:36">
      <c r="AC6143" s="26"/>
      <c r="AE6143" s="26"/>
      <c r="AF6143" s="26"/>
      <c r="AJ6143" s="26"/>
    </row>
    <row r="6144" spans="29:36">
      <c r="AC6144" s="26"/>
      <c r="AE6144" s="26"/>
      <c r="AF6144" s="26"/>
      <c r="AJ6144" s="26"/>
    </row>
    <row r="6145" spans="29:36">
      <c r="AC6145" s="26"/>
      <c r="AE6145" s="26"/>
      <c r="AF6145" s="26"/>
      <c r="AJ6145" s="26"/>
    </row>
    <row r="6146" spans="29:36">
      <c r="AC6146" s="26"/>
      <c r="AE6146" s="26"/>
      <c r="AF6146" s="26"/>
      <c r="AJ6146" s="26"/>
    </row>
    <row r="6147" spans="29:36">
      <c r="AC6147" s="26"/>
      <c r="AE6147" s="26"/>
      <c r="AF6147" s="26"/>
      <c r="AJ6147" s="26"/>
    </row>
    <row r="6148" spans="29:36">
      <c r="AC6148" s="26"/>
      <c r="AE6148" s="26"/>
      <c r="AF6148" s="26"/>
      <c r="AJ6148" s="26"/>
    </row>
    <row r="6149" spans="29:36">
      <c r="AC6149" s="26"/>
      <c r="AE6149" s="26"/>
      <c r="AF6149" s="26"/>
      <c r="AJ6149" s="26"/>
    </row>
    <row r="6150" spans="29:36">
      <c r="AC6150" s="26"/>
      <c r="AE6150" s="26"/>
      <c r="AF6150" s="26"/>
      <c r="AJ6150" s="26"/>
    </row>
    <row r="6151" spans="29:36">
      <c r="AC6151" s="26"/>
      <c r="AE6151" s="26"/>
      <c r="AF6151" s="26"/>
      <c r="AJ6151" s="26"/>
    </row>
    <row r="6152" spans="29:36">
      <c r="AC6152" s="26"/>
      <c r="AE6152" s="26"/>
      <c r="AF6152" s="26"/>
      <c r="AJ6152" s="26"/>
    </row>
    <row r="6153" spans="29:36">
      <c r="AC6153" s="26"/>
      <c r="AE6153" s="26"/>
      <c r="AF6153" s="26"/>
      <c r="AJ6153" s="26"/>
    </row>
    <row r="6154" spans="29:36">
      <c r="AC6154" s="26"/>
      <c r="AE6154" s="26"/>
      <c r="AF6154" s="26"/>
      <c r="AJ6154" s="26"/>
    </row>
    <row r="6155" spans="29:36">
      <c r="AC6155" s="26"/>
      <c r="AE6155" s="26"/>
      <c r="AF6155" s="26"/>
      <c r="AJ6155" s="26"/>
    </row>
    <row r="6156" spans="29:36">
      <c r="AC6156" s="26"/>
      <c r="AE6156" s="26"/>
      <c r="AF6156" s="26"/>
      <c r="AJ6156" s="26"/>
    </row>
    <row r="6157" spans="29:36">
      <c r="AC6157" s="26"/>
      <c r="AE6157" s="26"/>
      <c r="AF6157" s="26"/>
      <c r="AJ6157" s="26"/>
    </row>
    <row r="6158" spans="29:36">
      <c r="AC6158" s="26"/>
      <c r="AE6158" s="26"/>
      <c r="AF6158" s="26"/>
      <c r="AJ6158" s="26"/>
    </row>
    <row r="6159" spans="29:36">
      <c r="AC6159" s="26"/>
      <c r="AE6159" s="26"/>
      <c r="AF6159" s="26"/>
      <c r="AJ6159" s="26"/>
    </row>
    <row r="6160" spans="29:36">
      <c r="AC6160" s="26"/>
      <c r="AE6160" s="26"/>
      <c r="AF6160" s="26"/>
      <c r="AJ6160" s="26"/>
    </row>
    <row r="6161" spans="29:36">
      <c r="AC6161" s="26"/>
      <c r="AE6161" s="26"/>
      <c r="AF6161" s="26"/>
      <c r="AJ6161" s="26"/>
    </row>
    <row r="6162" spans="29:36">
      <c r="AC6162" s="26"/>
      <c r="AE6162" s="26"/>
      <c r="AF6162" s="26"/>
      <c r="AJ6162" s="26"/>
    </row>
    <row r="6163" spans="29:36">
      <c r="AC6163" s="26"/>
      <c r="AE6163" s="26"/>
      <c r="AF6163" s="26"/>
      <c r="AJ6163" s="26"/>
    </row>
    <row r="6164" spans="29:36">
      <c r="AC6164" s="26"/>
      <c r="AE6164" s="26"/>
      <c r="AF6164" s="26"/>
      <c r="AJ6164" s="26"/>
    </row>
    <row r="6165" spans="29:36">
      <c r="AC6165" s="26"/>
      <c r="AE6165" s="26"/>
      <c r="AF6165" s="26"/>
      <c r="AJ6165" s="26"/>
    </row>
    <row r="6166" spans="29:36">
      <c r="AC6166" s="26"/>
      <c r="AE6166" s="26"/>
      <c r="AF6166" s="26"/>
      <c r="AJ6166" s="26"/>
    </row>
    <row r="6167" spans="29:36">
      <c r="AC6167" s="26"/>
      <c r="AE6167" s="26"/>
      <c r="AF6167" s="26"/>
      <c r="AJ6167" s="26"/>
    </row>
    <row r="6168" spans="29:36">
      <c r="AC6168" s="26"/>
      <c r="AE6168" s="26"/>
      <c r="AF6168" s="26"/>
      <c r="AJ6168" s="26"/>
    </row>
    <row r="6169" spans="29:36">
      <c r="AC6169" s="26"/>
      <c r="AE6169" s="26"/>
      <c r="AF6169" s="26"/>
      <c r="AJ6169" s="26"/>
    </row>
    <row r="6170" spans="29:36">
      <c r="AC6170" s="26"/>
      <c r="AE6170" s="26"/>
      <c r="AF6170" s="26"/>
      <c r="AJ6170" s="26"/>
    </row>
    <row r="6171" spans="29:36">
      <c r="AC6171" s="26"/>
      <c r="AE6171" s="26"/>
      <c r="AF6171" s="26"/>
      <c r="AJ6171" s="26"/>
    </row>
    <row r="6172" spans="29:36">
      <c r="AC6172" s="26"/>
      <c r="AE6172" s="26"/>
      <c r="AF6172" s="26"/>
      <c r="AJ6172" s="26"/>
    </row>
    <row r="6173" spans="29:36">
      <c r="AC6173" s="26"/>
      <c r="AE6173" s="26"/>
      <c r="AF6173" s="26"/>
      <c r="AJ6173" s="26"/>
    </row>
    <row r="6174" spans="29:36">
      <c r="AC6174" s="26"/>
      <c r="AE6174" s="26"/>
      <c r="AF6174" s="26"/>
      <c r="AJ6174" s="26"/>
    </row>
    <row r="6175" spans="29:36">
      <c r="AC6175" s="26"/>
      <c r="AE6175" s="26"/>
      <c r="AF6175" s="26"/>
      <c r="AJ6175" s="26"/>
    </row>
    <row r="6176" spans="29:36">
      <c r="AC6176" s="26"/>
      <c r="AE6176" s="26"/>
      <c r="AF6176" s="26"/>
      <c r="AJ6176" s="26"/>
    </row>
    <row r="6177" spans="29:36">
      <c r="AC6177" s="26"/>
      <c r="AE6177" s="26"/>
      <c r="AF6177" s="26"/>
      <c r="AJ6177" s="26"/>
    </row>
    <row r="6178" spans="29:36">
      <c r="AC6178" s="26"/>
      <c r="AE6178" s="26"/>
      <c r="AF6178" s="26"/>
      <c r="AJ6178" s="26"/>
    </row>
    <row r="6179" spans="29:36">
      <c r="AC6179" s="26"/>
      <c r="AE6179" s="26"/>
      <c r="AF6179" s="26"/>
      <c r="AJ6179" s="26"/>
    </row>
    <row r="6180" spans="29:36">
      <c r="AC6180" s="26"/>
      <c r="AE6180" s="26"/>
      <c r="AF6180" s="26"/>
      <c r="AJ6180" s="26"/>
    </row>
    <row r="6181" spans="29:36">
      <c r="AC6181" s="26"/>
      <c r="AE6181" s="26"/>
      <c r="AF6181" s="26"/>
      <c r="AJ6181" s="26"/>
    </row>
    <row r="6182" spans="29:36">
      <c r="AC6182" s="26"/>
      <c r="AE6182" s="26"/>
      <c r="AF6182" s="26"/>
      <c r="AJ6182" s="26"/>
    </row>
    <row r="6183" spans="29:36">
      <c r="AC6183" s="26"/>
      <c r="AE6183" s="26"/>
      <c r="AF6183" s="26"/>
      <c r="AJ6183" s="26"/>
    </row>
    <row r="6184" spans="29:36">
      <c r="AC6184" s="26"/>
      <c r="AE6184" s="26"/>
      <c r="AF6184" s="26"/>
      <c r="AJ6184" s="26"/>
    </row>
    <row r="6185" spans="29:36">
      <c r="AC6185" s="26"/>
      <c r="AE6185" s="26"/>
      <c r="AF6185" s="26"/>
      <c r="AJ6185" s="26"/>
    </row>
    <row r="6186" spans="29:36">
      <c r="AC6186" s="26"/>
      <c r="AE6186" s="26"/>
      <c r="AF6186" s="26"/>
      <c r="AJ6186" s="26"/>
    </row>
    <row r="6187" spans="29:36">
      <c r="AC6187" s="26"/>
      <c r="AE6187" s="26"/>
      <c r="AF6187" s="26"/>
      <c r="AJ6187" s="26"/>
    </row>
    <row r="6188" spans="29:36">
      <c r="AC6188" s="26"/>
      <c r="AE6188" s="26"/>
      <c r="AF6188" s="26"/>
      <c r="AJ6188" s="26"/>
    </row>
    <row r="6189" spans="29:36">
      <c r="AC6189" s="26"/>
      <c r="AE6189" s="26"/>
      <c r="AF6189" s="26"/>
      <c r="AJ6189" s="26"/>
    </row>
    <row r="6190" spans="29:36">
      <c r="AC6190" s="26"/>
      <c r="AE6190" s="26"/>
      <c r="AF6190" s="26"/>
      <c r="AJ6190" s="26"/>
    </row>
    <row r="6191" spans="29:36">
      <c r="AC6191" s="26"/>
      <c r="AE6191" s="26"/>
      <c r="AF6191" s="26"/>
      <c r="AJ6191" s="26"/>
    </row>
    <row r="6192" spans="29:36">
      <c r="AC6192" s="26"/>
      <c r="AE6192" s="26"/>
      <c r="AF6192" s="26"/>
      <c r="AJ6192" s="26"/>
    </row>
    <row r="6193" spans="29:36">
      <c r="AC6193" s="26"/>
      <c r="AE6193" s="26"/>
      <c r="AF6193" s="26"/>
      <c r="AJ6193" s="26"/>
    </row>
    <row r="6194" spans="29:36">
      <c r="AC6194" s="26"/>
      <c r="AE6194" s="26"/>
      <c r="AF6194" s="26"/>
      <c r="AJ6194" s="26"/>
    </row>
    <row r="6195" spans="29:36">
      <c r="AC6195" s="26"/>
      <c r="AE6195" s="26"/>
      <c r="AF6195" s="26"/>
      <c r="AJ6195" s="26"/>
    </row>
    <row r="6196" spans="29:36">
      <c r="AC6196" s="26"/>
      <c r="AE6196" s="26"/>
      <c r="AF6196" s="26"/>
      <c r="AJ6196" s="26"/>
    </row>
    <row r="6197" spans="29:36">
      <c r="AC6197" s="26"/>
      <c r="AE6197" s="26"/>
      <c r="AF6197" s="26"/>
      <c r="AJ6197" s="26"/>
    </row>
    <row r="6198" spans="29:36">
      <c r="AC6198" s="26"/>
      <c r="AE6198" s="26"/>
      <c r="AF6198" s="26"/>
      <c r="AJ6198" s="26"/>
    </row>
    <row r="6199" spans="29:36">
      <c r="AC6199" s="26"/>
      <c r="AE6199" s="26"/>
      <c r="AF6199" s="26"/>
      <c r="AJ6199" s="26"/>
    </row>
    <row r="6200" spans="29:36">
      <c r="AC6200" s="26"/>
      <c r="AE6200" s="26"/>
      <c r="AF6200" s="26"/>
      <c r="AJ6200" s="26"/>
    </row>
    <row r="6201" spans="29:36">
      <c r="AC6201" s="26"/>
      <c r="AE6201" s="26"/>
      <c r="AF6201" s="26"/>
      <c r="AJ6201" s="26"/>
    </row>
    <row r="6202" spans="29:36">
      <c r="AC6202" s="26"/>
      <c r="AE6202" s="26"/>
      <c r="AF6202" s="26"/>
      <c r="AJ6202" s="26"/>
    </row>
    <row r="6203" spans="29:36">
      <c r="AC6203" s="26"/>
      <c r="AE6203" s="26"/>
      <c r="AF6203" s="26"/>
      <c r="AJ6203" s="26"/>
    </row>
    <row r="6204" spans="29:36">
      <c r="AC6204" s="26"/>
      <c r="AE6204" s="26"/>
      <c r="AF6204" s="26"/>
      <c r="AJ6204" s="26"/>
    </row>
    <row r="6205" spans="29:36">
      <c r="AC6205" s="26"/>
      <c r="AE6205" s="26"/>
      <c r="AF6205" s="26"/>
      <c r="AJ6205" s="26"/>
    </row>
    <row r="6206" spans="29:36">
      <c r="AC6206" s="26"/>
      <c r="AE6206" s="26"/>
      <c r="AF6206" s="26"/>
      <c r="AJ6206" s="26"/>
    </row>
    <row r="6207" spans="29:36">
      <c r="AC6207" s="26"/>
      <c r="AE6207" s="26"/>
      <c r="AF6207" s="26"/>
      <c r="AJ6207" s="26"/>
    </row>
    <row r="6208" spans="29:36">
      <c r="AC6208" s="26"/>
      <c r="AE6208" s="26"/>
      <c r="AF6208" s="26"/>
      <c r="AJ6208" s="26"/>
    </row>
    <row r="6209" spans="29:36">
      <c r="AC6209" s="26"/>
      <c r="AE6209" s="26"/>
      <c r="AF6209" s="26"/>
      <c r="AJ6209" s="26"/>
    </row>
    <row r="6210" spans="29:36">
      <c r="AC6210" s="26"/>
      <c r="AE6210" s="26"/>
      <c r="AF6210" s="26"/>
      <c r="AJ6210" s="26"/>
    </row>
    <row r="6211" spans="29:36">
      <c r="AC6211" s="26"/>
      <c r="AE6211" s="26"/>
      <c r="AF6211" s="26"/>
      <c r="AJ6211" s="26"/>
    </row>
    <row r="6212" spans="29:36">
      <c r="AC6212" s="26"/>
      <c r="AE6212" s="26"/>
      <c r="AF6212" s="26"/>
      <c r="AJ6212" s="26"/>
    </row>
    <row r="6213" spans="29:36">
      <c r="AC6213" s="26"/>
      <c r="AE6213" s="26"/>
      <c r="AF6213" s="26"/>
      <c r="AJ6213" s="26"/>
    </row>
    <row r="6214" spans="29:36">
      <c r="AC6214" s="26"/>
      <c r="AE6214" s="26"/>
      <c r="AF6214" s="26"/>
      <c r="AJ6214" s="26"/>
    </row>
    <row r="6215" spans="29:36">
      <c r="AC6215" s="26"/>
      <c r="AE6215" s="26"/>
      <c r="AF6215" s="26"/>
      <c r="AJ6215" s="26"/>
    </row>
    <row r="6216" spans="29:36">
      <c r="AC6216" s="26"/>
      <c r="AE6216" s="26"/>
      <c r="AF6216" s="26"/>
      <c r="AJ6216" s="26"/>
    </row>
    <row r="6217" spans="29:36">
      <c r="AC6217" s="26"/>
      <c r="AE6217" s="26"/>
      <c r="AF6217" s="26"/>
      <c r="AJ6217" s="26"/>
    </row>
    <row r="6218" spans="29:36">
      <c r="AC6218" s="26"/>
      <c r="AE6218" s="26"/>
      <c r="AF6218" s="26"/>
      <c r="AJ6218" s="26"/>
    </row>
    <row r="6219" spans="29:36">
      <c r="AC6219" s="26"/>
      <c r="AE6219" s="26"/>
      <c r="AF6219" s="26"/>
      <c r="AJ6219" s="26"/>
    </row>
    <row r="6220" spans="29:36">
      <c r="AC6220" s="26"/>
      <c r="AE6220" s="26"/>
      <c r="AF6220" s="26"/>
      <c r="AJ6220" s="26"/>
    </row>
    <row r="6221" spans="29:36">
      <c r="AC6221" s="26"/>
      <c r="AE6221" s="26"/>
      <c r="AF6221" s="26"/>
      <c r="AJ6221" s="26"/>
    </row>
    <row r="6222" spans="29:36">
      <c r="AC6222" s="26"/>
      <c r="AE6222" s="26"/>
      <c r="AF6222" s="26"/>
      <c r="AJ6222" s="26"/>
    </row>
    <row r="6223" spans="29:36">
      <c r="AC6223" s="26"/>
      <c r="AE6223" s="26"/>
      <c r="AF6223" s="26"/>
      <c r="AJ6223" s="26"/>
    </row>
    <row r="6224" spans="29:36">
      <c r="AC6224" s="26"/>
      <c r="AE6224" s="26"/>
      <c r="AF6224" s="26"/>
      <c r="AJ6224" s="26"/>
    </row>
    <row r="6225" spans="29:36">
      <c r="AC6225" s="26"/>
      <c r="AE6225" s="26"/>
      <c r="AF6225" s="26"/>
      <c r="AJ6225" s="26"/>
    </row>
    <row r="6226" spans="29:36">
      <c r="AC6226" s="26"/>
      <c r="AE6226" s="26"/>
      <c r="AF6226" s="26"/>
      <c r="AJ6226" s="26"/>
    </row>
    <row r="6227" spans="29:36">
      <c r="AC6227" s="26"/>
      <c r="AE6227" s="26"/>
      <c r="AF6227" s="26"/>
      <c r="AJ6227" s="26"/>
    </row>
    <row r="6228" spans="29:36">
      <c r="AC6228" s="26"/>
      <c r="AE6228" s="26"/>
      <c r="AF6228" s="26"/>
      <c r="AJ6228" s="26"/>
    </row>
    <row r="6229" spans="29:36">
      <c r="AC6229" s="26"/>
      <c r="AE6229" s="26"/>
      <c r="AF6229" s="26"/>
      <c r="AJ6229" s="26"/>
    </row>
    <row r="6230" spans="29:36">
      <c r="AC6230" s="26"/>
      <c r="AE6230" s="26"/>
      <c r="AF6230" s="26"/>
      <c r="AJ6230" s="26"/>
    </row>
    <row r="6231" spans="29:36">
      <c r="AC6231" s="26"/>
      <c r="AE6231" s="26"/>
      <c r="AF6231" s="26"/>
      <c r="AJ6231" s="26"/>
    </row>
    <row r="6232" spans="29:36">
      <c r="AC6232" s="26"/>
      <c r="AE6232" s="26"/>
      <c r="AF6232" s="26"/>
      <c r="AJ6232" s="26"/>
    </row>
    <row r="6233" spans="29:36">
      <c r="AC6233" s="26"/>
      <c r="AE6233" s="26"/>
      <c r="AF6233" s="26"/>
      <c r="AJ6233" s="26"/>
    </row>
    <row r="6234" spans="29:36">
      <c r="AC6234" s="26"/>
      <c r="AE6234" s="26"/>
      <c r="AF6234" s="26"/>
      <c r="AJ6234" s="26"/>
    </row>
    <row r="6235" spans="29:36">
      <c r="AC6235" s="26"/>
      <c r="AE6235" s="26"/>
      <c r="AF6235" s="26"/>
      <c r="AJ6235" s="26"/>
    </row>
    <row r="6236" spans="29:36">
      <c r="AC6236" s="26"/>
      <c r="AE6236" s="26"/>
      <c r="AF6236" s="26"/>
      <c r="AJ6236" s="26"/>
    </row>
    <row r="6237" spans="29:36">
      <c r="AC6237" s="26"/>
      <c r="AE6237" s="26"/>
      <c r="AF6237" s="26"/>
      <c r="AJ6237" s="26"/>
    </row>
    <row r="6238" spans="29:36">
      <c r="AC6238" s="26"/>
      <c r="AE6238" s="26"/>
      <c r="AF6238" s="26"/>
      <c r="AJ6238" s="26"/>
    </row>
    <row r="6239" spans="29:36">
      <c r="AC6239" s="26"/>
      <c r="AE6239" s="26"/>
      <c r="AF6239" s="26"/>
      <c r="AJ6239" s="26"/>
    </row>
    <row r="6240" spans="29:36">
      <c r="AC6240" s="26"/>
      <c r="AE6240" s="26"/>
      <c r="AF6240" s="26"/>
      <c r="AJ6240" s="26"/>
    </row>
    <row r="6241" spans="29:36">
      <c r="AC6241" s="26"/>
      <c r="AE6241" s="26"/>
      <c r="AF6241" s="26"/>
      <c r="AJ6241" s="26"/>
    </row>
    <row r="6242" spans="29:36">
      <c r="AC6242" s="26"/>
      <c r="AE6242" s="26"/>
      <c r="AF6242" s="26"/>
      <c r="AJ6242" s="26"/>
    </row>
    <row r="6243" spans="29:36">
      <c r="AC6243" s="26"/>
      <c r="AE6243" s="26"/>
      <c r="AF6243" s="26"/>
      <c r="AJ6243" s="26"/>
    </row>
    <row r="6244" spans="29:36">
      <c r="AC6244" s="26"/>
      <c r="AE6244" s="26"/>
      <c r="AF6244" s="26"/>
      <c r="AJ6244" s="26"/>
    </row>
    <row r="6245" spans="29:36">
      <c r="AC6245" s="26"/>
      <c r="AE6245" s="26"/>
      <c r="AF6245" s="26"/>
      <c r="AJ6245" s="26"/>
    </row>
    <row r="6246" spans="29:36">
      <c r="AC6246" s="26"/>
      <c r="AE6246" s="26"/>
      <c r="AF6246" s="26"/>
      <c r="AJ6246" s="26"/>
    </row>
    <row r="6247" spans="29:36">
      <c r="AC6247" s="26"/>
      <c r="AE6247" s="26"/>
      <c r="AF6247" s="26"/>
      <c r="AJ6247" s="26"/>
    </row>
    <row r="6248" spans="29:36">
      <c r="AC6248" s="26"/>
      <c r="AE6248" s="26"/>
      <c r="AF6248" s="26"/>
      <c r="AJ6248" s="26"/>
    </row>
    <row r="6249" spans="29:36">
      <c r="AC6249" s="26"/>
      <c r="AE6249" s="26"/>
      <c r="AF6249" s="26"/>
      <c r="AJ6249" s="26"/>
    </row>
    <row r="6250" spans="29:36">
      <c r="AC6250" s="26"/>
      <c r="AE6250" s="26"/>
      <c r="AF6250" s="26"/>
      <c r="AJ6250" s="26"/>
    </row>
    <row r="6251" spans="29:36">
      <c r="AC6251" s="26"/>
      <c r="AE6251" s="26"/>
      <c r="AF6251" s="26"/>
      <c r="AJ6251" s="26"/>
    </row>
    <row r="6252" spans="29:36">
      <c r="AC6252" s="26"/>
      <c r="AE6252" s="26"/>
      <c r="AF6252" s="26"/>
      <c r="AJ6252" s="26"/>
    </row>
    <row r="6253" spans="29:36">
      <c r="AC6253" s="26"/>
      <c r="AE6253" s="26"/>
      <c r="AF6253" s="26"/>
      <c r="AJ6253" s="26"/>
    </row>
    <row r="6254" spans="29:36">
      <c r="AC6254" s="26"/>
      <c r="AE6254" s="26"/>
      <c r="AF6254" s="26"/>
      <c r="AJ6254" s="26"/>
    </row>
    <row r="6255" spans="29:36">
      <c r="AC6255" s="26"/>
      <c r="AE6255" s="26"/>
      <c r="AF6255" s="26"/>
      <c r="AJ6255" s="26"/>
    </row>
    <row r="6256" spans="29:36">
      <c r="AC6256" s="26"/>
      <c r="AE6256" s="26"/>
      <c r="AF6256" s="26"/>
      <c r="AJ6256" s="26"/>
    </row>
    <row r="6257" spans="29:36">
      <c r="AC6257" s="26"/>
      <c r="AE6257" s="26"/>
      <c r="AF6257" s="26"/>
      <c r="AJ6257" s="26"/>
    </row>
    <row r="6258" spans="29:36">
      <c r="AC6258" s="26"/>
      <c r="AE6258" s="26"/>
      <c r="AF6258" s="26"/>
      <c r="AJ6258" s="26"/>
    </row>
    <row r="6259" spans="29:36">
      <c r="AC6259" s="26"/>
      <c r="AE6259" s="26"/>
      <c r="AF6259" s="26"/>
      <c r="AJ6259" s="26"/>
    </row>
    <row r="6260" spans="29:36">
      <c r="AC6260" s="26"/>
      <c r="AE6260" s="26"/>
      <c r="AF6260" s="26"/>
      <c r="AJ6260" s="26"/>
    </row>
    <row r="6261" spans="29:36">
      <c r="AC6261" s="26"/>
      <c r="AE6261" s="26"/>
      <c r="AF6261" s="26"/>
      <c r="AJ6261" s="26"/>
    </row>
    <row r="6262" spans="29:36">
      <c r="AC6262" s="26"/>
      <c r="AE6262" s="26"/>
      <c r="AF6262" s="26"/>
      <c r="AJ6262" s="26"/>
    </row>
    <row r="6263" spans="29:36">
      <c r="AC6263" s="26"/>
      <c r="AE6263" s="26"/>
      <c r="AF6263" s="26"/>
      <c r="AJ6263" s="26"/>
    </row>
    <row r="6264" spans="29:36">
      <c r="AC6264" s="26"/>
      <c r="AE6264" s="26"/>
      <c r="AF6264" s="26"/>
      <c r="AJ6264" s="26"/>
    </row>
    <row r="6265" spans="29:36">
      <c r="AC6265" s="26"/>
      <c r="AE6265" s="26"/>
      <c r="AF6265" s="26"/>
      <c r="AJ6265" s="26"/>
    </row>
    <row r="6266" spans="29:36">
      <c r="AC6266" s="26"/>
      <c r="AE6266" s="26"/>
      <c r="AF6266" s="26"/>
      <c r="AJ6266" s="26"/>
    </row>
    <row r="6267" spans="29:36">
      <c r="AC6267" s="26"/>
      <c r="AE6267" s="26"/>
      <c r="AF6267" s="26"/>
      <c r="AJ6267" s="26"/>
    </row>
    <row r="6268" spans="29:36">
      <c r="AC6268" s="26"/>
      <c r="AE6268" s="26"/>
      <c r="AF6268" s="26"/>
      <c r="AJ6268" s="26"/>
    </row>
    <row r="6269" spans="29:36">
      <c r="AC6269" s="26"/>
      <c r="AE6269" s="26"/>
      <c r="AF6269" s="26"/>
      <c r="AJ6269" s="26"/>
    </row>
    <row r="6270" spans="29:36">
      <c r="AC6270" s="26"/>
      <c r="AE6270" s="26"/>
      <c r="AF6270" s="26"/>
      <c r="AJ6270" s="26"/>
    </row>
    <row r="6271" spans="29:36">
      <c r="AC6271" s="26"/>
      <c r="AE6271" s="26"/>
      <c r="AF6271" s="26"/>
      <c r="AJ6271" s="26"/>
    </row>
    <row r="6272" spans="29:36">
      <c r="AC6272" s="26"/>
      <c r="AE6272" s="26"/>
      <c r="AF6272" s="26"/>
      <c r="AJ6272" s="26"/>
    </row>
    <row r="6273" spans="29:36">
      <c r="AC6273" s="26"/>
      <c r="AE6273" s="26"/>
      <c r="AF6273" s="26"/>
      <c r="AJ6273" s="26"/>
    </row>
    <row r="6274" spans="29:36">
      <c r="AC6274" s="26"/>
      <c r="AE6274" s="26"/>
      <c r="AF6274" s="26"/>
      <c r="AJ6274" s="26"/>
    </row>
    <row r="6275" spans="29:36">
      <c r="AC6275" s="26"/>
      <c r="AE6275" s="26"/>
      <c r="AF6275" s="26"/>
      <c r="AJ6275" s="26"/>
    </row>
    <row r="6276" spans="29:36">
      <c r="AC6276" s="26"/>
      <c r="AE6276" s="26"/>
      <c r="AF6276" s="26"/>
      <c r="AJ6276" s="26"/>
    </row>
    <row r="6277" spans="29:36">
      <c r="AC6277" s="26"/>
      <c r="AE6277" s="26"/>
      <c r="AF6277" s="26"/>
      <c r="AJ6277" s="26"/>
    </row>
    <row r="6278" spans="29:36">
      <c r="AC6278" s="26"/>
      <c r="AE6278" s="26"/>
      <c r="AF6278" s="26"/>
      <c r="AJ6278" s="26"/>
    </row>
    <row r="6279" spans="29:36">
      <c r="AC6279" s="26"/>
      <c r="AE6279" s="26"/>
      <c r="AF6279" s="26"/>
      <c r="AJ6279" s="26"/>
    </row>
    <row r="6280" spans="29:36">
      <c r="AC6280" s="26"/>
      <c r="AE6280" s="26"/>
      <c r="AF6280" s="26"/>
      <c r="AJ6280" s="26"/>
    </row>
    <row r="6281" spans="29:36">
      <c r="AC6281" s="26"/>
      <c r="AE6281" s="26"/>
      <c r="AF6281" s="26"/>
      <c r="AJ6281" s="26"/>
    </row>
    <row r="6282" spans="29:36">
      <c r="AC6282" s="26"/>
      <c r="AE6282" s="26"/>
      <c r="AF6282" s="26"/>
      <c r="AJ6282" s="26"/>
    </row>
    <row r="6283" spans="29:36">
      <c r="AC6283" s="26"/>
      <c r="AE6283" s="26"/>
      <c r="AF6283" s="26"/>
      <c r="AJ6283" s="26"/>
    </row>
    <row r="6284" spans="29:36">
      <c r="AC6284" s="26"/>
      <c r="AE6284" s="26"/>
      <c r="AF6284" s="26"/>
      <c r="AJ6284" s="26"/>
    </row>
    <row r="6285" spans="29:36">
      <c r="AC6285" s="26"/>
      <c r="AE6285" s="26"/>
      <c r="AF6285" s="26"/>
      <c r="AJ6285" s="26"/>
    </row>
    <row r="6286" spans="29:36">
      <c r="AC6286" s="26"/>
      <c r="AE6286" s="26"/>
      <c r="AF6286" s="26"/>
      <c r="AJ6286" s="26"/>
    </row>
    <row r="6287" spans="29:36">
      <c r="AC6287" s="26"/>
      <c r="AE6287" s="26"/>
      <c r="AF6287" s="26"/>
      <c r="AJ6287" s="26"/>
    </row>
    <row r="6288" spans="29:36">
      <c r="AC6288" s="26"/>
      <c r="AE6288" s="26"/>
      <c r="AF6288" s="26"/>
      <c r="AJ6288" s="26"/>
    </row>
    <row r="6289" spans="29:36">
      <c r="AC6289" s="26"/>
      <c r="AE6289" s="26"/>
      <c r="AF6289" s="26"/>
      <c r="AJ6289" s="26"/>
    </row>
    <row r="6290" spans="29:36">
      <c r="AC6290" s="26"/>
      <c r="AE6290" s="26"/>
      <c r="AF6290" s="26"/>
      <c r="AJ6290" s="26"/>
    </row>
    <row r="6291" spans="29:36">
      <c r="AC6291" s="26"/>
      <c r="AE6291" s="26"/>
      <c r="AF6291" s="26"/>
      <c r="AJ6291" s="26"/>
    </row>
    <row r="6292" spans="29:36">
      <c r="AC6292" s="26"/>
      <c r="AE6292" s="26"/>
      <c r="AF6292" s="26"/>
      <c r="AJ6292" s="26"/>
    </row>
    <row r="6293" spans="29:36">
      <c r="AC6293" s="26"/>
      <c r="AE6293" s="26"/>
      <c r="AF6293" s="26"/>
      <c r="AJ6293" s="26"/>
    </row>
    <row r="6294" spans="29:36">
      <c r="AC6294" s="26"/>
      <c r="AE6294" s="26"/>
      <c r="AF6294" s="26"/>
      <c r="AJ6294" s="26"/>
    </row>
    <row r="6295" spans="29:36">
      <c r="AC6295" s="26"/>
      <c r="AE6295" s="26"/>
      <c r="AF6295" s="26"/>
      <c r="AJ6295" s="26"/>
    </row>
    <row r="6296" spans="29:36">
      <c r="AC6296" s="26"/>
      <c r="AE6296" s="26"/>
      <c r="AF6296" s="26"/>
      <c r="AJ6296" s="26"/>
    </row>
    <row r="6297" spans="29:36">
      <c r="AC6297" s="26"/>
      <c r="AE6297" s="26"/>
      <c r="AF6297" s="26"/>
      <c r="AJ6297" s="26"/>
    </row>
    <row r="6298" spans="29:36">
      <c r="AC6298" s="26"/>
      <c r="AE6298" s="26"/>
      <c r="AF6298" s="26"/>
      <c r="AJ6298" s="26"/>
    </row>
    <row r="6299" spans="29:36">
      <c r="AC6299" s="26"/>
      <c r="AE6299" s="26"/>
      <c r="AF6299" s="26"/>
      <c r="AJ6299" s="26"/>
    </row>
    <row r="6300" spans="29:36">
      <c r="AC6300" s="26"/>
      <c r="AE6300" s="26"/>
      <c r="AF6300" s="26"/>
      <c r="AJ6300" s="26"/>
    </row>
    <row r="6301" spans="29:36">
      <c r="AC6301" s="26"/>
      <c r="AE6301" s="26"/>
      <c r="AF6301" s="26"/>
      <c r="AJ6301" s="26"/>
    </row>
    <row r="6302" spans="29:36">
      <c r="AC6302" s="26"/>
      <c r="AE6302" s="26"/>
      <c r="AF6302" s="26"/>
      <c r="AJ6302" s="26"/>
    </row>
    <row r="6303" spans="29:36">
      <c r="AC6303" s="26"/>
      <c r="AE6303" s="26"/>
      <c r="AF6303" s="26"/>
      <c r="AJ6303" s="26"/>
    </row>
    <row r="6304" spans="29:36">
      <c r="AC6304" s="26"/>
      <c r="AE6304" s="26"/>
      <c r="AF6304" s="26"/>
      <c r="AJ6304" s="26"/>
    </row>
    <row r="6305" spans="29:36">
      <c r="AC6305" s="26"/>
      <c r="AE6305" s="26"/>
      <c r="AF6305" s="26"/>
      <c r="AJ6305" s="26"/>
    </row>
    <row r="6306" spans="29:36">
      <c r="AC6306" s="26"/>
      <c r="AE6306" s="26"/>
      <c r="AF6306" s="26"/>
      <c r="AJ6306" s="26"/>
    </row>
    <row r="6307" spans="29:36">
      <c r="AC6307" s="26"/>
      <c r="AE6307" s="26"/>
      <c r="AF6307" s="26"/>
      <c r="AJ6307" s="26"/>
    </row>
    <row r="6308" spans="29:36">
      <c r="AC6308" s="26"/>
      <c r="AE6308" s="26"/>
      <c r="AF6308" s="26"/>
      <c r="AJ6308" s="26"/>
    </row>
    <row r="6309" spans="29:36">
      <c r="AC6309" s="26"/>
      <c r="AE6309" s="26"/>
      <c r="AF6309" s="26"/>
      <c r="AJ6309" s="26"/>
    </row>
    <row r="6310" spans="29:36">
      <c r="AC6310" s="26"/>
      <c r="AE6310" s="26"/>
      <c r="AF6310" s="26"/>
      <c r="AJ6310" s="26"/>
    </row>
    <row r="6311" spans="29:36">
      <c r="AC6311" s="26"/>
      <c r="AE6311" s="26"/>
      <c r="AF6311" s="26"/>
      <c r="AJ6311" s="26"/>
    </row>
    <row r="6312" spans="29:36">
      <c r="AC6312" s="26"/>
      <c r="AE6312" s="26"/>
      <c r="AF6312" s="26"/>
      <c r="AJ6312" s="26"/>
    </row>
    <row r="6313" spans="29:36">
      <c r="AC6313" s="26"/>
      <c r="AE6313" s="26"/>
      <c r="AF6313" s="26"/>
      <c r="AJ6313" s="26"/>
    </row>
    <row r="6314" spans="29:36">
      <c r="AC6314" s="26"/>
      <c r="AE6314" s="26"/>
      <c r="AF6314" s="26"/>
      <c r="AJ6314" s="26"/>
    </row>
    <row r="6315" spans="29:36">
      <c r="AC6315" s="26"/>
      <c r="AE6315" s="26"/>
      <c r="AF6315" s="26"/>
      <c r="AJ6315" s="26"/>
    </row>
    <row r="6316" spans="29:36">
      <c r="AC6316" s="26"/>
      <c r="AE6316" s="26"/>
      <c r="AF6316" s="26"/>
      <c r="AJ6316" s="26"/>
    </row>
    <row r="6317" spans="29:36">
      <c r="AC6317" s="26"/>
      <c r="AE6317" s="26"/>
      <c r="AF6317" s="26"/>
      <c r="AJ6317" s="26"/>
    </row>
    <row r="6318" spans="29:36">
      <c r="AC6318" s="26"/>
      <c r="AE6318" s="26"/>
      <c r="AF6318" s="26"/>
      <c r="AJ6318" s="26"/>
    </row>
    <row r="6319" spans="29:36">
      <c r="AC6319" s="26"/>
      <c r="AE6319" s="26"/>
      <c r="AF6319" s="26"/>
      <c r="AJ6319" s="26"/>
    </row>
    <row r="6320" spans="29:36">
      <c r="AC6320" s="26"/>
      <c r="AE6320" s="26"/>
      <c r="AF6320" s="26"/>
      <c r="AJ6320" s="26"/>
    </row>
    <row r="6321" spans="29:36">
      <c r="AC6321" s="26"/>
      <c r="AE6321" s="26"/>
      <c r="AF6321" s="26"/>
      <c r="AJ6321" s="26"/>
    </row>
    <row r="6322" spans="29:36">
      <c r="AC6322" s="26"/>
      <c r="AE6322" s="26"/>
      <c r="AF6322" s="26"/>
      <c r="AJ6322" s="26"/>
    </row>
    <row r="6323" spans="29:36">
      <c r="AC6323" s="26"/>
      <c r="AE6323" s="26"/>
      <c r="AF6323" s="26"/>
      <c r="AJ6323" s="26"/>
    </row>
    <row r="6324" spans="29:36">
      <c r="AC6324" s="26"/>
      <c r="AE6324" s="26"/>
      <c r="AF6324" s="26"/>
      <c r="AJ6324" s="26"/>
    </row>
    <row r="6325" spans="29:36">
      <c r="AC6325" s="26"/>
      <c r="AE6325" s="26"/>
      <c r="AF6325" s="26"/>
      <c r="AJ6325" s="26"/>
    </row>
    <row r="6326" spans="29:36">
      <c r="AC6326" s="26"/>
      <c r="AE6326" s="26"/>
      <c r="AF6326" s="26"/>
      <c r="AJ6326" s="26"/>
    </row>
    <row r="6327" spans="29:36">
      <c r="AC6327" s="26"/>
      <c r="AE6327" s="26"/>
      <c r="AF6327" s="26"/>
      <c r="AJ6327" s="26"/>
    </row>
    <row r="6328" spans="29:36">
      <c r="AC6328" s="26"/>
      <c r="AE6328" s="26"/>
      <c r="AF6328" s="26"/>
      <c r="AJ6328" s="26"/>
    </row>
    <row r="6329" spans="29:36">
      <c r="AC6329" s="26"/>
      <c r="AE6329" s="26"/>
      <c r="AF6329" s="26"/>
      <c r="AJ6329" s="26"/>
    </row>
    <row r="6330" spans="29:36">
      <c r="AC6330" s="26"/>
      <c r="AE6330" s="26"/>
      <c r="AF6330" s="26"/>
      <c r="AJ6330" s="26"/>
    </row>
    <row r="6331" spans="29:36">
      <c r="AC6331" s="26"/>
      <c r="AE6331" s="26"/>
      <c r="AF6331" s="26"/>
      <c r="AJ6331" s="26"/>
    </row>
    <row r="6332" spans="29:36">
      <c r="AC6332" s="26"/>
      <c r="AE6332" s="26"/>
      <c r="AF6332" s="26"/>
      <c r="AJ6332" s="26"/>
    </row>
    <row r="6333" spans="29:36">
      <c r="AC6333" s="26"/>
      <c r="AE6333" s="26"/>
      <c r="AF6333" s="26"/>
      <c r="AJ6333" s="26"/>
    </row>
    <row r="6334" spans="29:36">
      <c r="AC6334" s="26"/>
      <c r="AE6334" s="26"/>
      <c r="AF6334" s="26"/>
      <c r="AJ6334" s="26"/>
    </row>
    <row r="6335" spans="29:36">
      <c r="AC6335" s="26"/>
      <c r="AE6335" s="26"/>
      <c r="AF6335" s="26"/>
      <c r="AJ6335" s="26"/>
    </row>
    <row r="6336" spans="29:36">
      <c r="AC6336" s="26"/>
      <c r="AE6336" s="26"/>
      <c r="AF6336" s="26"/>
      <c r="AJ6336" s="26"/>
    </row>
    <row r="6337" spans="29:36">
      <c r="AC6337" s="26"/>
      <c r="AE6337" s="26"/>
      <c r="AF6337" s="26"/>
      <c r="AJ6337" s="26"/>
    </row>
    <row r="6338" spans="29:36">
      <c r="AC6338" s="26"/>
      <c r="AE6338" s="26"/>
      <c r="AF6338" s="26"/>
      <c r="AJ6338" s="26"/>
    </row>
    <row r="6339" spans="29:36">
      <c r="AC6339" s="26"/>
      <c r="AE6339" s="26"/>
      <c r="AF6339" s="26"/>
      <c r="AJ6339" s="26"/>
    </row>
    <row r="6340" spans="29:36">
      <c r="AC6340" s="26"/>
      <c r="AE6340" s="26"/>
      <c r="AF6340" s="26"/>
      <c r="AJ6340" s="26"/>
    </row>
    <row r="6341" spans="29:36">
      <c r="AC6341" s="26"/>
      <c r="AE6341" s="26"/>
      <c r="AF6341" s="26"/>
      <c r="AJ6341" s="26"/>
    </row>
    <row r="6342" spans="29:36">
      <c r="AC6342" s="26"/>
      <c r="AE6342" s="26"/>
      <c r="AF6342" s="26"/>
      <c r="AJ6342" s="26"/>
    </row>
    <row r="6343" spans="29:36">
      <c r="AC6343" s="26"/>
      <c r="AE6343" s="26"/>
      <c r="AF6343" s="26"/>
      <c r="AJ6343" s="26"/>
    </row>
    <row r="6344" spans="29:36">
      <c r="AC6344" s="26"/>
      <c r="AE6344" s="26"/>
      <c r="AF6344" s="26"/>
      <c r="AJ6344" s="26"/>
    </row>
    <row r="6345" spans="29:36">
      <c r="AC6345" s="26"/>
      <c r="AE6345" s="26"/>
      <c r="AF6345" s="26"/>
      <c r="AJ6345" s="26"/>
    </row>
    <row r="6346" spans="29:36">
      <c r="AC6346" s="26"/>
      <c r="AE6346" s="26"/>
      <c r="AF6346" s="26"/>
      <c r="AJ6346" s="26"/>
    </row>
    <row r="6347" spans="29:36">
      <c r="AC6347" s="26"/>
      <c r="AE6347" s="26"/>
      <c r="AF6347" s="26"/>
      <c r="AJ6347" s="26"/>
    </row>
    <row r="6348" spans="29:36">
      <c r="AC6348" s="26"/>
      <c r="AE6348" s="26"/>
      <c r="AF6348" s="26"/>
      <c r="AJ6348" s="26"/>
    </row>
    <row r="6349" spans="29:36">
      <c r="AC6349" s="26"/>
      <c r="AE6349" s="26"/>
      <c r="AF6349" s="26"/>
      <c r="AJ6349" s="26"/>
    </row>
    <row r="6350" spans="29:36">
      <c r="AC6350" s="26"/>
      <c r="AE6350" s="26"/>
      <c r="AF6350" s="26"/>
      <c r="AJ6350" s="26"/>
    </row>
    <row r="6351" spans="29:36">
      <c r="AC6351" s="26"/>
      <c r="AE6351" s="26"/>
      <c r="AF6351" s="26"/>
      <c r="AJ6351" s="26"/>
    </row>
    <row r="6352" spans="29:36">
      <c r="AC6352" s="26"/>
      <c r="AE6352" s="26"/>
      <c r="AF6352" s="26"/>
      <c r="AJ6352" s="26"/>
    </row>
    <row r="6353" spans="29:36">
      <c r="AC6353" s="26"/>
      <c r="AE6353" s="26"/>
      <c r="AF6353" s="26"/>
      <c r="AJ6353" s="26"/>
    </row>
    <row r="6354" spans="29:36">
      <c r="AC6354" s="26"/>
      <c r="AE6354" s="26"/>
      <c r="AF6354" s="26"/>
      <c r="AJ6354" s="26"/>
    </row>
    <row r="6355" spans="29:36">
      <c r="AC6355" s="26"/>
      <c r="AE6355" s="26"/>
      <c r="AF6355" s="26"/>
      <c r="AJ6355" s="26"/>
    </row>
    <row r="6356" spans="29:36">
      <c r="AC6356" s="26"/>
      <c r="AE6356" s="26"/>
      <c r="AF6356" s="26"/>
      <c r="AJ6356" s="26"/>
    </row>
    <row r="6357" spans="29:36">
      <c r="AC6357" s="26"/>
      <c r="AE6357" s="26"/>
      <c r="AF6357" s="26"/>
      <c r="AJ6357" s="26"/>
    </row>
    <row r="6358" spans="29:36">
      <c r="AC6358" s="26"/>
      <c r="AE6358" s="26"/>
      <c r="AF6358" s="26"/>
      <c r="AJ6358" s="26"/>
    </row>
    <row r="6359" spans="29:36">
      <c r="AC6359" s="26"/>
      <c r="AE6359" s="26"/>
      <c r="AF6359" s="26"/>
      <c r="AJ6359" s="26"/>
    </row>
    <row r="6360" spans="29:36">
      <c r="AC6360" s="26"/>
      <c r="AE6360" s="26"/>
      <c r="AF6360" s="26"/>
      <c r="AJ6360" s="26"/>
    </row>
    <row r="6361" spans="29:36">
      <c r="AC6361" s="26"/>
      <c r="AE6361" s="26"/>
      <c r="AF6361" s="26"/>
      <c r="AJ6361" s="26"/>
    </row>
    <row r="6362" spans="29:36">
      <c r="AC6362" s="26"/>
      <c r="AE6362" s="26"/>
      <c r="AF6362" s="26"/>
      <c r="AJ6362" s="26"/>
    </row>
    <row r="6363" spans="29:36">
      <c r="AC6363" s="26"/>
      <c r="AE6363" s="26"/>
      <c r="AF6363" s="26"/>
      <c r="AJ6363" s="26"/>
    </row>
    <row r="6364" spans="29:36">
      <c r="AC6364" s="26"/>
      <c r="AE6364" s="26"/>
      <c r="AF6364" s="26"/>
      <c r="AJ6364" s="26"/>
    </row>
    <row r="6365" spans="29:36">
      <c r="AC6365" s="26"/>
      <c r="AE6365" s="26"/>
      <c r="AF6365" s="26"/>
      <c r="AJ6365" s="26"/>
    </row>
    <row r="6366" spans="29:36">
      <c r="AC6366" s="26"/>
      <c r="AE6366" s="26"/>
      <c r="AF6366" s="26"/>
      <c r="AJ6366" s="26"/>
    </row>
    <row r="6367" spans="29:36">
      <c r="AC6367" s="26"/>
      <c r="AE6367" s="26"/>
      <c r="AF6367" s="26"/>
      <c r="AJ6367" s="26"/>
    </row>
    <row r="6368" spans="29:36">
      <c r="AC6368" s="26"/>
      <c r="AE6368" s="26"/>
      <c r="AF6368" s="26"/>
      <c r="AJ6368" s="26"/>
    </row>
    <row r="6369" spans="29:36">
      <c r="AC6369" s="26"/>
      <c r="AE6369" s="26"/>
      <c r="AF6369" s="26"/>
      <c r="AJ6369" s="26"/>
    </row>
    <row r="6370" spans="29:36">
      <c r="AC6370" s="26"/>
      <c r="AE6370" s="26"/>
      <c r="AF6370" s="26"/>
      <c r="AJ6370" s="26"/>
    </row>
    <row r="6371" spans="29:36">
      <c r="AC6371" s="26"/>
      <c r="AE6371" s="26"/>
      <c r="AF6371" s="26"/>
      <c r="AJ6371" s="26"/>
    </row>
    <row r="6372" spans="29:36">
      <c r="AC6372" s="26"/>
      <c r="AE6372" s="26"/>
      <c r="AF6372" s="26"/>
      <c r="AJ6372" s="26"/>
    </row>
    <row r="6373" spans="29:36">
      <c r="AC6373" s="26"/>
      <c r="AE6373" s="26"/>
      <c r="AF6373" s="26"/>
      <c r="AJ6373" s="26"/>
    </row>
    <row r="6374" spans="29:36">
      <c r="AC6374" s="26"/>
      <c r="AE6374" s="26"/>
      <c r="AF6374" s="26"/>
      <c r="AJ6374" s="26"/>
    </row>
    <row r="6375" spans="29:36">
      <c r="AC6375" s="26"/>
      <c r="AE6375" s="26"/>
      <c r="AF6375" s="26"/>
      <c r="AJ6375" s="26"/>
    </row>
    <row r="6376" spans="29:36">
      <c r="AC6376" s="26"/>
      <c r="AE6376" s="26"/>
      <c r="AF6376" s="26"/>
      <c r="AJ6376" s="26"/>
    </row>
    <row r="6377" spans="29:36">
      <c r="AC6377" s="26"/>
      <c r="AE6377" s="26"/>
      <c r="AF6377" s="26"/>
      <c r="AJ6377" s="26"/>
    </row>
    <row r="6378" spans="29:36">
      <c r="AC6378" s="26"/>
      <c r="AE6378" s="26"/>
      <c r="AF6378" s="26"/>
      <c r="AJ6378" s="26"/>
    </row>
    <row r="6379" spans="29:36">
      <c r="AC6379" s="26"/>
      <c r="AE6379" s="26"/>
      <c r="AF6379" s="26"/>
      <c r="AJ6379" s="26"/>
    </row>
    <row r="6380" spans="29:36">
      <c r="AC6380" s="26"/>
      <c r="AE6380" s="26"/>
      <c r="AF6380" s="26"/>
      <c r="AJ6380" s="26"/>
    </row>
    <row r="6381" spans="29:36">
      <c r="AC6381" s="26"/>
      <c r="AE6381" s="26"/>
      <c r="AF6381" s="26"/>
      <c r="AJ6381" s="26"/>
    </row>
    <row r="6382" spans="29:36">
      <c r="AC6382" s="26"/>
      <c r="AE6382" s="26"/>
      <c r="AF6382" s="26"/>
      <c r="AJ6382" s="26"/>
    </row>
    <row r="6383" spans="29:36">
      <c r="AC6383" s="26"/>
      <c r="AE6383" s="26"/>
      <c r="AF6383" s="26"/>
      <c r="AJ6383" s="26"/>
    </row>
    <row r="6384" spans="29:36">
      <c r="AC6384" s="26"/>
      <c r="AE6384" s="26"/>
      <c r="AF6384" s="26"/>
      <c r="AJ6384" s="26"/>
    </row>
    <row r="6385" spans="29:36">
      <c r="AC6385" s="26"/>
      <c r="AE6385" s="26"/>
      <c r="AF6385" s="26"/>
      <c r="AJ6385" s="26"/>
    </row>
    <row r="6386" spans="29:36">
      <c r="AC6386" s="26"/>
      <c r="AE6386" s="26"/>
      <c r="AF6386" s="26"/>
      <c r="AJ6386" s="26"/>
    </row>
    <row r="6387" spans="29:36">
      <c r="AC6387" s="26"/>
      <c r="AE6387" s="26"/>
      <c r="AF6387" s="26"/>
      <c r="AJ6387" s="26"/>
    </row>
    <row r="6388" spans="29:36">
      <c r="AC6388" s="26"/>
      <c r="AE6388" s="26"/>
      <c r="AF6388" s="26"/>
      <c r="AJ6388" s="26"/>
    </row>
    <row r="6389" spans="29:36">
      <c r="AC6389" s="26"/>
      <c r="AE6389" s="26"/>
      <c r="AF6389" s="26"/>
      <c r="AJ6389" s="26"/>
    </row>
    <row r="6390" spans="29:36">
      <c r="AC6390" s="26"/>
      <c r="AE6390" s="26"/>
      <c r="AF6390" s="26"/>
      <c r="AJ6390" s="26"/>
    </row>
    <row r="6391" spans="29:36">
      <c r="AC6391" s="26"/>
      <c r="AE6391" s="26"/>
      <c r="AF6391" s="26"/>
      <c r="AJ6391" s="26"/>
    </row>
    <row r="6392" spans="29:36">
      <c r="AC6392" s="26"/>
      <c r="AE6392" s="26"/>
      <c r="AF6392" s="26"/>
      <c r="AJ6392" s="26"/>
    </row>
    <row r="6393" spans="29:36">
      <c r="AC6393" s="26"/>
      <c r="AE6393" s="26"/>
      <c r="AF6393" s="26"/>
      <c r="AJ6393" s="26"/>
    </row>
    <row r="6394" spans="29:36">
      <c r="AC6394" s="26"/>
      <c r="AE6394" s="26"/>
      <c r="AF6394" s="26"/>
      <c r="AJ6394" s="26"/>
    </row>
    <row r="6395" spans="29:36">
      <c r="AC6395" s="26"/>
      <c r="AE6395" s="26"/>
      <c r="AF6395" s="26"/>
      <c r="AJ6395" s="26"/>
    </row>
    <row r="6396" spans="29:36">
      <c r="AC6396" s="26"/>
      <c r="AE6396" s="26"/>
      <c r="AF6396" s="26"/>
      <c r="AJ6396" s="26"/>
    </row>
    <row r="6397" spans="29:36">
      <c r="AC6397" s="26"/>
      <c r="AE6397" s="26"/>
      <c r="AF6397" s="26"/>
      <c r="AJ6397" s="26"/>
    </row>
    <row r="6398" spans="29:36">
      <c r="AC6398" s="26"/>
      <c r="AE6398" s="26"/>
      <c r="AF6398" s="26"/>
      <c r="AJ6398" s="26"/>
    </row>
    <row r="6399" spans="29:36">
      <c r="AC6399" s="26"/>
      <c r="AE6399" s="26"/>
      <c r="AF6399" s="26"/>
      <c r="AJ6399" s="26"/>
    </row>
    <row r="6400" spans="29:36">
      <c r="AC6400" s="26"/>
      <c r="AE6400" s="26"/>
      <c r="AF6400" s="26"/>
      <c r="AJ6400" s="26"/>
    </row>
    <row r="6401" spans="29:36">
      <c r="AC6401" s="26"/>
      <c r="AE6401" s="26"/>
      <c r="AF6401" s="26"/>
      <c r="AJ6401" s="26"/>
    </row>
    <row r="6402" spans="29:36">
      <c r="AC6402" s="26"/>
      <c r="AE6402" s="26"/>
      <c r="AF6402" s="26"/>
      <c r="AJ6402" s="26"/>
    </row>
    <row r="6403" spans="29:36">
      <c r="AC6403" s="26"/>
      <c r="AE6403" s="26"/>
      <c r="AF6403" s="26"/>
      <c r="AJ6403" s="26"/>
    </row>
    <row r="6404" spans="29:36">
      <c r="AC6404" s="26"/>
      <c r="AE6404" s="26"/>
      <c r="AF6404" s="26"/>
      <c r="AJ6404" s="26"/>
    </row>
    <row r="6405" spans="29:36">
      <c r="AC6405" s="26"/>
      <c r="AE6405" s="26"/>
      <c r="AF6405" s="26"/>
      <c r="AJ6405" s="26"/>
    </row>
    <row r="6406" spans="29:36">
      <c r="AC6406" s="26"/>
      <c r="AE6406" s="26"/>
      <c r="AF6406" s="26"/>
      <c r="AJ6406" s="26"/>
    </row>
    <row r="6407" spans="29:36">
      <c r="AC6407" s="26"/>
      <c r="AE6407" s="26"/>
      <c r="AF6407" s="26"/>
      <c r="AJ6407" s="26"/>
    </row>
    <row r="6408" spans="29:36">
      <c r="AC6408" s="26"/>
      <c r="AE6408" s="26"/>
      <c r="AF6408" s="26"/>
      <c r="AJ6408" s="26"/>
    </row>
    <row r="6409" spans="29:36">
      <c r="AC6409" s="26"/>
      <c r="AE6409" s="26"/>
      <c r="AF6409" s="26"/>
      <c r="AJ6409" s="26"/>
    </row>
    <row r="6410" spans="29:36">
      <c r="AC6410" s="26"/>
      <c r="AE6410" s="26"/>
      <c r="AF6410" s="26"/>
      <c r="AJ6410" s="26"/>
    </row>
    <row r="6411" spans="29:36">
      <c r="AC6411" s="26"/>
      <c r="AE6411" s="26"/>
      <c r="AF6411" s="26"/>
      <c r="AJ6411" s="26"/>
    </row>
    <row r="6412" spans="29:36">
      <c r="AC6412" s="26"/>
      <c r="AE6412" s="26"/>
      <c r="AF6412" s="26"/>
      <c r="AJ6412" s="26"/>
    </row>
    <row r="6413" spans="29:36">
      <c r="AC6413" s="26"/>
      <c r="AE6413" s="26"/>
      <c r="AF6413" s="26"/>
      <c r="AJ6413" s="26"/>
    </row>
    <row r="6414" spans="29:36">
      <c r="AC6414" s="26"/>
      <c r="AE6414" s="26"/>
      <c r="AF6414" s="26"/>
      <c r="AJ6414" s="26"/>
    </row>
    <row r="6415" spans="29:36">
      <c r="AC6415" s="26"/>
      <c r="AE6415" s="26"/>
      <c r="AF6415" s="26"/>
      <c r="AJ6415" s="26"/>
    </row>
    <row r="6416" spans="29:36">
      <c r="AC6416" s="26"/>
      <c r="AE6416" s="26"/>
      <c r="AF6416" s="26"/>
      <c r="AJ6416" s="26"/>
    </row>
    <row r="6417" spans="29:36">
      <c r="AC6417" s="26"/>
      <c r="AE6417" s="26"/>
      <c r="AF6417" s="26"/>
      <c r="AJ6417" s="26"/>
    </row>
    <row r="6418" spans="29:36">
      <c r="AC6418" s="26"/>
      <c r="AE6418" s="26"/>
      <c r="AF6418" s="26"/>
      <c r="AJ6418" s="26"/>
    </row>
    <row r="6419" spans="29:36">
      <c r="AC6419" s="26"/>
      <c r="AE6419" s="26"/>
      <c r="AF6419" s="26"/>
      <c r="AJ6419" s="26"/>
    </row>
    <row r="6420" spans="29:36">
      <c r="AC6420" s="26"/>
      <c r="AE6420" s="26"/>
      <c r="AF6420" s="26"/>
      <c r="AJ6420" s="26"/>
    </row>
    <row r="6421" spans="29:36">
      <c r="AC6421" s="26"/>
      <c r="AE6421" s="26"/>
      <c r="AF6421" s="26"/>
      <c r="AJ6421" s="26"/>
    </row>
    <row r="6422" spans="29:36">
      <c r="AC6422" s="26"/>
      <c r="AE6422" s="26"/>
      <c r="AF6422" s="26"/>
      <c r="AJ6422" s="26"/>
    </row>
    <row r="6423" spans="29:36">
      <c r="AC6423" s="26"/>
      <c r="AE6423" s="26"/>
      <c r="AF6423" s="26"/>
      <c r="AJ6423" s="26"/>
    </row>
    <row r="6424" spans="29:36">
      <c r="AC6424" s="26"/>
      <c r="AE6424" s="26"/>
      <c r="AF6424" s="26"/>
      <c r="AJ6424" s="26"/>
    </row>
    <row r="6425" spans="29:36">
      <c r="AC6425" s="26"/>
      <c r="AE6425" s="26"/>
      <c r="AF6425" s="26"/>
      <c r="AJ6425" s="26"/>
    </row>
    <row r="6426" spans="29:36">
      <c r="AC6426" s="26"/>
      <c r="AE6426" s="26"/>
      <c r="AF6426" s="26"/>
      <c r="AJ6426" s="26"/>
    </row>
    <row r="6427" spans="29:36">
      <c r="AC6427" s="26"/>
      <c r="AE6427" s="26"/>
      <c r="AF6427" s="26"/>
      <c r="AJ6427" s="26"/>
    </row>
    <row r="6428" spans="29:36">
      <c r="AC6428" s="26"/>
      <c r="AE6428" s="26"/>
      <c r="AF6428" s="26"/>
      <c r="AJ6428" s="26"/>
    </row>
    <row r="6429" spans="29:36">
      <c r="AC6429" s="26"/>
      <c r="AE6429" s="26"/>
      <c r="AF6429" s="26"/>
      <c r="AJ6429" s="26"/>
    </row>
    <row r="6430" spans="29:36">
      <c r="AC6430" s="26"/>
      <c r="AE6430" s="26"/>
      <c r="AF6430" s="26"/>
      <c r="AJ6430" s="26"/>
    </row>
    <row r="6431" spans="29:36">
      <c r="AC6431" s="26"/>
      <c r="AE6431" s="26"/>
      <c r="AF6431" s="26"/>
      <c r="AJ6431" s="26"/>
    </row>
    <row r="6432" spans="29:36">
      <c r="AC6432" s="26"/>
      <c r="AE6432" s="26"/>
      <c r="AF6432" s="26"/>
      <c r="AJ6432" s="26"/>
    </row>
    <row r="6433" spans="29:36">
      <c r="AC6433" s="26"/>
      <c r="AE6433" s="26"/>
      <c r="AF6433" s="26"/>
      <c r="AJ6433" s="26"/>
    </row>
    <row r="6434" spans="29:36">
      <c r="AC6434" s="26"/>
      <c r="AE6434" s="26"/>
      <c r="AF6434" s="26"/>
      <c r="AJ6434" s="26"/>
    </row>
    <row r="6435" spans="29:36">
      <c r="AC6435" s="26"/>
      <c r="AE6435" s="26"/>
      <c r="AF6435" s="26"/>
      <c r="AJ6435" s="26"/>
    </row>
    <row r="6436" spans="29:36">
      <c r="AC6436" s="26"/>
      <c r="AE6436" s="26"/>
      <c r="AF6436" s="26"/>
      <c r="AJ6436" s="26"/>
    </row>
    <row r="6437" spans="29:36">
      <c r="AC6437" s="26"/>
      <c r="AE6437" s="26"/>
      <c r="AF6437" s="26"/>
      <c r="AJ6437" s="26"/>
    </row>
    <row r="6438" spans="29:36">
      <c r="AC6438" s="26"/>
      <c r="AE6438" s="26"/>
      <c r="AF6438" s="26"/>
      <c r="AJ6438" s="26"/>
    </row>
    <row r="6439" spans="29:36">
      <c r="AC6439" s="26"/>
      <c r="AE6439" s="26"/>
      <c r="AF6439" s="26"/>
      <c r="AJ6439" s="26"/>
    </row>
    <row r="6440" spans="29:36">
      <c r="AC6440" s="26"/>
      <c r="AE6440" s="26"/>
      <c r="AF6440" s="26"/>
      <c r="AJ6440" s="26"/>
    </row>
    <row r="6441" spans="29:36">
      <c r="AC6441" s="26"/>
      <c r="AE6441" s="26"/>
      <c r="AF6441" s="26"/>
      <c r="AJ6441" s="26"/>
    </row>
    <row r="6442" spans="29:36">
      <c r="AC6442" s="26"/>
      <c r="AE6442" s="26"/>
      <c r="AF6442" s="26"/>
      <c r="AJ6442" s="26"/>
    </row>
    <row r="6443" spans="29:36">
      <c r="AC6443" s="26"/>
      <c r="AE6443" s="26"/>
      <c r="AF6443" s="26"/>
      <c r="AJ6443" s="26"/>
    </row>
    <row r="6444" spans="29:36">
      <c r="AC6444" s="26"/>
      <c r="AE6444" s="26"/>
      <c r="AF6444" s="26"/>
      <c r="AJ6444" s="26"/>
    </row>
    <row r="6445" spans="29:36">
      <c r="AC6445" s="26"/>
      <c r="AE6445" s="26"/>
      <c r="AF6445" s="26"/>
      <c r="AJ6445" s="26"/>
    </row>
    <row r="6446" spans="29:36">
      <c r="AC6446" s="26"/>
      <c r="AE6446" s="26"/>
      <c r="AF6446" s="26"/>
      <c r="AJ6446" s="26"/>
    </row>
    <row r="6447" spans="29:36">
      <c r="AC6447" s="26"/>
      <c r="AE6447" s="26"/>
      <c r="AF6447" s="26"/>
      <c r="AJ6447" s="26"/>
    </row>
    <row r="6448" spans="29:36">
      <c r="AC6448" s="26"/>
      <c r="AE6448" s="26"/>
      <c r="AF6448" s="26"/>
      <c r="AJ6448" s="26"/>
    </row>
    <row r="6449" spans="29:36">
      <c r="AC6449" s="26"/>
      <c r="AE6449" s="26"/>
      <c r="AF6449" s="26"/>
      <c r="AJ6449" s="26"/>
    </row>
    <row r="6450" spans="29:36">
      <c r="AC6450" s="26"/>
      <c r="AE6450" s="26"/>
      <c r="AF6450" s="26"/>
      <c r="AJ6450" s="26"/>
    </row>
    <row r="6451" spans="29:36">
      <c r="AC6451" s="26"/>
      <c r="AE6451" s="26"/>
      <c r="AF6451" s="26"/>
      <c r="AJ6451" s="26"/>
    </row>
    <row r="6452" spans="29:36">
      <c r="AC6452" s="26"/>
      <c r="AE6452" s="26"/>
      <c r="AF6452" s="26"/>
      <c r="AJ6452" s="26"/>
    </row>
    <row r="6453" spans="29:36">
      <c r="AC6453" s="26"/>
      <c r="AE6453" s="26"/>
      <c r="AF6453" s="26"/>
      <c r="AJ6453" s="26"/>
    </row>
    <row r="6454" spans="29:36">
      <c r="AC6454" s="26"/>
      <c r="AE6454" s="26"/>
      <c r="AF6454" s="26"/>
      <c r="AJ6454" s="26"/>
    </row>
    <row r="6455" spans="29:36">
      <c r="AC6455" s="26"/>
      <c r="AE6455" s="26"/>
      <c r="AF6455" s="26"/>
      <c r="AJ6455" s="26"/>
    </row>
    <row r="6456" spans="29:36">
      <c r="AC6456" s="26"/>
      <c r="AE6456" s="26"/>
      <c r="AF6456" s="26"/>
      <c r="AJ6456" s="26"/>
    </row>
    <row r="6457" spans="29:36">
      <c r="AC6457" s="26"/>
      <c r="AE6457" s="26"/>
      <c r="AF6457" s="26"/>
      <c r="AJ6457" s="26"/>
    </row>
    <row r="6458" spans="29:36">
      <c r="AC6458" s="26"/>
      <c r="AE6458" s="26"/>
      <c r="AF6458" s="26"/>
      <c r="AJ6458" s="26"/>
    </row>
    <row r="6459" spans="29:36">
      <c r="AC6459" s="26"/>
      <c r="AE6459" s="26"/>
      <c r="AF6459" s="26"/>
      <c r="AJ6459" s="26"/>
    </row>
    <row r="6460" spans="29:36">
      <c r="AC6460" s="26"/>
      <c r="AE6460" s="26"/>
      <c r="AF6460" s="26"/>
      <c r="AJ6460" s="26"/>
    </row>
    <row r="6461" spans="29:36">
      <c r="AC6461" s="26"/>
      <c r="AE6461" s="26"/>
      <c r="AF6461" s="26"/>
      <c r="AJ6461" s="26"/>
    </row>
    <row r="6462" spans="29:36">
      <c r="AC6462" s="26"/>
      <c r="AE6462" s="26"/>
      <c r="AF6462" s="26"/>
      <c r="AJ6462" s="26"/>
    </row>
    <row r="6463" spans="29:36">
      <c r="AC6463" s="26"/>
      <c r="AE6463" s="26"/>
      <c r="AF6463" s="26"/>
      <c r="AJ6463" s="26"/>
    </row>
    <row r="6464" spans="29:36">
      <c r="AC6464" s="26"/>
      <c r="AE6464" s="26"/>
      <c r="AF6464" s="26"/>
      <c r="AJ6464" s="26"/>
    </row>
    <row r="6465" spans="29:36">
      <c r="AC6465" s="26"/>
      <c r="AE6465" s="26"/>
      <c r="AF6465" s="26"/>
      <c r="AJ6465" s="26"/>
    </row>
    <row r="6466" spans="29:36">
      <c r="AC6466" s="26"/>
      <c r="AE6466" s="26"/>
      <c r="AF6466" s="26"/>
      <c r="AJ6466" s="26"/>
    </row>
    <row r="6467" spans="29:36">
      <c r="AC6467" s="26"/>
      <c r="AE6467" s="26"/>
      <c r="AF6467" s="26"/>
      <c r="AJ6467" s="26"/>
    </row>
    <row r="6468" spans="29:36">
      <c r="AC6468" s="26"/>
      <c r="AE6468" s="26"/>
      <c r="AF6468" s="26"/>
      <c r="AJ6468" s="26"/>
    </row>
    <row r="6469" spans="29:36">
      <c r="AC6469" s="26"/>
      <c r="AE6469" s="26"/>
      <c r="AF6469" s="26"/>
      <c r="AJ6469" s="26"/>
    </row>
    <row r="6470" spans="29:36">
      <c r="AC6470" s="26"/>
      <c r="AE6470" s="26"/>
      <c r="AF6470" s="26"/>
      <c r="AJ6470" s="26"/>
    </row>
    <row r="6471" spans="29:36">
      <c r="AC6471" s="26"/>
      <c r="AE6471" s="26"/>
      <c r="AF6471" s="26"/>
      <c r="AJ6471" s="26"/>
    </row>
    <row r="6472" spans="29:36">
      <c r="AC6472" s="26"/>
      <c r="AE6472" s="26"/>
      <c r="AF6472" s="26"/>
      <c r="AJ6472" s="26"/>
    </row>
    <row r="6473" spans="29:36">
      <c r="AC6473" s="26"/>
      <c r="AE6473" s="26"/>
      <c r="AF6473" s="26"/>
      <c r="AJ6473" s="26"/>
    </row>
    <row r="6474" spans="29:36">
      <c r="AC6474" s="26"/>
      <c r="AE6474" s="26"/>
      <c r="AF6474" s="26"/>
      <c r="AJ6474" s="26"/>
    </row>
    <row r="6475" spans="29:36">
      <c r="AC6475" s="26"/>
      <c r="AE6475" s="26"/>
      <c r="AF6475" s="26"/>
      <c r="AJ6475" s="26"/>
    </row>
    <row r="6476" spans="29:36">
      <c r="AC6476" s="26"/>
      <c r="AE6476" s="26"/>
      <c r="AF6476" s="26"/>
      <c r="AJ6476" s="26"/>
    </row>
    <row r="6477" spans="29:36">
      <c r="AC6477" s="26"/>
      <c r="AE6477" s="26"/>
      <c r="AF6477" s="26"/>
      <c r="AJ6477" s="26"/>
    </row>
    <row r="6478" spans="29:36">
      <c r="AC6478" s="26"/>
      <c r="AE6478" s="26"/>
      <c r="AF6478" s="26"/>
      <c r="AJ6478" s="26"/>
    </row>
    <row r="6479" spans="29:36">
      <c r="AC6479" s="26"/>
      <c r="AE6479" s="26"/>
      <c r="AF6479" s="26"/>
      <c r="AJ6479" s="26"/>
    </row>
    <row r="6480" spans="29:36">
      <c r="AC6480" s="26"/>
      <c r="AE6480" s="26"/>
      <c r="AF6480" s="26"/>
      <c r="AJ6480" s="26"/>
    </row>
    <row r="6481" spans="29:36">
      <c r="AC6481" s="26"/>
      <c r="AE6481" s="26"/>
      <c r="AF6481" s="26"/>
      <c r="AJ6481" s="26"/>
    </row>
    <row r="6482" spans="29:36">
      <c r="AC6482" s="26"/>
      <c r="AE6482" s="26"/>
      <c r="AF6482" s="26"/>
      <c r="AJ6482" s="26"/>
    </row>
    <row r="6483" spans="29:36">
      <c r="AC6483" s="26"/>
      <c r="AE6483" s="26"/>
      <c r="AF6483" s="26"/>
      <c r="AJ6483" s="26"/>
    </row>
    <row r="6484" spans="29:36">
      <c r="AC6484" s="26"/>
      <c r="AE6484" s="26"/>
      <c r="AF6484" s="26"/>
      <c r="AJ6484" s="26"/>
    </row>
    <row r="6485" spans="29:36">
      <c r="AC6485" s="26"/>
      <c r="AE6485" s="26"/>
      <c r="AF6485" s="26"/>
      <c r="AJ6485" s="26"/>
    </row>
    <row r="6486" spans="29:36">
      <c r="AC6486" s="26"/>
      <c r="AE6486" s="26"/>
      <c r="AF6486" s="26"/>
      <c r="AJ6486" s="26"/>
    </row>
    <row r="6487" spans="29:36">
      <c r="AC6487" s="26"/>
      <c r="AE6487" s="26"/>
      <c r="AF6487" s="26"/>
      <c r="AJ6487" s="26"/>
    </row>
    <row r="6488" spans="29:36">
      <c r="AC6488" s="26"/>
      <c r="AE6488" s="26"/>
      <c r="AF6488" s="26"/>
      <c r="AJ6488" s="26"/>
    </row>
    <row r="6489" spans="29:36">
      <c r="AC6489" s="26"/>
      <c r="AE6489" s="26"/>
      <c r="AF6489" s="26"/>
      <c r="AJ6489" s="26"/>
    </row>
    <row r="6490" spans="29:36">
      <c r="AC6490" s="26"/>
      <c r="AE6490" s="26"/>
      <c r="AF6490" s="26"/>
      <c r="AJ6490" s="26"/>
    </row>
    <row r="6491" spans="29:36">
      <c r="AC6491" s="26"/>
      <c r="AE6491" s="26"/>
      <c r="AF6491" s="26"/>
      <c r="AJ6491" s="26"/>
    </row>
    <row r="6492" spans="29:36">
      <c r="AC6492" s="26"/>
      <c r="AE6492" s="26"/>
      <c r="AF6492" s="26"/>
      <c r="AJ6492" s="26"/>
    </row>
    <row r="6493" spans="29:36">
      <c r="AC6493" s="26"/>
      <c r="AE6493" s="26"/>
      <c r="AF6493" s="26"/>
      <c r="AJ6493" s="26"/>
    </row>
    <row r="6494" spans="29:36">
      <c r="AC6494" s="26"/>
      <c r="AE6494" s="26"/>
      <c r="AF6494" s="26"/>
      <c r="AJ6494" s="26"/>
    </row>
    <row r="6495" spans="29:36">
      <c r="AC6495" s="26"/>
      <c r="AE6495" s="26"/>
      <c r="AF6495" s="26"/>
      <c r="AJ6495" s="26"/>
    </row>
    <row r="6496" spans="29:36">
      <c r="AC6496" s="26"/>
      <c r="AE6496" s="26"/>
      <c r="AF6496" s="26"/>
      <c r="AJ6496" s="26"/>
    </row>
    <row r="6497" spans="29:36">
      <c r="AC6497" s="26"/>
      <c r="AE6497" s="26"/>
      <c r="AF6497" s="26"/>
      <c r="AJ6497" s="26"/>
    </row>
    <row r="6498" spans="29:36">
      <c r="AC6498" s="26"/>
      <c r="AE6498" s="26"/>
      <c r="AF6498" s="26"/>
      <c r="AJ6498" s="26"/>
    </row>
    <row r="6499" spans="29:36">
      <c r="AC6499" s="26"/>
      <c r="AE6499" s="26"/>
      <c r="AF6499" s="26"/>
      <c r="AJ6499" s="26"/>
    </row>
    <row r="6500" spans="29:36">
      <c r="AC6500" s="26"/>
      <c r="AE6500" s="26"/>
      <c r="AF6500" s="26"/>
      <c r="AJ6500" s="26"/>
    </row>
    <row r="6501" spans="29:36">
      <c r="AC6501" s="26"/>
      <c r="AE6501" s="26"/>
      <c r="AF6501" s="26"/>
      <c r="AJ6501" s="26"/>
    </row>
    <row r="6502" spans="29:36">
      <c r="AC6502" s="26"/>
      <c r="AE6502" s="26"/>
      <c r="AF6502" s="26"/>
      <c r="AJ6502" s="26"/>
    </row>
    <row r="6503" spans="29:36">
      <c r="AC6503" s="26"/>
      <c r="AE6503" s="26"/>
      <c r="AF6503" s="26"/>
      <c r="AJ6503" s="26"/>
    </row>
    <row r="6504" spans="29:36">
      <c r="AC6504" s="26"/>
      <c r="AE6504" s="26"/>
      <c r="AF6504" s="26"/>
      <c r="AJ6504" s="26"/>
    </row>
    <row r="6505" spans="29:36">
      <c r="AC6505" s="26"/>
      <c r="AE6505" s="26"/>
      <c r="AF6505" s="26"/>
      <c r="AJ6505" s="26"/>
    </row>
    <row r="6506" spans="29:36">
      <c r="AC6506" s="26"/>
      <c r="AE6506" s="26"/>
      <c r="AF6506" s="26"/>
      <c r="AJ6506" s="26"/>
    </row>
    <row r="6507" spans="29:36">
      <c r="AC6507" s="26"/>
      <c r="AE6507" s="26"/>
      <c r="AF6507" s="26"/>
      <c r="AJ6507" s="26"/>
    </row>
    <row r="6508" spans="29:36">
      <c r="AC6508" s="26"/>
      <c r="AE6508" s="26"/>
      <c r="AF6508" s="26"/>
      <c r="AJ6508" s="26"/>
    </row>
    <row r="6509" spans="29:36">
      <c r="AC6509" s="26"/>
      <c r="AE6509" s="26"/>
      <c r="AF6509" s="26"/>
      <c r="AJ6509" s="26"/>
    </row>
    <row r="6510" spans="29:36">
      <c r="AC6510" s="26"/>
      <c r="AE6510" s="26"/>
      <c r="AF6510" s="26"/>
      <c r="AJ6510" s="26"/>
    </row>
    <row r="6511" spans="29:36">
      <c r="AC6511" s="26"/>
      <c r="AE6511" s="26"/>
      <c r="AF6511" s="26"/>
      <c r="AJ6511" s="26"/>
    </row>
    <row r="6512" spans="29:36">
      <c r="AC6512" s="26"/>
      <c r="AE6512" s="26"/>
      <c r="AF6512" s="26"/>
      <c r="AJ6512" s="26"/>
    </row>
    <row r="6513" spans="29:36">
      <c r="AC6513" s="26"/>
      <c r="AE6513" s="26"/>
      <c r="AF6513" s="26"/>
      <c r="AJ6513" s="26"/>
    </row>
    <row r="6514" spans="29:36">
      <c r="AC6514" s="26"/>
      <c r="AE6514" s="26"/>
      <c r="AF6514" s="26"/>
      <c r="AJ6514" s="26"/>
    </row>
    <row r="6515" spans="29:36">
      <c r="AC6515" s="26"/>
      <c r="AE6515" s="26"/>
      <c r="AF6515" s="26"/>
      <c r="AJ6515" s="26"/>
    </row>
    <row r="6516" spans="29:36">
      <c r="AC6516" s="26"/>
      <c r="AE6516" s="26"/>
      <c r="AF6516" s="26"/>
      <c r="AJ6516" s="26"/>
    </row>
    <row r="6517" spans="29:36">
      <c r="AC6517" s="26"/>
      <c r="AE6517" s="26"/>
      <c r="AF6517" s="26"/>
      <c r="AJ6517" s="26"/>
    </row>
    <row r="6518" spans="29:36">
      <c r="AC6518" s="26"/>
      <c r="AE6518" s="26"/>
      <c r="AF6518" s="26"/>
      <c r="AJ6518" s="26"/>
    </row>
    <row r="6519" spans="29:36">
      <c r="AC6519" s="26"/>
      <c r="AE6519" s="26"/>
      <c r="AF6519" s="26"/>
      <c r="AJ6519" s="26"/>
    </row>
    <row r="6520" spans="29:36">
      <c r="AC6520" s="26"/>
      <c r="AE6520" s="26"/>
      <c r="AF6520" s="26"/>
      <c r="AJ6520" s="26"/>
    </row>
    <row r="6521" spans="29:36">
      <c r="AC6521" s="26"/>
      <c r="AE6521" s="26"/>
      <c r="AF6521" s="26"/>
      <c r="AJ6521" s="26"/>
    </row>
    <row r="6522" spans="29:36">
      <c r="AC6522" s="26"/>
      <c r="AE6522" s="26"/>
      <c r="AF6522" s="26"/>
      <c r="AJ6522" s="26"/>
    </row>
    <row r="6523" spans="29:36">
      <c r="AC6523" s="26"/>
      <c r="AE6523" s="26"/>
      <c r="AF6523" s="26"/>
      <c r="AJ6523" s="26"/>
    </row>
    <row r="6524" spans="29:36">
      <c r="AC6524" s="26"/>
      <c r="AE6524" s="26"/>
      <c r="AF6524" s="26"/>
      <c r="AJ6524" s="26"/>
    </row>
    <row r="6525" spans="29:36">
      <c r="AC6525" s="26"/>
      <c r="AE6525" s="26"/>
      <c r="AF6525" s="26"/>
      <c r="AJ6525" s="26"/>
    </row>
    <row r="6526" spans="29:36">
      <c r="AC6526" s="26"/>
      <c r="AE6526" s="26"/>
      <c r="AF6526" s="26"/>
      <c r="AJ6526" s="26"/>
    </row>
    <row r="6527" spans="29:36">
      <c r="AC6527" s="26"/>
      <c r="AE6527" s="26"/>
      <c r="AF6527" s="26"/>
      <c r="AJ6527" s="26"/>
    </row>
    <row r="6528" spans="29:36">
      <c r="AC6528" s="26"/>
      <c r="AE6528" s="26"/>
      <c r="AF6528" s="26"/>
      <c r="AJ6528" s="26"/>
    </row>
    <row r="6529" spans="29:36">
      <c r="AC6529" s="26"/>
      <c r="AE6529" s="26"/>
      <c r="AF6529" s="26"/>
      <c r="AJ6529" s="26"/>
    </row>
    <row r="6530" spans="29:36">
      <c r="AC6530" s="26"/>
      <c r="AE6530" s="26"/>
      <c r="AF6530" s="26"/>
      <c r="AJ6530" s="26"/>
    </row>
    <row r="6531" spans="29:36">
      <c r="AC6531" s="26"/>
      <c r="AE6531" s="26"/>
      <c r="AF6531" s="26"/>
      <c r="AJ6531" s="26"/>
    </row>
    <row r="6532" spans="29:36">
      <c r="AC6532" s="26"/>
      <c r="AE6532" s="26"/>
      <c r="AF6532" s="26"/>
      <c r="AJ6532" s="26"/>
    </row>
    <row r="6533" spans="29:36">
      <c r="AC6533" s="26"/>
      <c r="AE6533" s="26"/>
      <c r="AF6533" s="26"/>
      <c r="AJ6533" s="26"/>
    </row>
    <row r="6534" spans="29:36">
      <c r="AC6534" s="26"/>
      <c r="AE6534" s="26"/>
      <c r="AF6534" s="26"/>
      <c r="AJ6534" s="26"/>
    </row>
    <row r="6535" spans="29:36">
      <c r="AC6535" s="26"/>
      <c r="AE6535" s="26"/>
      <c r="AF6535" s="26"/>
      <c r="AJ6535" s="26"/>
    </row>
    <row r="6536" spans="29:36">
      <c r="AC6536" s="26"/>
      <c r="AE6536" s="26"/>
      <c r="AF6536" s="26"/>
      <c r="AJ6536" s="26"/>
    </row>
    <row r="6537" spans="29:36">
      <c r="AC6537" s="26"/>
      <c r="AE6537" s="26"/>
      <c r="AF6537" s="26"/>
      <c r="AJ6537" s="26"/>
    </row>
    <row r="6538" spans="29:36">
      <c r="AC6538" s="26"/>
      <c r="AE6538" s="26"/>
      <c r="AF6538" s="26"/>
      <c r="AJ6538" s="26"/>
    </row>
    <row r="6539" spans="29:36">
      <c r="AC6539" s="26"/>
      <c r="AE6539" s="26"/>
      <c r="AF6539" s="26"/>
      <c r="AJ6539" s="26"/>
    </row>
    <row r="6540" spans="29:36">
      <c r="AC6540" s="26"/>
      <c r="AE6540" s="26"/>
      <c r="AF6540" s="26"/>
      <c r="AJ6540" s="26"/>
    </row>
    <row r="6541" spans="29:36">
      <c r="AC6541" s="26"/>
      <c r="AE6541" s="26"/>
      <c r="AF6541" s="26"/>
      <c r="AJ6541" s="26"/>
    </row>
    <row r="6542" spans="29:36">
      <c r="AC6542" s="26"/>
      <c r="AE6542" s="26"/>
      <c r="AF6542" s="26"/>
      <c r="AJ6542" s="26"/>
    </row>
    <row r="6543" spans="29:36">
      <c r="AC6543" s="26"/>
      <c r="AE6543" s="26"/>
      <c r="AF6543" s="26"/>
      <c r="AJ6543" s="26"/>
    </row>
    <row r="6544" spans="29:36">
      <c r="AC6544" s="26"/>
      <c r="AE6544" s="26"/>
      <c r="AF6544" s="26"/>
      <c r="AJ6544" s="26"/>
    </row>
    <row r="6545" spans="29:36">
      <c r="AC6545" s="26"/>
      <c r="AE6545" s="26"/>
      <c r="AF6545" s="26"/>
      <c r="AJ6545" s="26"/>
    </row>
    <row r="6546" spans="29:36">
      <c r="AC6546" s="26"/>
      <c r="AE6546" s="26"/>
      <c r="AF6546" s="26"/>
      <c r="AJ6546" s="26"/>
    </row>
    <row r="6547" spans="29:36">
      <c r="AC6547" s="26"/>
      <c r="AE6547" s="26"/>
      <c r="AF6547" s="26"/>
      <c r="AJ6547" s="26"/>
    </row>
    <row r="6548" spans="29:36">
      <c r="AC6548" s="26"/>
      <c r="AE6548" s="26"/>
      <c r="AF6548" s="26"/>
      <c r="AJ6548" s="26"/>
    </row>
    <row r="6549" spans="29:36">
      <c r="AC6549" s="26"/>
      <c r="AE6549" s="26"/>
      <c r="AF6549" s="26"/>
      <c r="AJ6549" s="26"/>
    </row>
    <row r="6550" spans="29:36">
      <c r="AC6550" s="26"/>
      <c r="AE6550" s="26"/>
      <c r="AF6550" s="26"/>
      <c r="AJ6550" s="26"/>
    </row>
    <row r="6551" spans="29:36">
      <c r="AC6551" s="26"/>
      <c r="AE6551" s="26"/>
      <c r="AF6551" s="26"/>
      <c r="AJ6551" s="26"/>
    </row>
    <row r="6552" spans="29:36">
      <c r="AC6552" s="26"/>
      <c r="AE6552" s="26"/>
      <c r="AF6552" s="26"/>
      <c r="AJ6552" s="26"/>
    </row>
    <row r="6553" spans="29:36">
      <c r="AC6553" s="26"/>
      <c r="AE6553" s="26"/>
      <c r="AF6553" s="26"/>
      <c r="AJ6553" s="26"/>
    </row>
    <row r="6554" spans="29:36">
      <c r="AC6554" s="26"/>
      <c r="AE6554" s="26"/>
      <c r="AF6554" s="26"/>
      <c r="AJ6554" s="26"/>
    </row>
    <row r="6555" spans="29:36">
      <c r="AC6555" s="26"/>
      <c r="AE6555" s="26"/>
      <c r="AF6555" s="26"/>
      <c r="AJ6555" s="26"/>
    </row>
    <row r="6556" spans="29:36">
      <c r="AC6556" s="26"/>
      <c r="AE6556" s="26"/>
      <c r="AF6556" s="26"/>
      <c r="AJ6556" s="26"/>
    </row>
    <row r="6557" spans="29:36">
      <c r="AC6557" s="26"/>
      <c r="AE6557" s="26"/>
      <c r="AF6557" s="26"/>
      <c r="AJ6557" s="26"/>
    </row>
    <row r="6558" spans="29:36">
      <c r="AC6558" s="26"/>
      <c r="AE6558" s="26"/>
      <c r="AF6558" s="26"/>
      <c r="AJ6558" s="26"/>
    </row>
    <row r="6559" spans="29:36">
      <c r="AC6559" s="26"/>
      <c r="AE6559" s="26"/>
      <c r="AF6559" s="26"/>
      <c r="AJ6559" s="26"/>
    </row>
    <row r="6560" spans="29:36">
      <c r="AC6560" s="26"/>
      <c r="AE6560" s="26"/>
      <c r="AF6560" s="26"/>
      <c r="AJ6560" s="26"/>
    </row>
    <row r="6561" spans="29:36">
      <c r="AC6561" s="26"/>
      <c r="AE6561" s="26"/>
      <c r="AF6561" s="26"/>
      <c r="AJ6561" s="26"/>
    </row>
    <row r="6562" spans="29:36">
      <c r="AC6562" s="26"/>
      <c r="AE6562" s="26"/>
      <c r="AF6562" s="26"/>
      <c r="AJ6562" s="26"/>
    </row>
    <row r="6563" spans="29:36">
      <c r="AC6563" s="26"/>
      <c r="AE6563" s="26"/>
      <c r="AF6563" s="26"/>
      <c r="AJ6563" s="26"/>
    </row>
    <row r="6564" spans="29:36">
      <c r="AC6564" s="26"/>
      <c r="AE6564" s="26"/>
      <c r="AF6564" s="26"/>
      <c r="AJ6564" s="26"/>
    </row>
    <row r="6565" spans="29:36">
      <c r="AC6565" s="26"/>
      <c r="AE6565" s="26"/>
      <c r="AF6565" s="26"/>
      <c r="AJ6565" s="26"/>
    </row>
    <row r="6566" spans="29:36">
      <c r="AC6566" s="26"/>
      <c r="AE6566" s="26"/>
      <c r="AF6566" s="26"/>
      <c r="AJ6566" s="26"/>
    </row>
    <row r="6567" spans="29:36">
      <c r="AC6567" s="26"/>
      <c r="AE6567" s="26"/>
      <c r="AF6567" s="26"/>
      <c r="AJ6567" s="26"/>
    </row>
    <row r="6568" spans="29:36">
      <c r="AC6568" s="26"/>
      <c r="AE6568" s="26"/>
      <c r="AF6568" s="26"/>
      <c r="AJ6568" s="26"/>
    </row>
    <row r="6569" spans="29:36">
      <c r="AC6569" s="26"/>
      <c r="AE6569" s="26"/>
      <c r="AF6569" s="26"/>
      <c r="AJ6569" s="26"/>
    </row>
    <row r="6570" spans="29:36">
      <c r="AC6570" s="26"/>
      <c r="AE6570" s="26"/>
      <c r="AF6570" s="26"/>
      <c r="AJ6570" s="26"/>
    </row>
    <row r="6571" spans="29:36">
      <c r="AC6571" s="26"/>
      <c r="AE6571" s="26"/>
      <c r="AF6571" s="26"/>
      <c r="AJ6571" s="26"/>
    </row>
    <row r="6572" spans="29:36">
      <c r="AC6572" s="26"/>
      <c r="AE6572" s="26"/>
      <c r="AF6572" s="26"/>
      <c r="AJ6572" s="26"/>
    </row>
    <row r="6573" spans="29:36">
      <c r="AC6573" s="26"/>
      <c r="AE6573" s="26"/>
      <c r="AF6573" s="26"/>
      <c r="AJ6573" s="26"/>
    </row>
    <row r="6574" spans="29:36">
      <c r="AC6574" s="26"/>
      <c r="AE6574" s="26"/>
      <c r="AF6574" s="26"/>
      <c r="AJ6574" s="26"/>
    </row>
    <row r="6575" spans="29:36">
      <c r="AC6575" s="26"/>
      <c r="AE6575" s="26"/>
      <c r="AF6575" s="26"/>
      <c r="AJ6575" s="26"/>
    </row>
    <row r="6576" spans="29:36">
      <c r="AC6576" s="26"/>
      <c r="AE6576" s="26"/>
      <c r="AF6576" s="26"/>
      <c r="AJ6576" s="26"/>
    </row>
    <row r="6577" spans="29:36">
      <c r="AC6577" s="26"/>
      <c r="AE6577" s="26"/>
      <c r="AF6577" s="26"/>
      <c r="AJ6577" s="26"/>
    </row>
    <row r="6578" spans="29:36">
      <c r="AC6578" s="26"/>
      <c r="AE6578" s="26"/>
      <c r="AF6578" s="26"/>
      <c r="AJ6578" s="26"/>
    </row>
    <row r="6579" spans="29:36">
      <c r="AC6579" s="26"/>
      <c r="AE6579" s="26"/>
      <c r="AF6579" s="26"/>
      <c r="AJ6579" s="26"/>
    </row>
    <row r="6580" spans="29:36">
      <c r="AC6580" s="26"/>
      <c r="AE6580" s="26"/>
      <c r="AF6580" s="26"/>
      <c r="AJ6580" s="26"/>
    </row>
    <row r="6581" spans="29:36">
      <c r="AC6581" s="26"/>
      <c r="AE6581" s="26"/>
      <c r="AF6581" s="26"/>
      <c r="AJ6581" s="26"/>
    </row>
    <row r="6582" spans="29:36">
      <c r="AC6582" s="26"/>
      <c r="AE6582" s="26"/>
      <c r="AF6582" s="26"/>
      <c r="AJ6582" s="26"/>
    </row>
    <row r="6583" spans="29:36">
      <c r="AC6583" s="26"/>
      <c r="AE6583" s="26"/>
      <c r="AF6583" s="26"/>
      <c r="AJ6583" s="26"/>
    </row>
    <row r="6584" spans="29:36">
      <c r="AC6584" s="26"/>
      <c r="AE6584" s="26"/>
      <c r="AF6584" s="26"/>
      <c r="AJ6584" s="26"/>
    </row>
    <row r="6585" spans="29:36">
      <c r="AC6585" s="26"/>
      <c r="AE6585" s="26"/>
      <c r="AF6585" s="26"/>
      <c r="AJ6585" s="26"/>
    </row>
    <row r="6586" spans="29:36">
      <c r="AC6586" s="26"/>
      <c r="AE6586" s="26"/>
      <c r="AF6586" s="26"/>
      <c r="AJ6586" s="26"/>
    </row>
    <row r="6587" spans="29:36">
      <c r="AC6587" s="26"/>
      <c r="AE6587" s="26"/>
      <c r="AF6587" s="26"/>
      <c r="AJ6587" s="26"/>
    </row>
    <row r="6588" spans="29:36">
      <c r="AC6588" s="26"/>
      <c r="AE6588" s="26"/>
      <c r="AF6588" s="26"/>
      <c r="AJ6588" s="26"/>
    </row>
    <row r="6589" spans="29:36">
      <c r="AC6589" s="26"/>
      <c r="AE6589" s="26"/>
      <c r="AF6589" s="26"/>
      <c r="AJ6589" s="26"/>
    </row>
    <row r="6590" spans="29:36">
      <c r="AC6590" s="26"/>
      <c r="AE6590" s="26"/>
      <c r="AF6590" s="26"/>
      <c r="AJ6590" s="26"/>
    </row>
    <row r="6591" spans="29:36">
      <c r="AC6591" s="26"/>
      <c r="AE6591" s="26"/>
      <c r="AF6591" s="26"/>
      <c r="AJ6591" s="26"/>
    </row>
    <row r="6592" spans="29:36">
      <c r="AC6592" s="26"/>
      <c r="AE6592" s="26"/>
      <c r="AF6592" s="26"/>
      <c r="AJ6592" s="26"/>
    </row>
    <row r="6593" spans="29:36">
      <c r="AC6593" s="26"/>
      <c r="AE6593" s="26"/>
      <c r="AF6593" s="26"/>
      <c r="AJ6593" s="26"/>
    </row>
    <row r="6594" spans="29:36">
      <c r="AC6594" s="26"/>
      <c r="AE6594" s="26"/>
      <c r="AF6594" s="26"/>
      <c r="AJ6594" s="26"/>
    </row>
    <row r="6595" spans="29:36">
      <c r="AC6595" s="26"/>
      <c r="AE6595" s="26"/>
      <c r="AF6595" s="26"/>
      <c r="AJ6595" s="26"/>
    </row>
    <row r="6596" spans="29:36">
      <c r="AC6596" s="26"/>
      <c r="AE6596" s="26"/>
      <c r="AF6596" s="26"/>
      <c r="AJ6596" s="26"/>
    </row>
    <row r="6597" spans="29:36">
      <c r="AC6597" s="26"/>
      <c r="AE6597" s="26"/>
      <c r="AF6597" s="26"/>
      <c r="AJ6597" s="26"/>
    </row>
    <row r="6598" spans="29:36">
      <c r="AC6598" s="26"/>
      <c r="AE6598" s="26"/>
      <c r="AF6598" s="26"/>
      <c r="AJ6598" s="26"/>
    </row>
    <row r="6599" spans="29:36">
      <c r="AC6599" s="26"/>
      <c r="AE6599" s="26"/>
      <c r="AF6599" s="26"/>
      <c r="AJ6599" s="26"/>
    </row>
    <row r="6600" spans="29:36">
      <c r="AC6600" s="26"/>
      <c r="AE6600" s="26"/>
      <c r="AF6600" s="26"/>
      <c r="AJ6600" s="26"/>
    </row>
    <row r="6601" spans="29:36">
      <c r="AC6601" s="26"/>
      <c r="AE6601" s="26"/>
      <c r="AF6601" s="26"/>
      <c r="AJ6601" s="26"/>
    </row>
    <row r="6602" spans="29:36">
      <c r="AC6602" s="26"/>
      <c r="AE6602" s="26"/>
      <c r="AF6602" s="26"/>
      <c r="AJ6602" s="26"/>
    </row>
    <row r="6603" spans="29:36">
      <c r="AC6603" s="26"/>
      <c r="AE6603" s="26"/>
      <c r="AF6603" s="26"/>
      <c r="AJ6603" s="26"/>
    </row>
    <row r="6604" spans="29:36">
      <c r="AC6604" s="26"/>
      <c r="AE6604" s="26"/>
      <c r="AF6604" s="26"/>
      <c r="AJ6604" s="26"/>
    </row>
    <row r="6605" spans="29:36">
      <c r="AC6605" s="26"/>
      <c r="AE6605" s="26"/>
      <c r="AF6605" s="26"/>
      <c r="AJ6605" s="26"/>
    </row>
    <row r="6606" spans="29:36">
      <c r="AC6606" s="26"/>
      <c r="AE6606" s="26"/>
      <c r="AF6606" s="26"/>
      <c r="AJ6606" s="26"/>
    </row>
    <row r="6607" spans="29:36">
      <c r="AC6607" s="26"/>
      <c r="AE6607" s="26"/>
      <c r="AF6607" s="26"/>
      <c r="AJ6607" s="26"/>
    </row>
    <row r="6608" spans="29:36">
      <c r="AC6608" s="26"/>
      <c r="AE6608" s="26"/>
      <c r="AF6608" s="26"/>
      <c r="AJ6608" s="26"/>
    </row>
    <row r="6609" spans="29:36">
      <c r="AC6609" s="26"/>
      <c r="AE6609" s="26"/>
      <c r="AF6609" s="26"/>
      <c r="AJ6609" s="26"/>
    </row>
    <row r="6610" spans="29:36">
      <c r="AC6610" s="26"/>
      <c r="AE6610" s="26"/>
      <c r="AF6610" s="26"/>
      <c r="AJ6610" s="26"/>
    </row>
    <row r="6611" spans="29:36">
      <c r="AC6611" s="26"/>
      <c r="AE6611" s="26"/>
      <c r="AF6611" s="26"/>
      <c r="AJ6611" s="26"/>
    </row>
    <row r="6612" spans="29:36">
      <c r="AC6612" s="26"/>
      <c r="AE6612" s="26"/>
      <c r="AF6612" s="26"/>
      <c r="AJ6612" s="26"/>
    </row>
    <row r="6613" spans="29:36">
      <c r="AC6613" s="26"/>
      <c r="AE6613" s="26"/>
      <c r="AF6613" s="26"/>
      <c r="AJ6613" s="26"/>
    </row>
    <row r="6614" spans="29:36">
      <c r="AC6614" s="26"/>
      <c r="AE6614" s="26"/>
      <c r="AF6614" s="26"/>
      <c r="AJ6614" s="26"/>
    </row>
    <row r="6615" spans="29:36">
      <c r="AC6615" s="26"/>
      <c r="AE6615" s="26"/>
      <c r="AF6615" s="26"/>
      <c r="AJ6615" s="26"/>
    </row>
    <row r="6616" spans="29:36">
      <c r="AC6616" s="26"/>
      <c r="AE6616" s="26"/>
      <c r="AF6616" s="26"/>
      <c r="AJ6616" s="26"/>
    </row>
    <row r="6617" spans="29:36">
      <c r="AC6617" s="26"/>
      <c r="AE6617" s="26"/>
      <c r="AF6617" s="26"/>
      <c r="AJ6617" s="26"/>
    </row>
    <row r="6618" spans="29:36">
      <c r="AC6618" s="26"/>
      <c r="AE6618" s="26"/>
      <c r="AF6618" s="26"/>
      <c r="AJ6618" s="26"/>
    </row>
    <row r="6619" spans="29:36">
      <c r="AC6619" s="26"/>
      <c r="AE6619" s="26"/>
      <c r="AF6619" s="26"/>
      <c r="AJ6619" s="26"/>
    </row>
    <row r="6620" spans="29:36">
      <c r="AC6620" s="26"/>
      <c r="AE6620" s="26"/>
      <c r="AF6620" s="26"/>
      <c r="AJ6620" s="26"/>
    </row>
    <row r="6621" spans="29:36">
      <c r="AC6621" s="26"/>
      <c r="AE6621" s="26"/>
      <c r="AF6621" s="26"/>
      <c r="AJ6621" s="26"/>
    </row>
    <row r="6622" spans="29:36">
      <c r="AC6622" s="26"/>
      <c r="AE6622" s="26"/>
      <c r="AF6622" s="26"/>
      <c r="AJ6622" s="26"/>
    </row>
    <row r="6623" spans="29:36">
      <c r="AC6623" s="26"/>
      <c r="AE6623" s="26"/>
      <c r="AF6623" s="26"/>
      <c r="AJ6623" s="26"/>
    </row>
    <row r="6624" spans="29:36">
      <c r="AC6624" s="26"/>
      <c r="AE6624" s="26"/>
      <c r="AF6624" s="26"/>
      <c r="AJ6624" s="26"/>
    </row>
    <row r="6625" spans="29:36">
      <c r="AC6625" s="26"/>
      <c r="AE6625" s="26"/>
      <c r="AF6625" s="26"/>
      <c r="AJ6625" s="26"/>
    </row>
    <row r="6626" spans="29:36">
      <c r="AC6626" s="26"/>
      <c r="AE6626" s="26"/>
      <c r="AF6626" s="26"/>
      <c r="AJ6626" s="26"/>
    </row>
    <row r="6627" spans="29:36">
      <c r="AC6627" s="26"/>
      <c r="AE6627" s="26"/>
      <c r="AF6627" s="26"/>
      <c r="AJ6627" s="26"/>
    </row>
    <row r="6628" spans="29:36">
      <c r="AC6628" s="26"/>
      <c r="AE6628" s="26"/>
      <c r="AF6628" s="26"/>
      <c r="AJ6628" s="26"/>
    </row>
    <row r="6629" spans="29:36">
      <c r="AC6629" s="26"/>
      <c r="AE6629" s="26"/>
      <c r="AF6629" s="26"/>
      <c r="AJ6629" s="26"/>
    </row>
    <row r="6630" spans="29:36">
      <c r="AC6630" s="26"/>
      <c r="AE6630" s="26"/>
      <c r="AF6630" s="26"/>
      <c r="AJ6630" s="26"/>
    </row>
    <row r="6631" spans="29:36">
      <c r="AC6631" s="26"/>
      <c r="AE6631" s="26"/>
      <c r="AF6631" s="26"/>
      <c r="AJ6631" s="26"/>
    </row>
    <row r="6632" spans="29:36">
      <c r="AC6632" s="26"/>
      <c r="AE6632" s="26"/>
      <c r="AF6632" s="26"/>
      <c r="AJ6632" s="26"/>
    </row>
    <row r="6633" spans="29:36">
      <c r="AC6633" s="26"/>
      <c r="AE6633" s="26"/>
      <c r="AF6633" s="26"/>
      <c r="AJ6633" s="26"/>
    </row>
    <row r="6634" spans="29:36">
      <c r="AC6634" s="26"/>
      <c r="AE6634" s="26"/>
      <c r="AF6634" s="26"/>
      <c r="AJ6634" s="26"/>
    </row>
    <row r="6635" spans="29:36">
      <c r="AC6635" s="26"/>
      <c r="AE6635" s="26"/>
      <c r="AF6635" s="26"/>
      <c r="AJ6635" s="26"/>
    </row>
    <row r="6636" spans="29:36">
      <c r="AC6636" s="26"/>
      <c r="AE6636" s="26"/>
      <c r="AF6636" s="26"/>
      <c r="AJ6636" s="26"/>
    </row>
    <row r="6637" spans="29:36">
      <c r="AC6637" s="26"/>
      <c r="AE6637" s="26"/>
      <c r="AF6637" s="26"/>
      <c r="AJ6637" s="26"/>
    </row>
    <row r="6638" spans="29:36">
      <c r="AC6638" s="26"/>
      <c r="AE6638" s="26"/>
      <c r="AF6638" s="26"/>
      <c r="AJ6638" s="26"/>
    </row>
    <row r="6639" spans="29:36">
      <c r="AC6639" s="26"/>
      <c r="AE6639" s="26"/>
      <c r="AF6639" s="26"/>
      <c r="AJ6639" s="26"/>
    </row>
    <row r="6640" spans="29:36">
      <c r="AC6640" s="26"/>
      <c r="AE6640" s="26"/>
      <c r="AF6640" s="26"/>
      <c r="AJ6640" s="26"/>
    </row>
    <row r="6641" spans="29:36">
      <c r="AC6641" s="26"/>
      <c r="AE6641" s="26"/>
      <c r="AF6641" s="26"/>
      <c r="AJ6641" s="26"/>
    </row>
    <row r="6642" spans="29:36">
      <c r="AC6642" s="26"/>
      <c r="AE6642" s="26"/>
      <c r="AF6642" s="26"/>
      <c r="AJ6642" s="26"/>
    </row>
    <row r="6643" spans="29:36">
      <c r="AC6643" s="26"/>
      <c r="AE6643" s="26"/>
      <c r="AF6643" s="26"/>
      <c r="AJ6643" s="26"/>
    </row>
    <row r="6644" spans="29:36">
      <c r="AC6644" s="26"/>
      <c r="AE6644" s="26"/>
      <c r="AF6644" s="26"/>
      <c r="AJ6644" s="26"/>
    </row>
    <row r="6645" spans="29:36">
      <c r="AC6645" s="26"/>
      <c r="AE6645" s="26"/>
      <c r="AF6645" s="26"/>
      <c r="AJ6645" s="26"/>
    </row>
    <row r="6646" spans="29:36">
      <c r="AC6646" s="26"/>
      <c r="AE6646" s="26"/>
      <c r="AF6646" s="26"/>
      <c r="AJ6646" s="26"/>
    </row>
    <row r="6647" spans="29:36">
      <c r="AC6647" s="26"/>
      <c r="AE6647" s="26"/>
      <c r="AF6647" s="26"/>
      <c r="AJ6647" s="26"/>
    </row>
    <row r="6648" spans="29:36">
      <c r="AC6648" s="26"/>
      <c r="AE6648" s="26"/>
      <c r="AF6648" s="26"/>
      <c r="AJ6648" s="26"/>
    </row>
    <row r="6649" spans="29:36">
      <c r="AC6649" s="26"/>
      <c r="AE6649" s="26"/>
      <c r="AF6649" s="26"/>
      <c r="AJ6649" s="26"/>
    </row>
    <row r="6650" spans="29:36">
      <c r="AC6650" s="26"/>
      <c r="AE6650" s="26"/>
      <c r="AF6650" s="26"/>
      <c r="AJ6650" s="26"/>
    </row>
    <row r="6651" spans="29:36">
      <c r="AC6651" s="26"/>
      <c r="AE6651" s="26"/>
      <c r="AF6651" s="26"/>
      <c r="AJ6651" s="26"/>
    </row>
    <row r="6652" spans="29:36">
      <c r="AC6652" s="26"/>
      <c r="AE6652" s="26"/>
      <c r="AF6652" s="26"/>
      <c r="AJ6652" s="26"/>
    </row>
    <row r="6653" spans="29:36">
      <c r="AC6653" s="26"/>
      <c r="AE6653" s="26"/>
      <c r="AF6653" s="26"/>
      <c r="AJ6653" s="26"/>
    </row>
    <row r="6654" spans="29:36">
      <c r="AC6654" s="26"/>
      <c r="AE6654" s="26"/>
      <c r="AF6654" s="26"/>
      <c r="AJ6654" s="26"/>
    </row>
    <row r="6655" spans="29:36">
      <c r="AC6655" s="26"/>
      <c r="AE6655" s="26"/>
      <c r="AF6655" s="26"/>
      <c r="AJ6655" s="26"/>
    </row>
    <row r="6656" spans="29:36">
      <c r="AC6656" s="26"/>
      <c r="AE6656" s="26"/>
      <c r="AF6656" s="26"/>
      <c r="AJ6656" s="26"/>
    </row>
    <row r="6657" spans="29:36">
      <c r="AC6657" s="26"/>
      <c r="AE6657" s="26"/>
      <c r="AF6657" s="26"/>
      <c r="AJ6657" s="26"/>
    </row>
    <row r="6658" spans="29:36">
      <c r="AC6658" s="26"/>
      <c r="AE6658" s="26"/>
      <c r="AF6658" s="26"/>
      <c r="AJ6658" s="26"/>
    </row>
    <row r="6659" spans="29:36">
      <c r="AC6659" s="26"/>
      <c r="AE6659" s="26"/>
      <c r="AF6659" s="26"/>
      <c r="AJ6659" s="26"/>
    </row>
    <row r="6660" spans="29:36">
      <c r="AC6660" s="26"/>
      <c r="AE6660" s="26"/>
      <c r="AF6660" s="26"/>
      <c r="AJ6660" s="26"/>
    </row>
    <row r="6661" spans="29:36">
      <c r="AC6661" s="26"/>
      <c r="AE6661" s="26"/>
      <c r="AF6661" s="26"/>
      <c r="AJ6661" s="26"/>
    </row>
    <row r="6662" spans="29:36">
      <c r="AC6662" s="26"/>
      <c r="AE6662" s="26"/>
      <c r="AF6662" s="26"/>
      <c r="AJ6662" s="26"/>
    </row>
    <row r="6663" spans="29:36">
      <c r="AC6663" s="26"/>
      <c r="AE6663" s="26"/>
      <c r="AF6663" s="26"/>
      <c r="AJ6663" s="26"/>
    </row>
    <row r="6664" spans="29:36">
      <c r="AC6664" s="26"/>
      <c r="AE6664" s="26"/>
      <c r="AF6664" s="26"/>
      <c r="AJ6664" s="26"/>
    </row>
    <row r="6665" spans="29:36">
      <c r="AC6665" s="26"/>
      <c r="AE6665" s="26"/>
      <c r="AF6665" s="26"/>
      <c r="AJ6665" s="26"/>
    </row>
    <row r="6666" spans="29:36">
      <c r="AC6666" s="26"/>
      <c r="AE6666" s="26"/>
      <c r="AF6666" s="26"/>
      <c r="AJ6666" s="26"/>
    </row>
    <row r="6667" spans="29:36">
      <c r="AC6667" s="26"/>
      <c r="AE6667" s="26"/>
      <c r="AF6667" s="26"/>
      <c r="AJ6667" s="26"/>
    </row>
    <row r="6668" spans="29:36">
      <c r="AC6668" s="26"/>
      <c r="AE6668" s="26"/>
      <c r="AF6668" s="26"/>
      <c r="AJ6668" s="26"/>
    </row>
    <row r="6669" spans="29:36">
      <c r="AC6669" s="26"/>
      <c r="AE6669" s="26"/>
      <c r="AF6669" s="26"/>
      <c r="AJ6669" s="26"/>
    </row>
    <row r="6670" spans="29:36">
      <c r="AC6670" s="26"/>
      <c r="AE6670" s="26"/>
      <c r="AF6670" s="26"/>
      <c r="AJ6670" s="26"/>
    </row>
    <row r="6671" spans="29:36">
      <c r="AC6671" s="26"/>
      <c r="AE6671" s="26"/>
      <c r="AF6671" s="26"/>
      <c r="AJ6671" s="26"/>
    </row>
    <row r="6672" spans="29:36">
      <c r="AC6672" s="26"/>
      <c r="AE6672" s="26"/>
      <c r="AF6672" s="26"/>
      <c r="AJ6672" s="26"/>
    </row>
    <row r="6673" spans="29:36">
      <c r="AC6673" s="26"/>
      <c r="AE6673" s="26"/>
      <c r="AF6673" s="26"/>
      <c r="AJ6673" s="26"/>
    </row>
    <row r="6674" spans="29:36">
      <c r="AC6674" s="26"/>
      <c r="AE6674" s="26"/>
      <c r="AF6674" s="26"/>
      <c r="AJ6674" s="26"/>
    </row>
    <row r="6675" spans="29:36">
      <c r="AC6675" s="26"/>
      <c r="AE6675" s="26"/>
      <c r="AF6675" s="26"/>
      <c r="AJ6675" s="26"/>
    </row>
    <row r="6676" spans="29:36">
      <c r="AC6676" s="26"/>
      <c r="AE6676" s="26"/>
      <c r="AF6676" s="26"/>
      <c r="AJ6676" s="26"/>
    </row>
    <row r="6677" spans="29:36">
      <c r="AC6677" s="26"/>
      <c r="AE6677" s="26"/>
      <c r="AF6677" s="26"/>
      <c r="AJ6677" s="26"/>
    </row>
    <row r="6678" spans="29:36">
      <c r="AC6678" s="26"/>
      <c r="AE6678" s="26"/>
      <c r="AF6678" s="26"/>
      <c r="AJ6678" s="26"/>
    </row>
    <row r="6679" spans="29:36">
      <c r="AC6679" s="26"/>
      <c r="AE6679" s="26"/>
      <c r="AF6679" s="26"/>
      <c r="AJ6679" s="26"/>
    </row>
    <row r="6680" spans="29:36">
      <c r="AC6680" s="26"/>
      <c r="AE6680" s="26"/>
      <c r="AF6680" s="26"/>
      <c r="AJ6680" s="26"/>
    </row>
    <row r="6681" spans="29:36">
      <c r="AC6681" s="26"/>
      <c r="AE6681" s="26"/>
      <c r="AF6681" s="26"/>
      <c r="AJ6681" s="26"/>
    </row>
    <row r="6682" spans="29:36">
      <c r="AC6682" s="26"/>
      <c r="AE6682" s="26"/>
      <c r="AF6682" s="26"/>
      <c r="AJ6682" s="26"/>
    </row>
    <row r="6683" spans="29:36">
      <c r="AC6683" s="26"/>
      <c r="AE6683" s="26"/>
      <c r="AF6683" s="26"/>
      <c r="AJ6683" s="26"/>
    </row>
    <row r="6684" spans="29:36">
      <c r="AC6684" s="26"/>
      <c r="AE6684" s="26"/>
      <c r="AF6684" s="26"/>
      <c r="AJ6684" s="26"/>
    </row>
    <row r="6685" spans="29:36">
      <c r="AC6685" s="26"/>
      <c r="AE6685" s="26"/>
      <c r="AF6685" s="26"/>
      <c r="AJ6685" s="26"/>
    </row>
    <row r="6686" spans="29:36">
      <c r="AC6686" s="26"/>
      <c r="AE6686" s="26"/>
      <c r="AF6686" s="26"/>
      <c r="AJ6686" s="26"/>
    </row>
    <row r="6687" spans="29:36">
      <c r="AC6687" s="26"/>
      <c r="AE6687" s="26"/>
      <c r="AF6687" s="26"/>
      <c r="AJ6687" s="26"/>
    </row>
    <row r="6688" spans="29:36">
      <c r="AC6688" s="26"/>
      <c r="AE6688" s="26"/>
      <c r="AF6688" s="26"/>
      <c r="AJ6688" s="26"/>
    </row>
    <row r="6689" spans="29:36">
      <c r="AC6689" s="26"/>
      <c r="AE6689" s="26"/>
      <c r="AF6689" s="26"/>
      <c r="AJ6689" s="26"/>
    </row>
    <row r="6690" spans="29:36">
      <c r="AC6690" s="26"/>
      <c r="AE6690" s="26"/>
      <c r="AF6690" s="26"/>
      <c r="AJ6690" s="26"/>
    </row>
    <row r="6691" spans="29:36">
      <c r="AC6691" s="26"/>
      <c r="AE6691" s="26"/>
      <c r="AF6691" s="26"/>
      <c r="AJ6691" s="26"/>
    </row>
    <row r="6692" spans="29:36">
      <c r="AC6692" s="26"/>
      <c r="AE6692" s="26"/>
      <c r="AF6692" s="26"/>
      <c r="AJ6692" s="26"/>
    </row>
    <row r="6693" spans="29:36">
      <c r="AC6693" s="26"/>
      <c r="AE6693" s="26"/>
      <c r="AF6693" s="26"/>
      <c r="AJ6693" s="26"/>
    </row>
    <row r="6694" spans="29:36">
      <c r="AC6694" s="26"/>
      <c r="AE6694" s="26"/>
      <c r="AF6694" s="26"/>
      <c r="AJ6694" s="26"/>
    </row>
    <row r="6695" spans="29:36">
      <c r="AC6695" s="26"/>
      <c r="AE6695" s="26"/>
      <c r="AF6695" s="26"/>
      <c r="AJ6695" s="26"/>
    </row>
    <row r="6696" spans="29:36">
      <c r="AC6696" s="26"/>
      <c r="AE6696" s="26"/>
      <c r="AF6696" s="26"/>
      <c r="AJ6696" s="26"/>
    </row>
    <row r="6697" spans="29:36">
      <c r="AC6697" s="26"/>
      <c r="AE6697" s="26"/>
      <c r="AF6697" s="26"/>
      <c r="AJ6697" s="26"/>
    </row>
    <row r="6698" spans="29:36">
      <c r="AC6698" s="26"/>
      <c r="AE6698" s="26"/>
      <c r="AF6698" s="26"/>
      <c r="AJ6698" s="26"/>
    </row>
    <row r="6699" spans="29:36">
      <c r="AC6699" s="26"/>
      <c r="AE6699" s="26"/>
      <c r="AF6699" s="26"/>
      <c r="AJ6699" s="26"/>
    </row>
    <row r="6700" spans="29:36">
      <c r="AC6700" s="26"/>
      <c r="AE6700" s="26"/>
      <c r="AF6700" s="26"/>
      <c r="AJ6700" s="26"/>
    </row>
    <row r="6701" spans="29:36">
      <c r="AC6701" s="26"/>
      <c r="AE6701" s="26"/>
      <c r="AF6701" s="26"/>
      <c r="AJ6701" s="26"/>
    </row>
    <row r="6702" spans="29:36">
      <c r="AC6702" s="26"/>
      <c r="AE6702" s="26"/>
      <c r="AF6702" s="26"/>
      <c r="AJ6702" s="26"/>
    </row>
    <row r="6703" spans="29:36">
      <c r="AC6703" s="26"/>
      <c r="AE6703" s="26"/>
      <c r="AF6703" s="26"/>
      <c r="AJ6703" s="26"/>
    </row>
    <row r="6704" spans="29:36">
      <c r="AC6704" s="26"/>
      <c r="AE6704" s="26"/>
      <c r="AF6704" s="26"/>
      <c r="AJ6704" s="26"/>
    </row>
    <row r="6705" spans="29:36">
      <c r="AC6705" s="26"/>
      <c r="AE6705" s="26"/>
      <c r="AF6705" s="26"/>
      <c r="AJ6705" s="26"/>
    </row>
    <row r="6706" spans="29:36">
      <c r="AC6706" s="26"/>
      <c r="AE6706" s="26"/>
      <c r="AF6706" s="26"/>
      <c r="AJ6706" s="26"/>
    </row>
    <row r="6707" spans="29:36">
      <c r="AC6707" s="26"/>
      <c r="AE6707" s="26"/>
      <c r="AF6707" s="26"/>
      <c r="AJ6707" s="26"/>
    </row>
    <row r="6708" spans="29:36">
      <c r="AC6708" s="26"/>
      <c r="AE6708" s="26"/>
      <c r="AF6708" s="26"/>
      <c r="AJ6708" s="26"/>
    </row>
    <row r="6709" spans="29:36">
      <c r="AC6709" s="26"/>
      <c r="AE6709" s="26"/>
      <c r="AF6709" s="26"/>
      <c r="AJ6709" s="26"/>
    </row>
    <row r="6710" spans="29:36">
      <c r="AC6710" s="26"/>
      <c r="AE6710" s="26"/>
      <c r="AF6710" s="26"/>
      <c r="AJ6710" s="26"/>
    </row>
    <row r="6711" spans="29:36">
      <c r="AC6711" s="26"/>
      <c r="AE6711" s="26"/>
      <c r="AF6711" s="26"/>
      <c r="AJ6711" s="26"/>
    </row>
    <row r="6712" spans="29:36">
      <c r="AC6712" s="26"/>
      <c r="AE6712" s="26"/>
      <c r="AF6712" s="26"/>
      <c r="AJ6712" s="26"/>
    </row>
    <row r="6713" spans="29:36">
      <c r="AC6713" s="26"/>
      <c r="AE6713" s="26"/>
      <c r="AF6713" s="26"/>
      <c r="AJ6713" s="26"/>
    </row>
    <row r="6714" spans="29:36">
      <c r="AC6714" s="26"/>
      <c r="AE6714" s="26"/>
      <c r="AF6714" s="26"/>
      <c r="AJ6714" s="26"/>
    </row>
    <row r="6715" spans="29:36">
      <c r="AC6715" s="26"/>
      <c r="AE6715" s="26"/>
      <c r="AF6715" s="26"/>
      <c r="AJ6715" s="26"/>
    </row>
    <row r="6716" spans="29:36">
      <c r="AC6716" s="26"/>
      <c r="AE6716" s="26"/>
      <c r="AF6716" s="26"/>
      <c r="AJ6716" s="26"/>
    </row>
    <row r="6717" spans="29:36">
      <c r="AC6717" s="26"/>
      <c r="AE6717" s="26"/>
      <c r="AF6717" s="26"/>
      <c r="AJ6717" s="26"/>
    </row>
    <row r="6718" spans="29:36">
      <c r="AC6718" s="26"/>
      <c r="AE6718" s="26"/>
      <c r="AF6718" s="26"/>
      <c r="AJ6718" s="26"/>
    </row>
    <row r="6719" spans="29:36">
      <c r="AC6719" s="26"/>
      <c r="AE6719" s="26"/>
      <c r="AF6719" s="26"/>
      <c r="AJ6719" s="26"/>
    </row>
    <row r="6720" spans="29:36">
      <c r="AC6720" s="26"/>
      <c r="AE6720" s="26"/>
      <c r="AF6720" s="26"/>
      <c r="AJ6720" s="26"/>
    </row>
    <row r="6721" spans="29:36">
      <c r="AC6721" s="26"/>
      <c r="AE6721" s="26"/>
      <c r="AF6721" s="26"/>
      <c r="AJ6721" s="26"/>
    </row>
    <row r="6722" spans="29:36">
      <c r="AC6722" s="26"/>
      <c r="AE6722" s="26"/>
      <c r="AF6722" s="26"/>
      <c r="AJ6722" s="26"/>
    </row>
    <row r="6723" spans="29:36">
      <c r="AC6723" s="26"/>
      <c r="AE6723" s="26"/>
      <c r="AF6723" s="26"/>
      <c r="AJ6723" s="26"/>
    </row>
    <row r="6724" spans="29:36">
      <c r="AC6724" s="26"/>
      <c r="AE6724" s="26"/>
      <c r="AF6724" s="26"/>
      <c r="AJ6724" s="26"/>
    </row>
    <row r="6725" spans="29:36">
      <c r="AC6725" s="26"/>
      <c r="AE6725" s="26"/>
      <c r="AF6725" s="26"/>
      <c r="AJ6725" s="26"/>
    </row>
    <row r="6726" spans="29:36">
      <c r="AC6726" s="26"/>
      <c r="AE6726" s="26"/>
      <c r="AF6726" s="26"/>
      <c r="AJ6726" s="26"/>
    </row>
    <row r="6727" spans="29:36">
      <c r="AC6727" s="26"/>
      <c r="AE6727" s="26"/>
      <c r="AF6727" s="26"/>
      <c r="AJ6727" s="26"/>
    </row>
    <row r="6728" spans="29:36">
      <c r="AC6728" s="26"/>
      <c r="AE6728" s="26"/>
      <c r="AF6728" s="26"/>
      <c r="AJ6728" s="26"/>
    </row>
    <row r="6729" spans="29:36">
      <c r="AC6729" s="26"/>
      <c r="AE6729" s="26"/>
      <c r="AF6729" s="26"/>
      <c r="AJ6729" s="26"/>
    </row>
    <row r="6730" spans="29:36">
      <c r="AC6730" s="26"/>
      <c r="AE6730" s="26"/>
      <c r="AF6730" s="26"/>
      <c r="AJ6730" s="26"/>
    </row>
    <row r="6731" spans="29:36">
      <c r="AC6731" s="26"/>
      <c r="AE6731" s="26"/>
      <c r="AF6731" s="26"/>
      <c r="AJ6731" s="26"/>
    </row>
    <row r="6732" spans="29:36">
      <c r="AC6732" s="26"/>
      <c r="AE6732" s="26"/>
      <c r="AF6732" s="26"/>
      <c r="AJ6732" s="26"/>
    </row>
    <row r="6733" spans="29:36">
      <c r="AC6733" s="26"/>
      <c r="AE6733" s="26"/>
      <c r="AF6733" s="26"/>
      <c r="AJ6733" s="26"/>
    </row>
    <row r="6734" spans="29:36">
      <c r="AC6734" s="26"/>
      <c r="AE6734" s="26"/>
      <c r="AF6734" s="26"/>
      <c r="AJ6734" s="26"/>
    </row>
    <row r="6735" spans="29:36">
      <c r="AC6735" s="26"/>
      <c r="AE6735" s="26"/>
      <c r="AF6735" s="26"/>
      <c r="AJ6735" s="26"/>
    </row>
    <row r="6736" spans="29:36">
      <c r="AC6736" s="26"/>
      <c r="AE6736" s="26"/>
      <c r="AF6736" s="26"/>
      <c r="AJ6736" s="26"/>
    </row>
    <row r="6737" spans="29:36">
      <c r="AC6737" s="26"/>
      <c r="AE6737" s="26"/>
      <c r="AF6737" s="26"/>
      <c r="AJ6737" s="26"/>
    </row>
    <row r="6738" spans="29:36">
      <c r="AC6738" s="26"/>
      <c r="AE6738" s="26"/>
      <c r="AF6738" s="26"/>
      <c r="AJ6738" s="26"/>
    </row>
    <row r="6739" spans="29:36">
      <c r="AC6739" s="26"/>
      <c r="AE6739" s="26"/>
      <c r="AF6739" s="26"/>
      <c r="AJ6739" s="26"/>
    </row>
    <row r="6740" spans="29:36">
      <c r="AC6740" s="26"/>
      <c r="AE6740" s="26"/>
      <c r="AF6740" s="26"/>
      <c r="AJ6740" s="26"/>
    </row>
    <row r="6741" spans="29:36">
      <c r="AC6741" s="26"/>
      <c r="AE6741" s="26"/>
      <c r="AF6741" s="26"/>
      <c r="AJ6741" s="26"/>
    </row>
    <row r="6742" spans="29:36">
      <c r="AC6742" s="26"/>
      <c r="AE6742" s="26"/>
      <c r="AF6742" s="26"/>
      <c r="AJ6742" s="26"/>
    </row>
    <row r="6743" spans="29:36">
      <c r="AC6743" s="26"/>
      <c r="AE6743" s="26"/>
      <c r="AF6743" s="26"/>
      <c r="AJ6743" s="26"/>
    </row>
    <row r="6744" spans="29:36">
      <c r="AC6744" s="26"/>
      <c r="AE6744" s="26"/>
      <c r="AF6744" s="26"/>
      <c r="AJ6744" s="26"/>
    </row>
    <row r="6745" spans="29:36">
      <c r="AC6745" s="26"/>
      <c r="AE6745" s="26"/>
      <c r="AF6745" s="26"/>
      <c r="AJ6745" s="26"/>
    </row>
    <row r="6746" spans="29:36">
      <c r="AC6746" s="26"/>
      <c r="AE6746" s="26"/>
      <c r="AF6746" s="26"/>
      <c r="AJ6746" s="26"/>
    </row>
    <row r="6747" spans="29:36">
      <c r="AC6747" s="26"/>
      <c r="AE6747" s="26"/>
      <c r="AF6747" s="26"/>
      <c r="AJ6747" s="26"/>
    </row>
    <row r="6748" spans="29:36">
      <c r="AC6748" s="26"/>
      <c r="AE6748" s="26"/>
      <c r="AF6748" s="26"/>
      <c r="AJ6748" s="26"/>
    </row>
    <row r="6749" spans="29:36">
      <c r="AC6749" s="26"/>
      <c r="AE6749" s="26"/>
      <c r="AF6749" s="26"/>
      <c r="AJ6749" s="26"/>
    </row>
    <row r="6750" spans="29:36">
      <c r="AC6750" s="26"/>
      <c r="AE6750" s="26"/>
      <c r="AF6750" s="26"/>
      <c r="AJ6750" s="26"/>
    </row>
    <row r="6751" spans="29:36">
      <c r="AC6751" s="26"/>
      <c r="AE6751" s="26"/>
      <c r="AF6751" s="26"/>
      <c r="AJ6751" s="26"/>
    </row>
    <row r="6752" spans="29:36">
      <c r="AC6752" s="26"/>
      <c r="AE6752" s="26"/>
      <c r="AF6752" s="26"/>
      <c r="AJ6752" s="26"/>
    </row>
    <row r="6753" spans="29:36">
      <c r="AC6753" s="26"/>
      <c r="AE6753" s="26"/>
      <c r="AF6753" s="26"/>
      <c r="AJ6753" s="26"/>
    </row>
    <row r="6754" spans="29:36">
      <c r="AC6754" s="26"/>
      <c r="AE6754" s="26"/>
      <c r="AF6754" s="26"/>
      <c r="AJ6754" s="26"/>
    </row>
    <row r="6755" spans="29:36">
      <c r="AC6755" s="26"/>
      <c r="AE6755" s="26"/>
      <c r="AF6755" s="26"/>
      <c r="AJ6755" s="26"/>
    </row>
    <row r="6756" spans="29:36">
      <c r="AC6756" s="26"/>
      <c r="AE6756" s="26"/>
      <c r="AF6756" s="26"/>
      <c r="AJ6756" s="26"/>
    </row>
    <row r="6757" spans="29:36">
      <c r="AC6757" s="26"/>
      <c r="AE6757" s="26"/>
      <c r="AF6757" s="26"/>
      <c r="AJ6757" s="26"/>
    </row>
    <row r="6758" spans="29:36">
      <c r="AC6758" s="26"/>
      <c r="AE6758" s="26"/>
      <c r="AF6758" s="26"/>
      <c r="AJ6758" s="26"/>
    </row>
    <row r="6759" spans="29:36">
      <c r="AC6759" s="26"/>
      <c r="AE6759" s="26"/>
      <c r="AF6759" s="26"/>
      <c r="AJ6759" s="26"/>
    </row>
    <row r="6760" spans="29:36">
      <c r="AC6760" s="26"/>
      <c r="AE6760" s="26"/>
      <c r="AF6760" s="26"/>
      <c r="AJ6760" s="26"/>
    </row>
    <row r="6761" spans="29:36">
      <c r="AC6761" s="26"/>
      <c r="AE6761" s="26"/>
      <c r="AF6761" s="26"/>
      <c r="AJ6761" s="26"/>
    </row>
    <row r="6762" spans="29:36">
      <c r="AC6762" s="26"/>
      <c r="AE6762" s="26"/>
      <c r="AF6762" s="26"/>
      <c r="AJ6762" s="26"/>
    </row>
    <row r="6763" spans="29:36">
      <c r="AC6763" s="26"/>
      <c r="AE6763" s="26"/>
      <c r="AF6763" s="26"/>
      <c r="AJ6763" s="26"/>
    </row>
    <row r="6764" spans="29:36">
      <c r="AC6764" s="26"/>
      <c r="AE6764" s="26"/>
      <c r="AF6764" s="26"/>
      <c r="AJ6764" s="26"/>
    </row>
    <row r="6765" spans="29:36">
      <c r="AC6765" s="26"/>
      <c r="AE6765" s="26"/>
      <c r="AF6765" s="26"/>
      <c r="AJ6765" s="26"/>
    </row>
    <row r="6766" spans="29:36">
      <c r="AC6766" s="26"/>
      <c r="AE6766" s="26"/>
      <c r="AF6766" s="26"/>
      <c r="AJ6766" s="26"/>
    </row>
    <row r="6767" spans="29:36">
      <c r="AC6767" s="26"/>
      <c r="AE6767" s="26"/>
      <c r="AF6767" s="26"/>
      <c r="AJ6767" s="26"/>
    </row>
    <row r="6768" spans="29:36">
      <c r="AC6768" s="26"/>
      <c r="AE6768" s="26"/>
      <c r="AF6768" s="26"/>
      <c r="AJ6768" s="26"/>
    </row>
    <row r="6769" spans="29:36">
      <c r="AC6769" s="26"/>
      <c r="AE6769" s="26"/>
      <c r="AF6769" s="26"/>
      <c r="AJ6769" s="26"/>
    </row>
    <row r="6770" spans="29:36">
      <c r="AC6770" s="26"/>
      <c r="AE6770" s="26"/>
      <c r="AF6770" s="26"/>
      <c r="AJ6770" s="26"/>
    </row>
    <row r="6771" spans="29:36">
      <c r="AC6771" s="26"/>
      <c r="AE6771" s="26"/>
      <c r="AF6771" s="26"/>
      <c r="AJ6771" s="26"/>
    </row>
    <row r="6772" spans="29:36">
      <c r="AC6772" s="26"/>
      <c r="AE6772" s="26"/>
      <c r="AF6772" s="26"/>
      <c r="AJ6772" s="26"/>
    </row>
    <row r="6773" spans="29:36">
      <c r="AC6773" s="26"/>
      <c r="AE6773" s="26"/>
      <c r="AF6773" s="26"/>
      <c r="AJ6773" s="26"/>
    </row>
    <row r="6774" spans="29:36">
      <c r="AC6774" s="26"/>
      <c r="AE6774" s="26"/>
      <c r="AF6774" s="26"/>
      <c r="AJ6774" s="26"/>
    </row>
    <row r="6775" spans="29:36">
      <c r="AC6775" s="26"/>
      <c r="AE6775" s="26"/>
      <c r="AF6775" s="26"/>
      <c r="AJ6775" s="26"/>
    </row>
    <row r="6776" spans="29:36">
      <c r="AC6776" s="26"/>
      <c r="AE6776" s="26"/>
      <c r="AF6776" s="26"/>
      <c r="AJ6776" s="26"/>
    </row>
    <row r="6777" spans="29:36">
      <c r="AC6777" s="26"/>
      <c r="AE6777" s="26"/>
      <c r="AF6777" s="26"/>
      <c r="AJ6777" s="26"/>
    </row>
    <row r="6778" spans="29:36">
      <c r="AC6778" s="26"/>
      <c r="AE6778" s="26"/>
      <c r="AF6778" s="26"/>
      <c r="AJ6778" s="26"/>
    </row>
    <row r="6779" spans="29:36">
      <c r="AC6779" s="26"/>
      <c r="AE6779" s="26"/>
      <c r="AF6779" s="26"/>
      <c r="AJ6779" s="26"/>
    </row>
    <row r="6780" spans="29:36">
      <c r="AC6780" s="26"/>
      <c r="AE6780" s="26"/>
      <c r="AF6780" s="26"/>
      <c r="AJ6780" s="26"/>
    </row>
    <row r="6781" spans="29:36">
      <c r="AC6781" s="26"/>
      <c r="AE6781" s="26"/>
      <c r="AF6781" s="26"/>
      <c r="AJ6781" s="26"/>
    </row>
    <row r="6782" spans="29:36">
      <c r="AC6782" s="26"/>
      <c r="AE6782" s="26"/>
      <c r="AF6782" s="26"/>
      <c r="AJ6782" s="26"/>
    </row>
    <row r="6783" spans="29:36">
      <c r="AC6783" s="26"/>
      <c r="AE6783" s="26"/>
      <c r="AF6783" s="26"/>
      <c r="AJ6783" s="26"/>
    </row>
    <row r="6784" spans="29:36">
      <c r="AC6784" s="26"/>
      <c r="AE6784" s="26"/>
      <c r="AF6784" s="26"/>
      <c r="AJ6784" s="26"/>
    </row>
    <row r="6785" spans="29:36">
      <c r="AC6785" s="26"/>
      <c r="AE6785" s="26"/>
      <c r="AF6785" s="26"/>
      <c r="AJ6785" s="26"/>
    </row>
    <row r="6786" spans="29:36">
      <c r="AC6786" s="26"/>
      <c r="AE6786" s="26"/>
      <c r="AF6786" s="26"/>
      <c r="AJ6786" s="26"/>
    </row>
    <row r="6787" spans="29:36">
      <c r="AC6787" s="26"/>
      <c r="AE6787" s="26"/>
      <c r="AF6787" s="26"/>
      <c r="AJ6787" s="26"/>
    </row>
    <row r="6788" spans="29:36">
      <c r="AC6788" s="26"/>
      <c r="AE6788" s="26"/>
      <c r="AF6788" s="26"/>
      <c r="AJ6788" s="26"/>
    </row>
    <row r="6789" spans="29:36">
      <c r="AC6789" s="26"/>
      <c r="AE6789" s="26"/>
      <c r="AF6789" s="26"/>
      <c r="AJ6789" s="26"/>
    </row>
    <row r="6790" spans="29:36">
      <c r="AC6790" s="26"/>
      <c r="AE6790" s="26"/>
      <c r="AF6790" s="26"/>
      <c r="AJ6790" s="26"/>
    </row>
    <row r="6791" spans="29:36">
      <c r="AC6791" s="26"/>
      <c r="AE6791" s="26"/>
      <c r="AF6791" s="26"/>
      <c r="AJ6791" s="26"/>
    </row>
    <row r="6792" spans="29:36">
      <c r="AC6792" s="26"/>
      <c r="AE6792" s="26"/>
      <c r="AF6792" s="26"/>
      <c r="AJ6792" s="26"/>
    </row>
    <row r="6793" spans="29:36">
      <c r="AC6793" s="26"/>
      <c r="AE6793" s="26"/>
      <c r="AF6793" s="26"/>
      <c r="AJ6793" s="26"/>
    </row>
    <row r="6794" spans="29:36">
      <c r="AC6794" s="26"/>
      <c r="AE6794" s="26"/>
      <c r="AF6794" s="26"/>
      <c r="AJ6794" s="26"/>
    </row>
    <row r="6795" spans="29:36">
      <c r="AC6795" s="26"/>
      <c r="AE6795" s="26"/>
      <c r="AF6795" s="26"/>
      <c r="AJ6795" s="26"/>
    </row>
    <row r="6796" spans="29:36">
      <c r="AC6796" s="26"/>
      <c r="AE6796" s="26"/>
      <c r="AF6796" s="26"/>
      <c r="AJ6796" s="26"/>
    </row>
    <row r="6797" spans="29:36">
      <c r="AC6797" s="26"/>
      <c r="AE6797" s="26"/>
      <c r="AF6797" s="26"/>
      <c r="AJ6797" s="26"/>
    </row>
    <row r="6798" spans="29:36">
      <c r="AC6798" s="26"/>
      <c r="AE6798" s="26"/>
      <c r="AF6798" s="26"/>
      <c r="AJ6798" s="26"/>
    </row>
    <row r="6799" spans="29:36">
      <c r="AC6799" s="26"/>
      <c r="AE6799" s="26"/>
      <c r="AF6799" s="26"/>
      <c r="AJ6799" s="26"/>
    </row>
    <row r="6800" spans="29:36">
      <c r="AC6800" s="26"/>
      <c r="AE6800" s="26"/>
      <c r="AF6800" s="26"/>
      <c r="AJ6800" s="26"/>
    </row>
    <row r="6801" spans="29:36">
      <c r="AC6801" s="26"/>
      <c r="AE6801" s="26"/>
      <c r="AF6801" s="26"/>
      <c r="AJ6801" s="26"/>
    </row>
    <row r="6802" spans="29:36">
      <c r="AC6802" s="26"/>
      <c r="AE6802" s="26"/>
      <c r="AF6802" s="26"/>
      <c r="AJ6802" s="26"/>
    </row>
    <row r="6803" spans="29:36">
      <c r="AC6803" s="26"/>
      <c r="AE6803" s="26"/>
      <c r="AF6803" s="26"/>
      <c r="AJ6803" s="26"/>
    </row>
    <row r="6804" spans="29:36">
      <c r="AC6804" s="26"/>
      <c r="AE6804" s="26"/>
      <c r="AF6804" s="26"/>
      <c r="AJ6804" s="26"/>
    </row>
    <row r="6805" spans="29:36">
      <c r="AC6805" s="26"/>
      <c r="AE6805" s="26"/>
      <c r="AF6805" s="26"/>
      <c r="AJ6805" s="26"/>
    </row>
    <row r="6806" spans="29:36">
      <c r="AC6806" s="26"/>
      <c r="AE6806" s="26"/>
      <c r="AF6806" s="26"/>
      <c r="AJ6806" s="26"/>
    </row>
    <row r="6807" spans="29:36">
      <c r="AC6807" s="26"/>
      <c r="AE6807" s="26"/>
      <c r="AF6807" s="26"/>
      <c r="AJ6807" s="26"/>
    </row>
    <row r="6808" spans="29:36">
      <c r="AC6808" s="26"/>
      <c r="AE6808" s="26"/>
      <c r="AF6808" s="26"/>
      <c r="AJ6808" s="26"/>
    </row>
    <row r="6809" spans="29:36">
      <c r="AC6809" s="26"/>
      <c r="AE6809" s="26"/>
      <c r="AF6809" s="26"/>
      <c r="AJ6809" s="26"/>
    </row>
    <row r="6810" spans="29:36">
      <c r="AC6810" s="26"/>
      <c r="AE6810" s="26"/>
      <c r="AF6810" s="26"/>
      <c r="AJ6810" s="26"/>
    </row>
    <row r="6811" spans="29:36">
      <c r="AC6811" s="26"/>
      <c r="AE6811" s="26"/>
      <c r="AF6811" s="26"/>
      <c r="AJ6811" s="26"/>
    </row>
    <row r="6812" spans="29:36">
      <c r="AC6812" s="26"/>
      <c r="AE6812" s="26"/>
      <c r="AF6812" s="26"/>
      <c r="AJ6812" s="26"/>
    </row>
    <row r="6813" spans="29:36">
      <c r="AC6813" s="26"/>
      <c r="AE6813" s="26"/>
      <c r="AF6813" s="26"/>
      <c r="AJ6813" s="26"/>
    </row>
    <row r="6814" spans="29:36">
      <c r="AC6814" s="26"/>
      <c r="AE6814" s="26"/>
      <c r="AF6814" s="26"/>
      <c r="AJ6814" s="26"/>
    </row>
    <row r="6815" spans="29:36">
      <c r="AC6815" s="26"/>
      <c r="AE6815" s="26"/>
      <c r="AF6815" s="26"/>
      <c r="AJ6815" s="26"/>
    </row>
    <row r="6816" spans="29:36">
      <c r="AC6816" s="26"/>
      <c r="AE6816" s="26"/>
      <c r="AF6816" s="26"/>
      <c r="AJ6816" s="26"/>
    </row>
    <row r="6817" spans="29:36">
      <c r="AC6817" s="26"/>
      <c r="AE6817" s="26"/>
      <c r="AF6817" s="26"/>
      <c r="AJ6817" s="26"/>
    </row>
    <row r="6818" spans="29:36">
      <c r="AC6818" s="26"/>
      <c r="AE6818" s="26"/>
      <c r="AF6818" s="26"/>
      <c r="AJ6818" s="26"/>
    </row>
    <row r="6819" spans="29:36">
      <c r="AC6819" s="26"/>
      <c r="AE6819" s="26"/>
      <c r="AF6819" s="26"/>
      <c r="AJ6819" s="26"/>
    </row>
    <row r="6820" spans="29:36">
      <c r="AC6820" s="26"/>
      <c r="AE6820" s="26"/>
      <c r="AF6820" s="26"/>
      <c r="AJ6820" s="26"/>
    </row>
    <row r="6821" spans="29:36">
      <c r="AC6821" s="26"/>
      <c r="AE6821" s="26"/>
      <c r="AF6821" s="26"/>
      <c r="AJ6821" s="26"/>
    </row>
    <row r="6822" spans="29:36">
      <c r="AC6822" s="26"/>
      <c r="AE6822" s="26"/>
      <c r="AF6822" s="26"/>
      <c r="AJ6822" s="26"/>
    </row>
    <row r="6823" spans="29:36">
      <c r="AC6823" s="26"/>
      <c r="AE6823" s="26"/>
      <c r="AF6823" s="26"/>
      <c r="AJ6823" s="26"/>
    </row>
    <row r="6824" spans="29:36">
      <c r="AC6824" s="26"/>
      <c r="AE6824" s="26"/>
      <c r="AF6824" s="26"/>
      <c r="AJ6824" s="26"/>
    </row>
    <row r="6825" spans="29:36">
      <c r="AC6825" s="26"/>
      <c r="AE6825" s="26"/>
      <c r="AF6825" s="26"/>
      <c r="AJ6825" s="26"/>
    </row>
    <row r="6826" spans="29:36">
      <c r="AC6826" s="26"/>
      <c r="AE6826" s="26"/>
      <c r="AF6826" s="26"/>
      <c r="AJ6826" s="26"/>
    </row>
    <row r="6827" spans="29:36">
      <c r="AC6827" s="26"/>
      <c r="AE6827" s="26"/>
      <c r="AF6827" s="26"/>
      <c r="AJ6827" s="26"/>
    </row>
    <row r="6828" spans="29:36">
      <c r="AC6828" s="26"/>
      <c r="AE6828" s="26"/>
      <c r="AF6828" s="26"/>
      <c r="AJ6828" s="26"/>
    </row>
    <row r="6829" spans="29:36">
      <c r="AC6829" s="26"/>
      <c r="AE6829" s="26"/>
      <c r="AF6829" s="26"/>
      <c r="AJ6829" s="26"/>
    </row>
    <row r="6830" spans="29:36">
      <c r="AC6830" s="26"/>
      <c r="AE6830" s="26"/>
      <c r="AF6830" s="26"/>
      <c r="AJ6830" s="26"/>
    </row>
    <row r="6831" spans="29:36">
      <c r="AC6831" s="26"/>
      <c r="AE6831" s="26"/>
      <c r="AF6831" s="26"/>
      <c r="AJ6831" s="26"/>
    </row>
    <row r="6832" spans="29:36">
      <c r="AC6832" s="26"/>
      <c r="AE6832" s="26"/>
      <c r="AF6832" s="26"/>
      <c r="AJ6832" s="26"/>
    </row>
    <row r="6833" spans="29:36">
      <c r="AC6833" s="26"/>
      <c r="AE6833" s="26"/>
      <c r="AF6833" s="26"/>
      <c r="AJ6833" s="26"/>
    </row>
    <row r="6834" spans="29:36">
      <c r="AC6834" s="26"/>
      <c r="AE6834" s="26"/>
      <c r="AF6834" s="26"/>
      <c r="AJ6834" s="26"/>
    </row>
    <row r="6835" spans="29:36">
      <c r="AC6835" s="26"/>
      <c r="AE6835" s="26"/>
      <c r="AF6835" s="26"/>
      <c r="AJ6835" s="26"/>
    </row>
    <row r="6836" spans="29:36">
      <c r="AC6836" s="26"/>
      <c r="AE6836" s="26"/>
      <c r="AF6836" s="26"/>
      <c r="AJ6836" s="26"/>
    </row>
    <row r="6837" spans="29:36">
      <c r="AC6837" s="26"/>
      <c r="AE6837" s="26"/>
      <c r="AF6837" s="26"/>
      <c r="AJ6837" s="26"/>
    </row>
    <row r="6838" spans="29:36">
      <c r="AC6838" s="26"/>
      <c r="AE6838" s="26"/>
      <c r="AF6838" s="26"/>
      <c r="AJ6838" s="26"/>
    </row>
    <row r="6839" spans="29:36">
      <c r="AC6839" s="26"/>
      <c r="AE6839" s="26"/>
      <c r="AF6839" s="26"/>
      <c r="AJ6839" s="26"/>
    </row>
    <row r="6840" spans="29:36">
      <c r="AC6840" s="26"/>
      <c r="AE6840" s="26"/>
      <c r="AF6840" s="26"/>
      <c r="AJ6840" s="26"/>
    </row>
    <row r="6841" spans="29:36">
      <c r="AC6841" s="26"/>
      <c r="AE6841" s="26"/>
      <c r="AF6841" s="26"/>
      <c r="AJ6841" s="26"/>
    </row>
    <row r="6842" spans="29:36">
      <c r="AC6842" s="26"/>
      <c r="AE6842" s="26"/>
      <c r="AF6842" s="26"/>
      <c r="AJ6842" s="26"/>
    </row>
    <row r="6843" spans="29:36">
      <c r="AC6843" s="26"/>
      <c r="AE6843" s="26"/>
      <c r="AF6843" s="26"/>
      <c r="AJ6843" s="26"/>
    </row>
    <row r="6844" spans="29:36">
      <c r="AC6844" s="26"/>
      <c r="AE6844" s="26"/>
      <c r="AF6844" s="26"/>
      <c r="AJ6844" s="26"/>
    </row>
    <row r="6845" spans="29:36">
      <c r="AC6845" s="26"/>
      <c r="AE6845" s="26"/>
      <c r="AF6845" s="26"/>
      <c r="AJ6845" s="26"/>
    </row>
    <row r="6846" spans="29:36">
      <c r="AC6846" s="26"/>
      <c r="AE6846" s="26"/>
      <c r="AF6846" s="26"/>
      <c r="AJ6846" s="26"/>
    </row>
    <row r="6847" spans="29:36">
      <c r="AC6847" s="26"/>
      <c r="AE6847" s="26"/>
      <c r="AF6847" s="26"/>
      <c r="AJ6847" s="26"/>
    </row>
    <row r="6848" spans="29:36">
      <c r="AC6848" s="26"/>
      <c r="AE6848" s="26"/>
      <c r="AF6848" s="26"/>
      <c r="AJ6848" s="26"/>
    </row>
    <row r="6849" spans="29:36">
      <c r="AC6849" s="26"/>
      <c r="AE6849" s="26"/>
      <c r="AF6849" s="26"/>
      <c r="AJ6849" s="26"/>
    </row>
    <row r="6850" spans="29:36">
      <c r="AC6850" s="26"/>
      <c r="AE6850" s="26"/>
      <c r="AF6850" s="26"/>
      <c r="AJ6850" s="26"/>
    </row>
    <row r="6851" spans="29:36">
      <c r="AC6851" s="26"/>
      <c r="AE6851" s="26"/>
      <c r="AF6851" s="26"/>
      <c r="AJ6851" s="26"/>
    </row>
    <row r="6852" spans="29:36">
      <c r="AC6852" s="26"/>
      <c r="AE6852" s="26"/>
      <c r="AF6852" s="26"/>
      <c r="AJ6852" s="26"/>
    </row>
    <row r="6853" spans="29:36">
      <c r="AC6853" s="26"/>
      <c r="AE6853" s="26"/>
      <c r="AF6853" s="26"/>
      <c r="AJ6853" s="26"/>
    </row>
    <row r="6854" spans="29:36">
      <c r="AC6854" s="26"/>
      <c r="AE6854" s="26"/>
      <c r="AF6854" s="26"/>
      <c r="AJ6854" s="26"/>
    </row>
    <row r="6855" spans="29:36">
      <c r="AC6855" s="26"/>
      <c r="AE6855" s="26"/>
      <c r="AF6855" s="26"/>
      <c r="AJ6855" s="26"/>
    </row>
    <row r="6856" spans="29:36">
      <c r="AC6856" s="26"/>
      <c r="AE6856" s="26"/>
      <c r="AF6856" s="26"/>
      <c r="AJ6856" s="26"/>
    </row>
    <row r="6857" spans="29:36">
      <c r="AC6857" s="26"/>
      <c r="AE6857" s="26"/>
      <c r="AF6857" s="26"/>
      <c r="AJ6857" s="26"/>
    </row>
    <row r="6858" spans="29:36">
      <c r="AC6858" s="26"/>
      <c r="AE6858" s="26"/>
      <c r="AF6858" s="26"/>
      <c r="AJ6858" s="26"/>
    </row>
    <row r="6859" spans="29:36">
      <c r="AC6859" s="26"/>
      <c r="AE6859" s="26"/>
      <c r="AF6859" s="26"/>
      <c r="AJ6859" s="26"/>
    </row>
    <row r="6860" spans="29:36">
      <c r="AC6860" s="26"/>
      <c r="AE6860" s="26"/>
      <c r="AF6860" s="26"/>
      <c r="AJ6860" s="26"/>
    </row>
    <row r="6861" spans="29:36">
      <c r="AC6861" s="26"/>
      <c r="AE6861" s="26"/>
      <c r="AF6861" s="26"/>
      <c r="AJ6861" s="26"/>
    </row>
    <row r="6862" spans="29:36">
      <c r="AC6862" s="26"/>
      <c r="AE6862" s="26"/>
      <c r="AF6862" s="26"/>
      <c r="AJ6862" s="26"/>
    </row>
    <row r="6863" spans="29:36">
      <c r="AC6863" s="26"/>
      <c r="AE6863" s="26"/>
      <c r="AF6863" s="26"/>
      <c r="AJ6863" s="26"/>
    </row>
    <row r="6864" spans="29:36">
      <c r="AC6864" s="26"/>
      <c r="AE6864" s="26"/>
      <c r="AF6864" s="26"/>
      <c r="AJ6864" s="26"/>
    </row>
    <row r="6865" spans="29:36">
      <c r="AC6865" s="26"/>
      <c r="AE6865" s="26"/>
      <c r="AF6865" s="26"/>
      <c r="AJ6865" s="26"/>
    </row>
    <row r="6866" spans="29:36">
      <c r="AC6866" s="26"/>
      <c r="AE6866" s="26"/>
      <c r="AF6866" s="26"/>
      <c r="AJ6866" s="26"/>
    </row>
    <row r="6867" spans="29:36">
      <c r="AC6867" s="26"/>
      <c r="AE6867" s="26"/>
      <c r="AF6867" s="26"/>
      <c r="AJ6867" s="26"/>
    </row>
    <row r="6868" spans="29:36">
      <c r="AC6868" s="26"/>
      <c r="AE6868" s="26"/>
      <c r="AF6868" s="26"/>
      <c r="AJ6868" s="26"/>
    </row>
    <row r="6869" spans="29:36">
      <c r="AC6869" s="26"/>
      <c r="AE6869" s="26"/>
      <c r="AF6869" s="26"/>
      <c r="AJ6869" s="26"/>
    </row>
    <row r="6870" spans="29:36">
      <c r="AC6870" s="26"/>
      <c r="AE6870" s="26"/>
      <c r="AF6870" s="26"/>
      <c r="AJ6870" s="26"/>
    </row>
    <row r="6871" spans="29:36">
      <c r="AC6871" s="26"/>
      <c r="AE6871" s="26"/>
      <c r="AF6871" s="26"/>
      <c r="AJ6871" s="26"/>
    </row>
    <row r="6872" spans="29:36">
      <c r="AC6872" s="26"/>
      <c r="AE6872" s="26"/>
      <c r="AF6872" s="26"/>
      <c r="AJ6872" s="26"/>
    </row>
    <row r="6873" spans="29:36">
      <c r="AC6873" s="26"/>
      <c r="AE6873" s="26"/>
      <c r="AF6873" s="26"/>
      <c r="AJ6873" s="26"/>
    </row>
    <row r="6874" spans="29:36">
      <c r="AC6874" s="26"/>
      <c r="AE6874" s="26"/>
      <c r="AF6874" s="26"/>
      <c r="AJ6874" s="26"/>
    </row>
    <row r="6875" spans="29:36">
      <c r="AC6875" s="26"/>
      <c r="AE6875" s="26"/>
      <c r="AF6875" s="26"/>
      <c r="AJ6875" s="26"/>
    </row>
    <row r="6876" spans="29:36">
      <c r="AC6876" s="26"/>
      <c r="AE6876" s="26"/>
      <c r="AF6876" s="26"/>
      <c r="AJ6876" s="26"/>
    </row>
    <row r="6877" spans="29:36">
      <c r="AC6877" s="26"/>
      <c r="AE6877" s="26"/>
      <c r="AF6877" s="26"/>
      <c r="AJ6877" s="26"/>
    </row>
    <row r="6878" spans="29:36">
      <c r="AC6878" s="26"/>
      <c r="AE6878" s="26"/>
      <c r="AF6878" s="26"/>
      <c r="AJ6878" s="26"/>
    </row>
    <row r="6879" spans="29:36">
      <c r="AC6879" s="26"/>
      <c r="AE6879" s="26"/>
      <c r="AF6879" s="26"/>
      <c r="AJ6879" s="26"/>
    </row>
    <row r="6880" spans="29:36">
      <c r="AC6880" s="26"/>
      <c r="AE6880" s="26"/>
      <c r="AF6880" s="26"/>
      <c r="AJ6880" s="26"/>
    </row>
    <row r="6881" spans="29:36">
      <c r="AC6881" s="26"/>
      <c r="AE6881" s="26"/>
      <c r="AF6881" s="26"/>
      <c r="AJ6881" s="26"/>
    </row>
    <row r="6882" spans="29:36">
      <c r="AC6882" s="26"/>
      <c r="AE6882" s="26"/>
      <c r="AF6882" s="26"/>
      <c r="AJ6882" s="26"/>
    </row>
    <row r="6883" spans="29:36">
      <c r="AC6883" s="26"/>
      <c r="AE6883" s="26"/>
      <c r="AF6883" s="26"/>
      <c r="AJ6883" s="26"/>
    </row>
    <row r="6884" spans="29:36">
      <c r="AC6884" s="26"/>
      <c r="AE6884" s="26"/>
      <c r="AF6884" s="26"/>
      <c r="AJ6884" s="26"/>
    </row>
    <row r="6885" spans="29:36">
      <c r="AC6885" s="26"/>
      <c r="AE6885" s="26"/>
      <c r="AF6885" s="26"/>
      <c r="AJ6885" s="26"/>
    </row>
    <row r="6886" spans="29:36">
      <c r="AC6886" s="26"/>
      <c r="AE6886" s="26"/>
      <c r="AF6886" s="26"/>
      <c r="AJ6886" s="26"/>
    </row>
    <row r="6887" spans="29:36">
      <c r="AC6887" s="26"/>
      <c r="AE6887" s="26"/>
      <c r="AF6887" s="26"/>
      <c r="AJ6887" s="26"/>
    </row>
    <row r="6888" spans="29:36">
      <c r="AC6888" s="26"/>
      <c r="AE6888" s="26"/>
      <c r="AF6888" s="26"/>
      <c r="AJ6888" s="26"/>
    </row>
    <row r="6889" spans="29:36">
      <c r="AC6889" s="26"/>
      <c r="AE6889" s="26"/>
      <c r="AF6889" s="26"/>
      <c r="AJ6889" s="26"/>
    </row>
    <row r="6890" spans="29:36">
      <c r="AC6890" s="26"/>
      <c r="AE6890" s="26"/>
      <c r="AF6890" s="26"/>
      <c r="AJ6890" s="26"/>
    </row>
    <row r="6891" spans="29:36">
      <c r="AC6891" s="26"/>
      <c r="AE6891" s="26"/>
      <c r="AF6891" s="26"/>
      <c r="AJ6891" s="26"/>
    </row>
    <row r="6892" spans="29:36">
      <c r="AC6892" s="26"/>
      <c r="AE6892" s="26"/>
      <c r="AF6892" s="26"/>
      <c r="AJ6892" s="26"/>
    </row>
    <row r="6893" spans="29:36">
      <c r="AC6893" s="26"/>
      <c r="AE6893" s="26"/>
      <c r="AF6893" s="26"/>
      <c r="AJ6893" s="26"/>
    </row>
    <row r="6894" spans="29:36">
      <c r="AC6894" s="26"/>
      <c r="AE6894" s="26"/>
      <c r="AF6894" s="26"/>
      <c r="AJ6894" s="26"/>
    </row>
    <row r="6895" spans="29:36">
      <c r="AC6895" s="26"/>
      <c r="AE6895" s="26"/>
      <c r="AF6895" s="26"/>
      <c r="AJ6895" s="26"/>
    </row>
    <row r="6896" spans="29:36">
      <c r="AC6896" s="26"/>
      <c r="AE6896" s="26"/>
      <c r="AF6896" s="26"/>
      <c r="AJ6896" s="26"/>
    </row>
    <row r="6897" spans="29:36">
      <c r="AC6897" s="26"/>
      <c r="AE6897" s="26"/>
      <c r="AF6897" s="26"/>
      <c r="AJ6897" s="26"/>
    </row>
    <row r="6898" spans="29:36">
      <c r="AC6898" s="26"/>
      <c r="AE6898" s="26"/>
      <c r="AF6898" s="26"/>
      <c r="AJ6898" s="26"/>
    </row>
    <row r="6899" spans="29:36">
      <c r="AC6899" s="26"/>
      <c r="AE6899" s="26"/>
      <c r="AF6899" s="26"/>
      <c r="AJ6899" s="26"/>
    </row>
    <row r="6900" spans="29:36">
      <c r="AC6900" s="26"/>
      <c r="AE6900" s="26"/>
      <c r="AF6900" s="26"/>
      <c r="AJ6900" s="26"/>
    </row>
    <row r="6901" spans="29:36">
      <c r="AC6901" s="26"/>
      <c r="AE6901" s="26"/>
      <c r="AF6901" s="26"/>
      <c r="AJ6901" s="26"/>
    </row>
    <row r="6902" spans="29:36">
      <c r="AC6902" s="26"/>
      <c r="AE6902" s="26"/>
      <c r="AF6902" s="26"/>
      <c r="AJ6902" s="26"/>
    </row>
    <row r="6903" spans="29:36">
      <c r="AC6903" s="26"/>
      <c r="AE6903" s="26"/>
      <c r="AF6903" s="26"/>
      <c r="AJ6903" s="26"/>
    </row>
    <row r="6904" spans="29:36">
      <c r="AC6904" s="26"/>
      <c r="AE6904" s="26"/>
      <c r="AF6904" s="26"/>
      <c r="AJ6904" s="26"/>
    </row>
    <row r="6905" spans="29:36">
      <c r="AC6905" s="26"/>
      <c r="AE6905" s="26"/>
      <c r="AF6905" s="26"/>
      <c r="AJ6905" s="26"/>
    </row>
    <row r="6906" spans="29:36">
      <c r="AC6906" s="26"/>
      <c r="AE6906" s="26"/>
      <c r="AF6906" s="26"/>
      <c r="AJ6906" s="26"/>
    </row>
    <row r="6907" spans="29:36">
      <c r="AC6907" s="26"/>
      <c r="AE6907" s="26"/>
      <c r="AF6907" s="26"/>
      <c r="AJ6907" s="26"/>
    </row>
    <row r="6908" spans="29:36">
      <c r="AC6908" s="26"/>
      <c r="AE6908" s="26"/>
      <c r="AF6908" s="26"/>
      <c r="AJ6908" s="26"/>
    </row>
    <row r="6909" spans="29:36">
      <c r="AC6909" s="26"/>
      <c r="AE6909" s="26"/>
      <c r="AF6909" s="26"/>
      <c r="AJ6909" s="26"/>
    </row>
    <row r="6910" spans="29:36">
      <c r="AC6910" s="26"/>
      <c r="AE6910" s="26"/>
      <c r="AF6910" s="26"/>
      <c r="AJ6910" s="26"/>
    </row>
    <row r="6911" spans="29:36">
      <c r="AC6911" s="26"/>
      <c r="AE6911" s="26"/>
      <c r="AF6911" s="26"/>
      <c r="AJ6911" s="26"/>
    </row>
    <row r="6912" spans="29:36">
      <c r="AC6912" s="26"/>
      <c r="AE6912" s="26"/>
      <c r="AF6912" s="26"/>
      <c r="AJ6912" s="26"/>
    </row>
    <row r="6913" spans="29:36">
      <c r="AC6913" s="26"/>
      <c r="AE6913" s="26"/>
      <c r="AF6913" s="26"/>
      <c r="AJ6913" s="26"/>
    </row>
    <row r="6914" spans="29:36">
      <c r="AC6914" s="26"/>
      <c r="AE6914" s="26"/>
      <c r="AF6914" s="26"/>
      <c r="AJ6914" s="26"/>
    </row>
    <row r="6915" spans="29:36">
      <c r="AC6915" s="26"/>
      <c r="AE6915" s="26"/>
      <c r="AF6915" s="26"/>
      <c r="AJ6915" s="26"/>
    </row>
    <row r="6916" spans="29:36">
      <c r="AC6916" s="26"/>
      <c r="AE6916" s="26"/>
      <c r="AF6916" s="26"/>
      <c r="AJ6916" s="26"/>
    </row>
    <row r="6917" spans="29:36">
      <c r="AC6917" s="26"/>
      <c r="AE6917" s="26"/>
      <c r="AF6917" s="26"/>
      <c r="AJ6917" s="26"/>
    </row>
    <row r="6918" spans="29:36">
      <c r="AC6918" s="26"/>
      <c r="AE6918" s="26"/>
      <c r="AF6918" s="26"/>
      <c r="AJ6918" s="26"/>
    </row>
    <row r="6919" spans="29:36">
      <c r="AC6919" s="26"/>
      <c r="AE6919" s="26"/>
      <c r="AF6919" s="26"/>
      <c r="AJ6919" s="26"/>
    </row>
    <row r="6920" spans="29:36">
      <c r="AC6920" s="26"/>
      <c r="AE6920" s="26"/>
      <c r="AF6920" s="26"/>
      <c r="AJ6920" s="26"/>
    </row>
    <row r="6921" spans="29:36">
      <c r="AC6921" s="26"/>
      <c r="AE6921" s="26"/>
      <c r="AF6921" s="26"/>
      <c r="AJ6921" s="26"/>
    </row>
    <row r="6922" spans="29:36">
      <c r="AC6922" s="26"/>
      <c r="AE6922" s="26"/>
      <c r="AF6922" s="26"/>
      <c r="AJ6922" s="26"/>
    </row>
    <row r="6923" spans="29:36">
      <c r="AC6923" s="26"/>
      <c r="AE6923" s="26"/>
      <c r="AF6923" s="26"/>
      <c r="AJ6923" s="26"/>
    </row>
    <row r="6924" spans="29:36">
      <c r="AC6924" s="26"/>
      <c r="AE6924" s="26"/>
      <c r="AF6924" s="26"/>
      <c r="AJ6924" s="26"/>
    </row>
    <row r="6925" spans="29:36">
      <c r="AC6925" s="26"/>
      <c r="AE6925" s="26"/>
      <c r="AF6925" s="26"/>
      <c r="AJ6925" s="26"/>
    </row>
    <row r="6926" spans="29:36">
      <c r="AC6926" s="26"/>
      <c r="AE6926" s="26"/>
      <c r="AF6926" s="26"/>
      <c r="AJ6926" s="26"/>
    </row>
    <row r="6927" spans="29:36">
      <c r="AC6927" s="26"/>
      <c r="AE6927" s="26"/>
      <c r="AF6927" s="26"/>
      <c r="AJ6927" s="26"/>
    </row>
    <row r="6928" spans="29:36">
      <c r="AC6928" s="26"/>
      <c r="AE6928" s="26"/>
      <c r="AF6928" s="26"/>
      <c r="AJ6928" s="26"/>
    </row>
    <row r="6929" spans="29:36">
      <c r="AC6929" s="26"/>
      <c r="AE6929" s="26"/>
      <c r="AF6929" s="26"/>
      <c r="AJ6929" s="26"/>
    </row>
    <row r="6930" spans="29:36">
      <c r="AC6930" s="26"/>
      <c r="AE6930" s="26"/>
      <c r="AF6930" s="26"/>
      <c r="AJ6930" s="26"/>
    </row>
    <row r="6931" spans="29:36">
      <c r="AC6931" s="26"/>
      <c r="AE6931" s="26"/>
      <c r="AF6931" s="26"/>
      <c r="AJ6931" s="26"/>
    </row>
    <row r="6932" spans="29:36">
      <c r="AC6932" s="26"/>
      <c r="AE6932" s="26"/>
      <c r="AF6932" s="26"/>
      <c r="AJ6932" s="26"/>
    </row>
    <row r="6933" spans="29:36">
      <c r="AC6933" s="26"/>
      <c r="AE6933" s="26"/>
      <c r="AF6933" s="26"/>
      <c r="AJ6933" s="26"/>
    </row>
    <row r="6934" spans="29:36">
      <c r="AC6934" s="26"/>
      <c r="AE6934" s="26"/>
      <c r="AF6934" s="26"/>
      <c r="AJ6934" s="26"/>
    </row>
    <row r="6935" spans="29:36">
      <c r="AC6935" s="26"/>
      <c r="AE6935" s="26"/>
      <c r="AF6935" s="26"/>
      <c r="AJ6935" s="26"/>
    </row>
    <row r="6936" spans="29:36">
      <c r="AC6936" s="26"/>
      <c r="AE6936" s="26"/>
      <c r="AF6936" s="26"/>
      <c r="AJ6936" s="26"/>
    </row>
    <row r="6937" spans="29:36">
      <c r="AC6937" s="26"/>
      <c r="AE6937" s="26"/>
      <c r="AF6937" s="26"/>
      <c r="AJ6937" s="26"/>
    </row>
    <row r="6938" spans="29:36">
      <c r="AC6938" s="26"/>
      <c r="AE6938" s="26"/>
      <c r="AF6938" s="26"/>
      <c r="AJ6938" s="26"/>
    </row>
    <row r="6939" spans="29:36">
      <c r="AC6939" s="26"/>
      <c r="AE6939" s="26"/>
      <c r="AF6939" s="26"/>
      <c r="AJ6939" s="26"/>
    </row>
    <row r="6940" spans="29:36">
      <c r="AC6940" s="26"/>
      <c r="AE6940" s="26"/>
      <c r="AF6940" s="26"/>
      <c r="AJ6940" s="26"/>
    </row>
    <row r="6941" spans="29:36">
      <c r="AC6941" s="26"/>
      <c r="AE6941" s="26"/>
      <c r="AF6941" s="26"/>
      <c r="AJ6941" s="26"/>
    </row>
    <row r="6942" spans="29:36">
      <c r="AC6942" s="26"/>
      <c r="AE6942" s="26"/>
      <c r="AF6942" s="26"/>
      <c r="AJ6942" s="26"/>
    </row>
    <row r="6943" spans="29:36">
      <c r="AC6943" s="26"/>
      <c r="AE6943" s="26"/>
      <c r="AF6943" s="26"/>
      <c r="AJ6943" s="26"/>
    </row>
    <row r="6944" spans="29:36">
      <c r="AC6944" s="26"/>
      <c r="AE6944" s="26"/>
      <c r="AF6944" s="26"/>
      <c r="AJ6944" s="26"/>
    </row>
    <row r="6945" spans="29:36">
      <c r="AC6945" s="26"/>
      <c r="AE6945" s="26"/>
      <c r="AF6945" s="26"/>
      <c r="AJ6945" s="26"/>
    </row>
    <row r="6946" spans="29:36">
      <c r="AC6946" s="26"/>
      <c r="AE6946" s="26"/>
      <c r="AF6946" s="26"/>
      <c r="AJ6946" s="26"/>
    </row>
    <row r="6947" spans="29:36">
      <c r="AC6947" s="26"/>
      <c r="AE6947" s="26"/>
      <c r="AF6947" s="26"/>
      <c r="AJ6947" s="26"/>
    </row>
    <row r="6948" spans="29:36">
      <c r="AC6948" s="26"/>
      <c r="AE6948" s="26"/>
      <c r="AF6948" s="26"/>
      <c r="AJ6948" s="26"/>
    </row>
    <row r="6949" spans="29:36">
      <c r="AC6949" s="26"/>
      <c r="AE6949" s="26"/>
      <c r="AF6949" s="26"/>
      <c r="AJ6949" s="26"/>
    </row>
    <row r="6950" spans="29:36">
      <c r="AC6950" s="26"/>
      <c r="AE6950" s="26"/>
      <c r="AF6950" s="26"/>
      <c r="AJ6950" s="26"/>
    </row>
    <row r="6951" spans="29:36">
      <c r="AC6951" s="26"/>
      <c r="AE6951" s="26"/>
      <c r="AF6951" s="26"/>
      <c r="AJ6951" s="26"/>
    </row>
    <row r="6952" spans="29:36">
      <c r="AC6952" s="26"/>
      <c r="AE6952" s="26"/>
      <c r="AF6952" s="26"/>
      <c r="AJ6952" s="26"/>
    </row>
    <row r="6953" spans="29:36">
      <c r="AC6953" s="26"/>
      <c r="AE6953" s="26"/>
      <c r="AF6953" s="26"/>
      <c r="AJ6953" s="26"/>
    </row>
    <row r="6954" spans="29:36">
      <c r="AC6954" s="26"/>
      <c r="AE6954" s="26"/>
      <c r="AF6954" s="26"/>
      <c r="AJ6954" s="26"/>
    </row>
    <row r="6955" spans="29:36">
      <c r="AC6955" s="26"/>
      <c r="AE6955" s="26"/>
      <c r="AF6955" s="26"/>
      <c r="AJ6955" s="26"/>
    </row>
    <row r="6956" spans="29:36">
      <c r="AC6956" s="26"/>
      <c r="AE6956" s="26"/>
      <c r="AF6956" s="26"/>
      <c r="AJ6956" s="26"/>
    </row>
    <row r="6957" spans="29:36">
      <c r="AC6957" s="26"/>
      <c r="AE6957" s="26"/>
      <c r="AF6957" s="26"/>
      <c r="AJ6957" s="26"/>
    </row>
    <row r="6958" spans="29:36">
      <c r="AC6958" s="26"/>
      <c r="AE6958" s="26"/>
      <c r="AF6958" s="26"/>
      <c r="AJ6958" s="26"/>
    </row>
    <row r="6959" spans="29:36">
      <c r="AC6959" s="26"/>
      <c r="AE6959" s="26"/>
      <c r="AF6959" s="26"/>
      <c r="AJ6959" s="26"/>
    </row>
    <row r="6960" spans="29:36">
      <c r="AC6960" s="26"/>
      <c r="AE6960" s="26"/>
      <c r="AF6960" s="26"/>
      <c r="AJ6960" s="26"/>
    </row>
    <row r="6961" spans="29:36">
      <c r="AC6961" s="26"/>
      <c r="AE6961" s="26"/>
      <c r="AF6961" s="26"/>
      <c r="AJ6961" s="26"/>
    </row>
    <row r="6962" spans="29:36">
      <c r="AC6962" s="26"/>
      <c r="AE6962" s="26"/>
      <c r="AF6962" s="26"/>
      <c r="AJ6962" s="26"/>
    </row>
    <row r="6963" spans="29:36">
      <c r="AC6963" s="26"/>
      <c r="AE6963" s="26"/>
      <c r="AF6963" s="26"/>
      <c r="AJ6963" s="26"/>
    </row>
    <row r="6964" spans="29:36">
      <c r="AC6964" s="26"/>
      <c r="AE6964" s="26"/>
      <c r="AF6964" s="26"/>
      <c r="AJ6964" s="26"/>
    </row>
    <row r="6965" spans="29:36">
      <c r="AC6965" s="26"/>
      <c r="AE6965" s="26"/>
      <c r="AF6965" s="26"/>
      <c r="AJ6965" s="26"/>
    </row>
    <row r="6966" spans="29:36">
      <c r="AC6966" s="26"/>
      <c r="AE6966" s="26"/>
      <c r="AF6966" s="26"/>
      <c r="AJ6966" s="26"/>
    </row>
    <row r="6967" spans="29:36">
      <c r="AC6967" s="26"/>
      <c r="AE6967" s="26"/>
      <c r="AF6967" s="26"/>
      <c r="AJ6967" s="26"/>
    </row>
    <row r="6968" spans="29:36">
      <c r="AC6968" s="26"/>
      <c r="AE6968" s="26"/>
      <c r="AF6968" s="26"/>
      <c r="AJ6968" s="26"/>
    </row>
    <row r="6969" spans="29:36">
      <c r="AC6969" s="26"/>
      <c r="AE6969" s="26"/>
      <c r="AF6969" s="26"/>
      <c r="AJ6969" s="26"/>
    </row>
    <row r="6970" spans="29:36">
      <c r="AC6970" s="26"/>
      <c r="AE6970" s="26"/>
      <c r="AF6970" s="26"/>
      <c r="AJ6970" s="26"/>
    </row>
    <row r="6971" spans="29:36">
      <c r="AC6971" s="26"/>
      <c r="AE6971" s="26"/>
      <c r="AF6971" s="26"/>
      <c r="AJ6971" s="26"/>
    </row>
    <row r="6972" spans="29:36">
      <c r="AC6972" s="26"/>
      <c r="AE6972" s="26"/>
      <c r="AF6972" s="26"/>
      <c r="AJ6972" s="26"/>
    </row>
    <row r="6973" spans="29:36">
      <c r="AC6973" s="26"/>
      <c r="AE6973" s="26"/>
      <c r="AJ6973" s="26"/>
    </row>
    <row r="6974" spans="29:36">
      <c r="AC6974" s="26"/>
      <c r="AE6974" s="26"/>
      <c r="AJ6974" s="26"/>
    </row>
    <row r="6975" spans="29:36">
      <c r="AC6975" s="26"/>
      <c r="AE6975" s="26"/>
      <c r="AJ6975" s="26"/>
    </row>
    <row r="6976" spans="29:36">
      <c r="AC6976" s="26"/>
      <c r="AE6976" s="26"/>
      <c r="AJ6976" s="26"/>
    </row>
    <row r="6977" spans="29:36">
      <c r="AC6977" s="26"/>
      <c r="AE6977" s="26"/>
      <c r="AJ6977" s="26"/>
    </row>
    <row r="6978" spans="29:36">
      <c r="AC6978" s="26"/>
      <c r="AE6978" s="26"/>
      <c r="AJ6978" s="26"/>
    </row>
    <row r="6979" spans="29:36">
      <c r="AC6979" s="26"/>
      <c r="AE6979" s="26"/>
      <c r="AJ6979" s="26"/>
    </row>
    <row r="6980" spans="29:36">
      <c r="AC6980" s="26"/>
      <c r="AE6980" s="26"/>
      <c r="AJ6980" s="26"/>
    </row>
    <row r="6981" spans="29:36">
      <c r="AC6981" s="26"/>
      <c r="AE6981" s="26"/>
      <c r="AJ6981" s="26"/>
    </row>
    <row r="6982" spans="29:36">
      <c r="AC6982" s="26"/>
      <c r="AE6982" s="26"/>
      <c r="AJ6982" s="26"/>
    </row>
    <row r="6983" spans="29:36">
      <c r="AC6983" s="26"/>
      <c r="AE6983" s="26"/>
      <c r="AJ6983" s="26"/>
    </row>
    <row r="6984" spans="29:36">
      <c r="AC6984" s="26"/>
      <c r="AE6984" s="26"/>
      <c r="AJ6984" s="26"/>
    </row>
    <row r="6985" spans="29:36">
      <c r="AC6985" s="26"/>
      <c r="AE6985" s="26"/>
      <c r="AJ6985" s="26"/>
    </row>
    <row r="6986" spans="29:36">
      <c r="AC6986" s="26"/>
      <c r="AE6986" s="26"/>
      <c r="AJ6986" s="26"/>
    </row>
    <row r="6987" spans="29:36">
      <c r="AC6987" s="26"/>
      <c r="AE6987" s="26"/>
      <c r="AJ6987" s="26"/>
    </row>
    <row r="6988" spans="29:36">
      <c r="AC6988" s="26"/>
      <c r="AE6988" s="26"/>
      <c r="AJ6988" s="26"/>
    </row>
    <row r="6989" spans="29:36">
      <c r="AC6989" s="26"/>
      <c r="AE6989" s="26"/>
      <c r="AJ6989" s="26"/>
    </row>
    <row r="6990" spans="29:36">
      <c r="AC6990" s="26"/>
      <c r="AE6990" s="26"/>
      <c r="AJ6990" s="26"/>
    </row>
    <row r="6991" spans="29:36">
      <c r="AC6991" s="26"/>
      <c r="AE6991" s="26"/>
      <c r="AJ6991" s="26"/>
    </row>
    <row r="6992" spans="29:36">
      <c r="AC6992" s="26"/>
      <c r="AE6992" s="26"/>
      <c r="AJ6992" s="26"/>
    </row>
    <row r="6993" spans="29:36">
      <c r="AC6993" s="26"/>
      <c r="AE6993" s="26"/>
      <c r="AJ6993" s="26"/>
    </row>
    <row r="6994" spans="29:36">
      <c r="AC6994" s="26"/>
      <c r="AE6994" s="26"/>
      <c r="AJ6994" s="26"/>
    </row>
    <row r="6995" spans="29:36">
      <c r="AC6995" s="26"/>
      <c r="AE6995" s="26"/>
      <c r="AJ6995" s="26"/>
    </row>
    <row r="6996" spans="29:36">
      <c r="AC6996" s="26"/>
      <c r="AE6996" s="26"/>
      <c r="AJ6996" s="26"/>
    </row>
    <row r="6997" spans="29:36">
      <c r="AC6997" s="26"/>
      <c r="AE6997" s="26"/>
      <c r="AJ6997" s="26"/>
    </row>
    <row r="6998" spans="29:36">
      <c r="AC6998" s="26"/>
      <c r="AE6998" s="26"/>
      <c r="AJ6998" s="26"/>
    </row>
    <row r="6999" spans="29:36">
      <c r="AC6999" s="26"/>
      <c r="AE6999" s="26"/>
      <c r="AJ6999" s="26"/>
    </row>
    <row r="7000" spans="29:36">
      <c r="AC7000" s="26"/>
      <c r="AE7000" s="26"/>
      <c r="AJ7000" s="26"/>
    </row>
    <row r="7001" spans="29:36">
      <c r="AC7001" s="26"/>
      <c r="AE7001" s="26"/>
      <c r="AJ7001" s="26"/>
    </row>
    <row r="7002" spans="29:36">
      <c r="AC7002" s="26"/>
      <c r="AE7002" s="26"/>
      <c r="AJ7002" s="26"/>
    </row>
    <row r="7003" spans="29:36">
      <c r="AC7003" s="26"/>
      <c r="AE7003" s="26"/>
      <c r="AJ7003" s="26"/>
    </row>
    <row r="7004" spans="29:36">
      <c r="AC7004" s="26"/>
      <c r="AE7004" s="26"/>
      <c r="AJ7004" s="26"/>
    </row>
    <row r="7005" spans="29:36">
      <c r="AC7005" s="26"/>
      <c r="AE7005" s="26"/>
      <c r="AJ7005" s="26"/>
    </row>
    <row r="7006" spans="29:36">
      <c r="AC7006" s="26"/>
      <c r="AE7006" s="26"/>
      <c r="AJ7006" s="26"/>
    </row>
    <row r="7007" spans="29:36">
      <c r="AC7007" s="26"/>
      <c r="AE7007" s="26"/>
      <c r="AJ7007" s="26"/>
    </row>
    <row r="7008" spans="29:36">
      <c r="AC7008" s="26"/>
      <c r="AE7008" s="26"/>
      <c r="AJ7008" s="26"/>
    </row>
    <row r="7009" spans="29:36">
      <c r="AC7009" s="26"/>
      <c r="AE7009" s="26"/>
      <c r="AJ7009" s="26"/>
    </row>
    <row r="7010" spans="29:36">
      <c r="AC7010" s="26"/>
      <c r="AE7010" s="26"/>
      <c r="AJ7010" s="26"/>
    </row>
    <row r="7011" spans="29:36">
      <c r="AC7011" s="26"/>
      <c r="AE7011" s="26"/>
      <c r="AJ7011" s="26"/>
    </row>
    <row r="7012" spans="29:36">
      <c r="AC7012" s="26"/>
      <c r="AE7012" s="26"/>
      <c r="AJ7012" s="26"/>
    </row>
    <row r="7013" spans="29:36">
      <c r="AC7013" s="26"/>
      <c r="AE7013" s="26"/>
      <c r="AJ7013" s="26"/>
    </row>
    <row r="7014" spans="29:36">
      <c r="AC7014" s="26"/>
      <c r="AE7014" s="26"/>
      <c r="AJ7014" s="26"/>
    </row>
    <row r="7015" spans="29:36">
      <c r="AC7015" s="26"/>
      <c r="AE7015" s="26"/>
      <c r="AJ7015" s="26"/>
    </row>
    <row r="7016" spans="29:36">
      <c r="AC7016" s="26"/>
      <c r="AE7016" s="26"/>
      <c r="AJ7016" s="26"/>
    </row>
    <row r="7017" spans="29:36">
      <c r="AC7017" s="26"/>
      <c r="AE7017" s="26"/>
      <c r="AJ7017" s="26"/>
    </row>
    <row r="7018" spans="29:36">
      <c r="AC7018" s="26"/>
      <c r="AE7018" s="26"/>
      <c r="AJ7018" s="26"/>
    </row>
    <row r="7019" spans="29:36">
      <c r="AC7019" s="26"/>
      <c r="AE7019" s="26"/>
      <c r="AJ7019" s="26"/>
    </row>
    <row r="7020" spans="29:36">
      <c r="AC7020" s="26"/>
      <c r="AE7020" s="26"/>
      <c r="AJ7020" s="26"/>
    </row>
    <row r="7021" spans="29:36">
      <c r="AC7021" s="26"/>
      <c r="AE7021" s="26"/>
      <c r="AJ7021" s="26"/>
    </row>
    <row r="7022" spans="29:36">
      <c r="AC7022" s="26"/>
      <c r="AE7022" s="26"/>
      <c r="AJ7022" s="26"/>
    </row>
    <row r="7023" spans="29:36">
      <c r="AC7023" s="26"/>
      <c r="AE7023" s="26"/>
      <c r="AJ7023" s="26"/>
    </row>
    <row r="7024" spans="29:36">
      <c r="AC7024" s="26"/>
      <c r="AE7024" s="26"/>
      <c r="AJ7024" s="26"/>
    </row>
    <row r="7025" spans="29:36">
      <c r="AC7025" s="26"/>
      <c r="AE7025" s="26"/>
      <c r="AJ7025" s="26"/>
    </row>
    <row r="7026" spans="29:36">
      <c r="AC7026" s="26"/>
      <c r="AE7026" s="26"/>
      <c r="AJ7026" s="26"/>
    </row>
    <row r="7027" spans="29:36">
      <c r="AC7027" s="26"/>
      <c r="AE7027" s="26"/>
      <c r="AJ7027" s="26"/>
    </row>
    <row r="7028" spans="29:36">
      <c r="AC7028" s="26"/>
      <c r="AE7028" s="26"/>
      <c r="AJ7028" s="26"/>
    </row>
    <row r="7029" spans="29:36">
      <c r="AC7029" s="26"/>
      <c r="AE7029" s="26"/>
      <c r="AJ7029" s="26"/>
    </row>
    <row r="7030" spans="29:36">
      <c r="AC7030" s="26"/>
      <c r="AE7030" s="26"/>
      <c r="AJ7030" s="26"/>
    </row>
    <row r="7031" spans="29:36">
      <c r="AC7031" s="26"/>
      <c r="AE7031" s="26"/>
      <c r="AJ7031" s="26"/>
    </row>
    <row r="7032" spans="29:36">
      <c r="AC7032" s="26"/>
      <c r="AE7032" s="26"/>
      <c r="AJ7032" s="26"/>
    </row>
    <row r="7033" spans="29:36">
      <c r="AC7033" s="26"/>
      <c r="AE7033" s="26"/>
      <c r="AJ7033" s="26"/>
    </row>
    <row r="7034" spans="29:36">
      <c r="AC7034" s="26"/>
      <c r="AE7034" s="26"/>
      <c r="AJ7034" s="26"/>
    </row>
    <row r="7035" spans="29:36">
      <c r="AC7035" s="26"/>
      <c r="AE7035" s="26"/>
      <c r="AJ7035" s="26"/>
    </row>
    <row r="7036" spans="29:36">
      <c r="AC7036" s="26"/>
      <c r="AE7036" s="26"/>
      <c r="AJ7036" s="26"/>
    </row>
    <row r="7037" spans="29:36">
      <c r="AC7037" s="26"/>
      <c r="AE7037" s="26"/>
      <c r="AJ7037" s="26"/>
    </row>
    <row r="7038" spans="29:36">
      <c r="AC7038" s="26"/>
      <c r="AE7038" s="26"/>
      <c r="AJ7038" s="26"/>
    </row>
    <row r="7039" spans="29:36">
      <c r="AC7039" s="26"/>
      <c r="AE7039" s="26"/>
      <c r="AJ7039" s="26"/>
    </row>
    <row r="7040" spans="29:36">
      <c r="AC7040" s="26"/>
      <c r="AE7040" s="26"/>
      <c r="AJ7040" s="26"/>
    </row>
    <row r="7041" spans="29:36">
      <c r="AC7041" s="26"/>
      <c r="AE7041" s="26"/>
      <c r="AJ7041" s="26"/>
    </row>
    <row r="7042" spans="29:36">
      <c r="AC7042" s="26"/>
      <c r="AE7042" s="26"/>
      <c r="AJ7042" s="26"/>
    </row>
    <row r="7043" spans="29:36">
      <c r="AC7043" s="26"/>
      <c r="AE7043" s="26"/>
      <c r="AJ7043" s="26"/>
    </row>
    <row r="7044" spans="29:36">
      <c r="AC7044" s="26"/>
      <c r="AE7044" s="26"/>
      <c r="AJ7044" s="26"/>
    </row>
    <row r="7045" spans="29:36">
      <c r="AC7045" s="26"/>
      <c r="AE7045" s="26"/>
      <c r="AJ7045" s="26"/>
    </row>
    <row r="7046" spans="29:36">
      <c r="AC7046" s="26"/>
      <c r="AE7046" s="26"/>
      <c r="AJ7046" s="26"/>
    </row>
    <row r="7047" spans="29:36">
      <c r="AC7047" s="26"/>
      <c r="AE7047" s="26"/>
      <c r="AJ7047" s="26"/>
    </row>
    <row r="7048" spans="29:36">
      <c r="AC7048" s="26"/>
      <c r="AE7048" s="26"/>
      <c r="AJ7048" s="26"/>
    </row>
    <row r="7049" spans="29:36">
      <c r="AC7049" s="26"/>
      <c r="AE7049" s="26"/>
      <c r="AJ7049" s="26"/>
    </row>
    <row r="7050" spans="29:36">
      <c r="AC7050" s="26"/>
      <c r="AE7050" s="26"/>
      <c r="AJ7050" s="26"/>
    </row>
    <row r="7051" spans="29:36">
      <c r="AC7051" s="26"/>
      <c r="AE7051" s="26"/>
      <c r="AJ7051" s="26"/>
    </row>
    <row r="7052" spans="29:36">
      <c r="AC7052" s="26"/>
      <c r="AE7052" s="26"/>
      <c r="AJ7052" s="26"/>
    </row>
    <row r="7053" spans="29:36">
      <c r="AC7053" s="26"/>
      <c r="AE7053" s="26"/>
      <c r="AJ7053" s="26"/>
    </row>
    <row r="7054" spans="29:36">
      <c r="AC7054" s="26"/>
      <c r="AE7054" s="26"/>
      <c r="AJ7054" s="26"/>
    </row>
    <row r="7055" spans="29:36">
      <c r="AC7055" s="26"/>
      <c r="AE7055" s="26"/>
      <c r="AJ7055" s="26"/>
    </row>
    <row r="7056" spans="29:36">
      <c r="AC7056" s="26"/>
      <c r="AE7056" s="26"/>
      <c r="AJ7056" s="26"/>
    </row>
    <row r="7057" spans="29:36">
      <c r="AC7057" s="26"/>
      <c r="AE7057" s="26"/>
      <c r="AJ7057" s="26"/>
    </row>
    <row r="7058" spans="29:36">
      <c r="AC7058" s="26"/>
      <c r="AE7058" s="26"/>
      <c r="AJ7058" s="26"/>
    </row>
    <row r="7059" spans="29:36">
      <c r="AC7059" s="26"/>
      <c r="AE7059" s="26"/>
      <c r="AJ7059" s="26"/>
    </row>
    <row r="7060" spans="29:36">
      <c r="AC7060" s="26"/>
      <c r="AE7060" s="26"/>
      <c r="AJ7060" s="26"/>
    </row>
    <row r="7061" spans="29:36">
      <c r="AC7061" s="26"/>
      <c r="AE7061" s="26"/>
      <c r="AJ7061" s="26"/>
    </row>
    <row r="7062" spans="29:36">
      <c r="AC7062" s="26"/>
      <c r="AE7062" s="26"/>
      <c r="AJ7062" s="26"/>
    </row>
    <row r="7063" spans="29:36">
      <c r="AC7063" s="26"/>
      <c r="AE7063" s="26"/>
      <c r="AJ7063" s="26"/>
    </row>
    <row r="7064" spans="29:36">
      <c r="AC7064" s="26"/>
      <c r="AE7064" s="26"/>
      <c r="AJ7064" s="26"/>
    </row>
    <row r="7065" spans="29:36">
      <c r="AC7065" s="26"/>
      <c r="AE7065" s="26"/>
      <c r="AJ7065" s="26"/>
    </row>
    <row r="7066" spans="29:36">
      <c r="AC7066" s="26"/>
      <c r="AE7066" s="26"/>
      <c r="AJ7066" s="26"/>
    </row>
    <row r="7067" spans="29:36">
      <c r="AC7067" s="26"/>
      <c r="AE7067" s="26"/>
      <c r="AJ7067" s="26"/>
    </row>
    <row r="7068" spans="29:36">
      <c r="AC7068" s="26"/>
      <c r="AE7068" s="26"/>
      <c r="AJ7068" s="26"/>
    </row>
    <row r="7069" spans="29:36">
      <c r="AC7069" s="26"/>
      <c r="AE7069" s="26"/>
      <c r="AJ7069" s="26"/>
    </row>
    <row r="7070" spans="29:36">
      <c r="AC7070" s="26"/>
      <c r="AE7070" s="26"/>
      <c r="AJ7070" s="26"/>
    </row>
    <row r="7071" spans="29:36">
      <c r="AC7071" s="26"/>
      <c r="AE7071" s="26"/>
      <c r="AJ7071" s="26"/>
    </row>
    <row r="7072" spans="29:36">
      <c r="AC7072" s="26"/>
      <c r="AE7072" s="26"/>
      <c r="AJ7072" s="26"/>
    </row>
    <row r="7073" spans="29:36">
      <c r="AC7073" s="26"/>
      <c r="AE7073" s="26"/>
      <c r="AJ7073" s="26"/>
    </row>
    <row r="7074" spans="29:36">
      <c r="AC7074" s="26"/>
      <c r="AE7074" s="26"/>
      <c r="AJ7074" s="26"/>
    </row>
    <row r="7075" spans="29:36">
      <c r="AC7075" s="26"/>
      <c r="AE7075" s="26"/>
      <c r="AJ7075" s="26"/>
    </row>
    <row r="7076" spans="29:36">
      <c r="AC7076" s="26"/>
      <c r="AE7076" s="26"/>
      <c r="AJ7076" s="26"/>
    </row>
    <row r="7077" spans="29:36">
      <c r="AC7077" s="26"/>
      <c r="AE7077" s="26"/>
      <c r="AJ7077" s="26"/>
    </row>
    <row r="7078" spans="29:36">
      <c r="AC7078" s="26"/>
      <c r="AE7078" s="26"/>
      <c r="AJ7078" s="26"/>
    </row>
    <row r="7079" spans="29:36">
      <c r="AC7079" s="26"/>
      <c r="AE7079" s="26"/>
      <c r="AJ7079" s="26"/>
    </row>
    <row r="7080" spans="29:36">
      <c r="AC7080" s="26"/>
      <c r="AE7080" s="26"/>
      <c r="AJ7080" s="26"/>
    </row>
    <row r="7081" spans="29:36">
      <c r="AC7081" s="26"/>
      <c r="AE7081" s="26"/>
      <c r="AJ7081" s="26"/>
    </row>
    <row r="7082" spans="29:36">
      <c r="AC7082" s="26"/>
      <c r="AE7082" s="26"/>
      <c r="AJ7082" s="26"/>
    </row>
    <row r="7083" spans="29:36">
      <c r="AC7083" s="26"/>
      <c r="AE7083" s="26"/>
      <c r="AJ7083" s="26"/>
    </row>
    <row r="7084" spans="29:36">
      <c r="AC7084" s="26"/>
      <c r="AE7084" s="26"/>
      <c r="AJ7084" s="26"/>
    </row>
    <row r="7085" spans="29:36">
      <c r="AC7085" s="26"/>
      <c r="AE7085" s="26"/>
      <c r="AJ7085" s="26"/>
    </row>
    <row r="7086" spans="29:36">
      <c r="AC7086" s="26"/>
      <c r="AE7086" s="26"/>
      <c r="AJ7086" s="26"/>
    </row>
    <row r="7087" spans="29:36">
      <c r="AC7087" s="26"/>
      <c r="AE7087" s="26"/>
      <c r="AJ7087" s="26"/>
    </row>
    <row r="7088" spans="29:36">
      <c r="AC7088" s="26"/>
      <c r="AE7088" s="26"/>
      <c r="AJ7088" s="26"/>
    </row>
    <row r="7089" spans="29:36">
      <c r="AC7089" s="26"/>
      <c r="AE7089" s="26"/>
      <c r="AJ7089" s="26"/>
    </row>
    <row r="7090" spans="29:36">
      <c r="AC7090" s="26"/>
      <c r="AE7090" s="26"/>
      <c r="AJ7090" s="26"/>
    </row>
    <row r="7091" spans="29:36">
      <c r="AC7091" s="26"/>
      <c r="AE7091" s="26"/>
      <c r="AJ7091" s="26"/>
    </row>
    <row r="7092" spans="29:36">
      <c r="AC7092" s="26"/>
      <c r="AE7092" s="26"/>
      <c r="AJ7092" s="26"/>
    </row>
    <row r="7093" spans="29:36">
      <c r="AC7093" s="26"/>
      <c r="AE7093" s="26"/>
      <c r="AJ7093" s="26"/>
    </row>
    <row r="7094" spans="29:36">
      <c r="AC7094" s="26"/>
      <c r="AE7094" s="26"/>
      <c r="AJ7094" s="26"/>
    </row>
    <row r="7095" spans="29:36">
      <c r="AC7095" s="26"/>
      <c r="AE7095" s="26"/>
      <c r="AJ7095" s="26"/>
    </row>
    <row r="7096" spans="29:36">
      <c r="AC7096" s="26"/>
      <c r="AE7096" s="26"/>
      <c r="AJ7096" s="26"/>
    </row>
    <row r="7097" spans="29:36">
      <c r="AC7097" s="26"/>
      <c r="AE7097" s="26"/>
      <c r="AJ7097" s="26"/>
    </row>
    <row r="7098" spans="29:36">
      <c r="AC7098" s="26"/>
      <c r="AE7098" s="26"/>
      <c r="AJ7098" s="26"/>
    </row>
    <row r="7099" spans="29:36">
      <c r="AC7099" s="26"/>
      <c r="AE7099" s="26"/>
      <c r="AJ7099" s="26"/>
    </row>
    <row r="7100" spans="29:36">
      <c r="AC7100" s="26"/>
      <c r="AE7100" s="26"/>
      <c r="AJ7100" s="26"/>
    </row>
    <row r="7101" spans="29:36">
      <c r="AC7101" s="26"/>
      <c r="AE7101" s="26"/>
      <c r="AJ7101" s="26"/>
    </row>
    <row r="7102" spans="29:36">
      <c r="AC7102" s="26"/>
      <c r="AE7102" s="26"/>
      <c r="AJ7102" s="26"/>
    </row>
    <row r="7103" spans="29:36">
      <c r="AC7103" s="26"/>
      <c r="AE7103" s="26"/>
      <c r="AJ7103" s="26"/>
    </row>
    <row r="7104" spans="29:36">
      <c r="AC7104" s="26"/>
      <c r="AE7104" s="26"/>
      <c r="AJ7104" s="26"/>
    </row>
    <row r="7105" spans="29:36">
      <c r="AC7105" s="26"/>
      <c r="AE7105" s="26"/>
      <c r="AJ7105" s="26"/>
    </row>
    <row r="7106" spans="29:36">
      <c r="AC7106" s="26"/>
      <c r="AE7106" s="26"/>
      <c r="AJ7106" s="26"/>
    </row>
    <row r="7107" spans="29:36">
      <c r="AC7107" s="26"/>
      <c r="AE7107" s="26"/>
      <c r="AJ7107" s="26"/>
    </row>
    <row r="7108" spans="29:36">
      <c r="AC7108" s="26"/>
      <c r="AE7108" s="26"/>
      <c r="AJ7108" s="26"/>
    </row>
    <row r="7109" spans="29:36">
      <c r="AC7109" s="26"/>
      <c r="AE7109" s="26"/>
      <c r="AJ7109" s="26"/>
    </row>
    <row r="7110" spans="29:36">
      <c r="AC7110" s="26"/>
      <c r="AE7110" s="26"/>
      <c r="AJ7110" s="26"/>
    </row>
    <row r="7111" spans="29:36">
      <c r="AC7111" s="26"/>
      <c r="AE7111" s="26"/>
      <c r="AJ7111" s="26"/>
    </row>
    <row r="7112" spans="29:36">
      <c r="AC7112" s="26"/>
      <c r="AE7112" s="26"/>
      <c r="AJ7112" s="26"/>
    </row>
    <row r="7113" spans="29:36">
      <c r="AC7113" s="26"/>
      <c r="AE7113" s="26"/>
      <c r="AJ7113" s="26"/>
    </row>
    <row r="7114" spans="29:36">
      <c r="AC7114" s="26"/>
      <c r="AE7114" s="26"/>
      <c r="AJ7114" s="26"/>
    </row>
    <row r="7115" spans="29:36">
      <c r="AC7115" s="26"/>
      <c r="AE7115" s="26"/>
      <c r="AJ7115" s="26"/>
    </row>
    <row r="7116" spans="29:36">
      <c r="AC7116" s="26"/>
      <c r="AE7116" s="26"/>
      <c r="AJ7116" s="26"/>
    </row>
    <row r="7117" spans="29:36">
      <c r="AC7117" s="26"/>
      <c r="AE7117" s="26"/>
      <c r="AJ7117" s="26"/>
    </row>
    <row r="7118" spans="29:36">
      <c r="AC7118" s="26"/>
      <c r="AE7118" s="26"/>
      <c r="AJ7118" s="26"/>
    </row>
    <row r="7119" spans="29:36">
      <c r="AC7119" s="26"/>
      <c r="AE7119" s="26"/>
      <c r="AJ7119" s="26"/>
    </row>
    <row r="7120" spans="29:36">
      <c r="AC7120" s="26"/>
      <c r="AE7120" s="26"/>
      <c r="AJ7120" s="26"/>
    </row>
    <row r="7121" spans="29:36">
      <c r="AC7121" s="26"/>
      <c r="AE7121" s="26"/>
      <c r="AJ7121" s="26"/>
    </row>
    <row r="7122" spans="29:36">
      <c r="AC7122" s="26"/>
      <c r="AE7122" s="26"/>
      <c r="AJ7122" s="26"/>
    </row>
    <row r="7123" spans="29:36">
      <c r="AC7123" s="26"/>
      <c r="AE7123" s="26"/>
      <c r="AJ7123" s="26"/>
    </row>
    <row r="7124" spans="29:36">
      <c r="AC7124" s="26"/>
      <c r="AE7124" s="26"/>
      <c r="AJ7124" s="26"/>
    </row>
    <row r="7125" spans="29:36">
      <c r="AC7125" s="26"/>
      <c r="AE7125" s="26"/>
      <c r="AJ7125" s="26"/>
    </row>
    <row r="7126" spans="29:36">
      <c r="AC7126" s="26"/>
      <c r="AE7126" s="26"/>
      <c r="AJ7126" s="26"/>
    </row>
    <row r="7127" spans="29:36">
      <c r="AC7127" s="26"/>
      <c r="AE7127" s="26"/>
      <c r="AJ7127" s="26"/>
    </row>
    <row r="7128" spans="29:36">
      <c r="AC7128" s="26"/>
      <c r="AE7128" s="26"/>
      <c r="AJ7128" s="26"/>
    </row>
    <row r="7129" spans="29:36">
      <c r="AC7129" s="26"/>
      <c r="AE7129" s="26"/>
      <c r="AJ7129" s="26"/>
    </row>
    <row r="7130" spans="29:36">
      <c r="AC7130" s="26"/>
      <c r="AE7130" s="26"/>
      <c r="AJ7130" s="26"/>
    </row>
    <row r="7131" spans="29:36">
      <c r="AC7131" s="26"/>
      <c r="AE7131" s="26"/>
      <c r="AJ7131" s="26"/>
    </row>
    <row r="7132" spans="29:36">
      <c r="AC7132" s="26"/>
      <c r="AE7132" s="26"/>
      <c r="AJ7132" s="26"/>
    </row>
    <row r="7133" spans="29:36">
      <c r="AC7133" s="26"/>
      <c r="AE7133" s="26"/>
      <c r="AJ7133" s="26"/>
    </row>
    <row r="7134" spans="29:36">
      <c r="AC7134" s="26"/>
      <c r="AE7134" s="26"/>
      <c r="AJ7134" s="26"/>
    </row>
    <row r="7135" spans="29:36">
      <c r="AC7135" s="26"/>
      <c r="AE7135" s="26"/>
      <c r="AJ7135" s="26"/>
    </row>
    <row r="7136" spans="29:36">
      <c r="AC7136" s="26"/>
      <c r="AE7136" s="26"/>
      <c r="AJ7136" s="26"/>
    </row>
    <row r="7137" spans="29:36">
      <c r="AC7137" s="26"/>
      <c r="AE7137" s="26"/>
      <c r="AJ7137" s="26"/>
    </row>
    <row r="7138" spans="29:36">
      <c r="AC7138" s="26"/>
      <c r="AE7138" s="26"/>
      <c r="AJ7138" s="26"/>
    </row>
    <row r="7139" spans="29:36">
      <c r="AC7139" s="26"/>
      <c r="AE7139" s="26"/>
      <c r="AJ7139" s="26"/>
    </row>
    <row r="7140" spans="29:36">
      <c r="AC7140" s="26"/>
      <c r="AE7140" s="26"/>
      <c r="AJ7140" s="26"/>
    </row>
    <row r="7141" spans="29:36">
      <c r="AC7141" s="26"/>
      <c r="AE7141" s="26"/>
      <c r="AJ7141" s="26"/>
    </row>
    <row r="7142" spans="29:36">
      <c r="AC7142" s="26"/>
      <c r="AE7142" s="26"/>
      <c r="AJ7142" s="26"/>
    </row>
    <row r="7143" spans="29:36">
      <c r="AC7143" s="26"/>
      <c r="AE7143" s="26"/>
      <c r="AJ7143" s="26"/>
    </row>
    <row r="7144" spans="29:36">
      <c r="AC7144" s="26"/>
      <c r="AE7144" s="26"/>
      <c r="AJ7144" s="26"/>
    </row>
    <row r="7145" spans="29:36">
      <c r="AC7145" s="26"/>
      <c r="AE7145" s="26"/>
      <c r="AJ7145" s="26"/>
    </row>
    <row r="7146" spans="29:36">
      <c r="AC7146" s="26"/>
      <c r="AE7146" s="26"/>
      <c r="AJ7146" s="26"/>
    </row>
    <row r="7147" spans="29:36">
      <c r="AC7147" s="26"/>
      <c r="AE7147" s="26"/>
      <c r="AJ7147" s="26"/>
    </row>
    <row r="7148" spans="29:36">
      <c r="AC7148" s="26"/>
      <c r="AE7148" s="26"/>
      <c r="AJ7148" s="26"/>
    </row>
    <row r="7149" spans="29:36">
      <c r="AC7149" s="26"/>
      <c r="AE7149" s="26"/>
      <c r="AJ7149" s="26"/>
    </row>
    <row r="7150" spans="29:36">
      <c r="AC7150" s="26"/>
      <c r="AE7150" s="26"/>
      <c r="AJ7150" s="26"/>
    </row>
    <row r="7151" spans="29:36">
      <c r="AC7151" s="26"/>
      <c r="AE7151" s="26"/>
      <c r="AJ7151" s="26"/>
    </row>
    <row r="7152" spans="29:36">
      <c r="AC7152" s="26"/>
      <c r="AE7152" s="26"/>
      <c r="AJ7152" s="26"/>
    </row>
    <row r="7153" spans="29:36">
      <c r="AC7153" s="26"/>
      <c r="AE7153" s="26"/>
      <c r="AJ7153" s="26"/>
    </row>
    <row r="7154" spans="29:36">
      <c r="AC7154" s="26"/>
      <c r="AE7154" s="26"/>
      <c r="AJ7154" s="26"/>
    </row>
    <row r="7155" spans="29:36">
      <c r="AC7155" s="26"/>
      <c r="AE7155" s="26"/>
      <c r="AJ7155" s="26"/>
    </row>
    <row r="7156" spans="29:36">
      <c r="AC7156" s="26"/>
      <c r="AE7156" s="26"/>
      <c r="AJ7156" s="26"/>
    </row>
    <row r="7157" spans="29:36">
      <c r="AC7157" s="26"/>
      <c r="AE7157" s="26"/>
      <c r="AJ7157" s="26"/>
    </row>
    <row r="7158" spans="29:36">
      <c r="AC7158" s="26"/>
      <c r="AE7158" s="26"/>
      <c r="AJ7158" s="26"/>
    </row>
    <row r="7159" spans="29:36">
      <c r="AC7159" s="26"/>
      <c r="AE7159" s="26"/>
      <c r="AJ7159" s="26"/>
    </row>
    <row r="7160" spans="29:36">
      <c r="AC7160" s="26"/>
      <c r="AE7160" s="26"/>
      <c r="AJ7160" s="26"/>
    </row>
    <row r="7161" spans="29:36">
      <c r="AC7161" s="26"/>
      <c r="AE7161" s="26"/>
      <c r="AJ7161" s="26"/>
    </row>
    <row r="7162" spans="29:36">
      <c r="AC7162" s="26"/>
      <c r="AE7162" s="26"/>
      <c r="AJ7162" s="26"/>
    </row>
    <row r="7163" spans="29:36">
      <c r="AC7163" s="26"/>
      <c r="AE7163" s="26"/>
      <c r="AJ7163" s="26"/>
    </row>
    <row r="7164" spans="29:36">
      <c r="AC7164" s="26"/>
      <c r="AE7164" s="26"/>
      <c r="AJ7164" s="26"/>
    </row>
    <row r="7165" spans="29:36">
      <c r="AC7165" s="26"/>
      <c r="AE7165" s="26"/>
      <c r="AJ7165" s="26"/>
    </row>
    <row r="7166" spans="29:36">
      <c r="AC7166" s="26"/>
      <c r="AE7166" s="26"/>
      <c r="AJ7166" s="26"/>
    </row>
    <row r="7167" spans="29:36">
      <c r="AC7167" s="26"/>
      <c r="AE7167" s="26"/>
      <c r="AJ7167" s="26"/>
    </row>
    <row r="7168" spans="29:36">
      <c r="AC7168" s="26"/>
      <c r="AE7168" s="26"/>
      <c r="AJ7168" s="26"/>
    </row>
    <row r="7169" spans="29:36">
      <c r="AC7169" s="26"/>
      <c r="AE7169" s="26"/>
      <c r="AJ7169" s="26"/>
    </row>
    <row r="7170" spans="29:36">
      <c r="AC7170" s="26"/>
      <c r="AE7170" s="26"/>
      <c r="AJ7170" s="26"/>
    </row>
    <row r="7171" spans="29:36">
      <c r="AC7171" s="26"/>
      <c r="AE7171" s="26"/>
      <c r="AJ7171" s="26"/>
    </row>
    <row r="7172" spans="29:36">
      <c r="AC7172" s="26"/>
      <c r="AE7172" s="26"/>
      <c r="AJ7172" s="26"/>
    </row>
    <row r="7173" spans="29:36">
      <c r="AC7173" s="26"/>
      <c r="AE7173" s="26"/>
      <c r="AJ7173" s="26"/>
    </row>
    <row r="7174" spans="29:36">
      <c r="AC7174" s="26"/>
      <c r="AE7174" s="26"/>
      <c r="AJ7174" s="26"/>
    </row>
    <row r="7175" spans="29:36">
      <c r="AC7175" s="26"/>
      <c r="AE7175" s="26"/>
      <c r="AJ7175" s="26"/>
    </row>
    <row r="7176" spans="29:36">
      <c r="AC7176" s="26"/>
      <c r="AE7176" s="26"/>
      <c r="AJ7176" s="26"/>
    </row>
    <row r="7177" spans="29:36">
      <c r="AC7177" s="26"/>
      <c r="AE7177" s="26"/>
      <c r="AJ7177" s="26"/>
    </row>
    <row r="7178" spans="29:36">
      <c r="AC7178" s="26"/>
      <c r="AE7178" s="26"/>
      <c r="AJ7178" s="26"/>
    </row>
    <row r="7179" spans="29:36">
      <c r="AC7179" s="26"/>
      <c r="AE7179" s="26"/>
      <c r="AJ7179" s="26"/>
    </row>
    <row r="7180" spans="29:36">
      <c r="AC7180" s="26"/>
      <c r="AE7180" s="26"/>
      <c r="AJ7180" s="26"/>
    </row>
    <row r="7181" spans="29:36">
      <c r="AC7181" s="26"/>
      <c r="AE7181" s="26"/>
      <c r="AJ7181" s="26"/>
    </row>
    <row r="7182" spans="29:36">
      <c r="AC7182" s="26"/>
      <c r="AE7182" s="26"/>
      <c r="AJ7182" s="26"/>
    </row>
    <row r="7183" spans="29:36">
      <c r="AC7183" s="26"/>
      <c r="AE7183" s="26"/>
      <c r="AJ7183" s="26"/>
    </row>
    <row r="7184" spans="29:36">
      <c r="AC7184" s="26"/>
      <c r="AE7184" s="26"/>
      <c r="AJ7184" s="26"/>
    </row>
    <row r="7185" spans="29:36">
      <c r="AC7185" s="26"/>
      <c r="AE7185" s="26"/>
      <c r="AJ7185" s="26"/>
    </row>
    <row r="7186" spans="29:36">
      <c r="AC7186" s="26"/>
      <c r="AE7186" s="26"/>
      <c r="AJ7186" s="26"/>
    </row>
    <row r="7187" spans="29:36">
      <c r="AC7187" s="26"/>
      <c r="AE7187" s="26"/>
      <c r="AJ7187" s="26"/>
    </row>
    <row r="7188" spans="29:36">
      <c r="AC7188" s="26"/>
      <c r="AE7188" s="26"/>
      <c r="AJ7188" s="26"/>
    </row>
    <row r="7189" spans="29:36">
      <c r="AC7189" s="26"/>
      <c r="AE7189" s="26"/>
      <c r="AJ7189" s="26"/>
    </row>
    <row r="7190" spans="29:36">
      <c r="AC7190" s="26"/>
      <c r="AE7190" s="26"/>
      <c r="AJ7190" s="26"/>
    </row>
    <row r="7191" spans="29:36">
      <c r="AC7191" s="26"/>
      <c r="AE7191" s="26"/>
      <c r="AJ7191" s="26"/>
    </row>
    <row r="7192" spans="29:36">
      <c r="AC7192" s="26"/>
      <c r="AE7192" s="26"/>
      <c r="AJ7192" s="26"/>
    </row>
    <row r="7193" spans="29:36">
      <c r="AC7193" s="26"/>
      <c r="AE7193" s="26"/>
      <c r="AJ7193" s="26"/>
    </row>
    <row r="7194" spans="29:36">
      <c r="AC7194" s="26"/>
      <c r="AE7194" s="26"/>
      <c r="AJ7194" s="26"/>
    </row>
    <row r="7195" spans="29:36">
      <c r="AC7195" s="26"/>
      <c r="AE7195" s="26"/>
      <c r="AJ7195" s="26"/>
    </row>
    <row r="7196" spans="29:36">
      <c r="AC7196" s="26"/>
      <c r="AE7196" s="26"/>
      <c r="AJ7196" s="26"/>
    </row>
    <row r="7197" spans="29:36">
      <c r="AC7197" s="26"/>
      <c r="AE7197" s="26"/>
      <c r="AJ7197" s="26"/>
    </row>
    <row r="7198" spans="29:36">
      <c r="AC7198" s="26"/>
      <c r="AE7198" s="26"/>
      <c r="AJ7198" s="26"/>
    </row>
    <row r="7199" spans="29:36">
      <c r="AC7199" s="26"/>
      <c r="AE7199" s="26"/>
      <c r="AJ7199" s="26"/>
    </row>
    <row r="7200" spans="29:36">
      <c r="AC7200" s="26"/>
      <c r="AE7200" s="26"/>
      <c r="AJ7200" s="26"/>
    </row>
    <row r="7201" spans="29:36">
      <c r="AC7201" s="26"/>
      <c r="AE7201" s="26"/>
      <c r="AJ7201" s="26"/>
    </row>
    <row r="7202" spans="29:36">
      <c r="AC7202" s="26"/>
      <c r="AE7202" s="26"/>
      <c r="AJ7202" s="26"/>
    </row>
    <row r="7203" spans="29:36">
      <c r="AC7203" s="26"/>
      <c r="AE7203" s="26"/>
      <c r="AJ7203" s="26"/>
    </row>
    <row r="7204" spans="29:36">
      <c r="AC7204" s="26"/>
      <c r="AE7204" s="26"/>
      <c r="AJ7204" s="26"/>
    </row>
    <row r="7205" spans="29:36">
      <c r="AC7205" s="26"/>
      <c r="AE7205" s="26"/>
      <c r="AJ7205" s="26"/>
    </row>
    <row r="7206" spans="29:36">
      <c r="AC7206" s="26"/>
      <c r="AE7206" s="26"/>
      <c r="AJ7206" s="26"/>
    </row>
    <row r="7207" spans="29:36">
      <c r="AC7207" s="26"/>
      <c r="AE7207" s="26"/>
      <c r="AJ7207" s="26"/>
    </row>
    <row r="7208" spans="29:36">
      <c r="AC7208" s="26"/>
      <c r="AE7208" s="26"/>
      <c r="AJ7208" s="26"/>
    </row>
    <row r="7209" spans="29:36">
      <c r="AC7209" s="26"/>
      <c r="AE7209" s="26"/>
      <c r="AJ7209" s="26"/>
    </row>
    <row r="7210" spans="29:36">
      <c r="AC7210" s="26"/>
      <c r="AE7210" s="26"/>
      <c r="AJ7210" s="26"/>
    </row>
    <row r="7211" spans="29:36">
      <c r="AC7211" s="26"/>
      <c r="AE7211" s="26"/>
      <c r="AJ7211" s="26"/>
    </row>
    <row r="7212" spans="29:36">
      <c r="AC7212" s="26"/>
      <c r="AE7212" s="26"/>
      <c r="AJ7212" s="26"/>
    </row>
    <row r="7213" spans="29:36">
      <c r="AC7213" s="26"/>
      <c r="AE7213" s="26"/>
      <c r="AJ7213" s="26"/>
    </row>
    <row r="7214" spans="29:36">
      <c r="AC7214" s="26"/>
      <c r="AE7214" s="26"/>
      <c r="AJ7214" s="26"/>
    </row>
    <row r="7215" spans="29:36">
      <c r="AC7215" s="26"/>
      <c r="AE7215" s="26"/>
      <c r="AJ7215" s="26"/>
    </row>
    <row r="7216" spans="29:36">
      <c r="AC7216" s="26"/>
      <c r="AE7216" s="26"/>
      <c r="AJ7216" s="26"/>
    </row>
    <row r="7217" spans="29:36">
      <c r="AC7217" s="26"/>
      <c r="AE7217" s="26"/>
      <c r="AJ7217" s="26"/>
    </row>
    <row r="7218" spans="29:36">
      <c r="AC7218" s="26"/>
      <c r="AE7218" s="26"/>
      <c r="AJ7218" s="26"/>
    </row>
    <row r="7219" spans="29:36">
      <c r="AC7219" s="26"/>
      <c r="AE7219" s="26"/>
      <c r="AJ7219" s="26"/>
    </row>
    <row r="7220" spans="29:36">
      <c r="AC7220" s="26"/>
      <c r="AE7220" s="26"/>
      <c r="AJ7220" s="26"/>
    </row>
    <row r="7221" spans="29:36">
      <c r="AC7221" s="26"/>
      <c r="AE7221" s="26"/>
      <c r="AJ7221" s="26"/>
    </row>
    <row r="7222" spans="29:36">
      <c r="AC7222" s="26"/>
      <c r="AE7222" s="26"/>
      <c r="AJ7222" s="26"/>
    </row>
    <row r="7223" spans="29:36">
      <c r="AC7223" s="26"/>
      <c r="AE7223" s="26"/>
      <c r="AJ7223" s="26"/>
    </row>
    <row r="7224" spans="29:36">
      <c r="AC7224" s="26"/>
      <c r="AE7224" s="26"/>
      <c r="AJ7224" s="26"/>
    </row>
    <row r="7225" spans="29:36">
      <c r="AC7225" s="26"/>
      <c r="AE7225" s="26"/>
      <c r="AJ7225" s="26"/>
    </row>
    <row r="7226" spans="29:36">
      <c r="AC7226" s="26"/>
      <c r="AE7226" s="26"/>
      <c r="AJ7226" s="26"/>
    </row>
    <row r="7227" spans="29:36">
      <c r="AC7227" s="26"/>
      <c r="AE7227" s="26"/>
      <c r="AJ7227" s="26"/>
    </row>
    <row r="7228" spans="29:36">
      <c r="AC7228" s="26"/>
      <c r="AE7228" s="26"/>
      <c r="AJ7228" s="26"/>
    </row>
    <row r="7229" spans="29:36">
      <c r="AC7229" s="26"/>
      <c r="AE7229" s="26"/>
      <c r="AJ7229" s="26"/>
    </row>
    <row r="7230" spans="29:36">
      <c r="AC7230" s="26"/>
      <c r="AE7230" s="26"/>
      <c r="AJ7230" s="26"/>
    </row>
    <row r="7231" spans="29:36">
      <c r="AC7231" s="26"/>
      <c r="AE7231" s="26"/>
      <c r="AJ7231" s="26"/>
    </row>
    <row r="7232" spans="29:36">
      <c r="AC7232" s="26"/>
      <c r="AE7232" s="26"/>
      <c r="AJ7232" s="26"/>
    </row>
    <row r="7233" spans="29:36">
      <c r="AC7233" s="26"/>
      <c r="AE7233" s="26"/>
      <c r="AJ7233" s="26"/>
    </row>
    <row r="7234" spans="29:36">
      <c r="AC7234" s="26"/>
      <c r="AE7234" s="26"/>
      <c r="AJ7234" s="26"/>
    </row>
    <row r="7235" spans="29:36">
      <c r="AC7235" s="26"/>
      <c r="AE7235" s="26"/>
      <c r="AJ7235" s="26"/>
    </row>
    <row r="7236" spans="29:36">
      <c r="AC7236" s="26"/>
      <c r="AE7236" s="26"/>
      <c r="AJ7236" s="26"/>
    </row>
    <row r="7237" spans="29:36">
      <c r="AC7237" s="26"/>
      <c r="AE7237" s="26"/>
      <c r="AJ7237" s="26"/>
    </row>
    <row r="7238" spans="29:36">
      <c r="AC7238" s="26"/>
      <c r="AE7238" s="26"/>
      <c r="AJ7238" s="26"/>
    </row>
    <row r="7239" spans="29:36">
      <c r="AC7239" s="26"/>
      <c r="AE7239" s="26"/>
      <c r="AJ7239" s="26"/>
    </row>
    <row r="7240" spans="29:36">
      <c r="AC7240" s="26"/>
      <c r="AE7240" s="26"/>
      <c r="AJ7240" s="26"/>
    </row>
    <row r="7241" spans="29:36">
      <c r="AC7241" s="26"/>
      <c r="AE7241" s="26"/>
      <c r="AJ7241" s="26"/>
    </row>
    <row r="7242" spans="29:36">
      <c r="AC7242" s="26"/>
      <c r="AE7242" s="26"/>
      <c r="AJ7242" s="26"/>
    </row>
    <row r="7243" spans="29:36">
      <c r="AC7243" s="26"/>
      <c r="AE7243" s="26"/>
      <c r="AJ7243" s="26"/>
    </row>
    <row r="7244" spans="29:36">
      <c r="AC7244" s="26"/>
      <c r="AE7244" s="26"/>
      <c r="AJ7244" s="26"/>
    </row>
    <row r="7245" spans="29:36">
      <c r="AC7245" s="26"/>
      <c r="AE7245" s="26"/>
      <c r="AJ7245" s="26"/>
    </row>
    <row r="7246" spans="29:36">
      <c r="AC7246" s="26"/>
      <c r="AE7246" s="26"/>
      <c r="AJ7246" s="26"/>
    </row>
    <row r="7247" spans="29:36">
      <c r="AC7247" s="26"/>
      <c r="AE7247" s="26"/>
      <c r="AJ7247" s="26"/>
    </row>
    <row r="7248" spans="29:36">
      <c r="AC7248" s="26"/>
      <c r="AE7248" s="26"/>
      <c r="AJ7248" s="26"/>
    </row>
    <row r="7249" spans="29:36">
      <c r="AC7249" s="26"/>
      <c r="AE7249" s="26"/>
      <c r="AJ7249" s="26"/>
    </row>
    <row r="7250" spans="29:36">
      <c r="AC7250" s="26"/>
      <c r="AE7250" s="26"/>
      <c r="AJ7250" s="26"/>
    </row>
    <row r="7251" spans="29:36">
      <c r="AC7251" s="26"/>
      <c r="AE7251" s="26"/>
      <c r="AJ7251" s="26"/>
    </row>
    <row r="7252" spans="29:36">
      <c r="AC7252" s="26"/>
      <c r="AE7252" s="26"/>
      <c r="AJ7252" s="26"/>
    </row>
    <row r="7253" spans="29:36">
      <c r="AC7253" s="26"/>
      <c r="AE7253" s="26"/>
      <c r="AJ7253" s="26"/>
    </row>
    <row r="7254" spans="29:36">
      <c r="AC7254" s="26"/>
      <c r="AE7254" s="26"/>
      <c r="AJ7254" s="26"/>
    </row>
    <row r="7255" spans="29:36">
      <c r="AC7255" s="26"/>
      <c r="AE7255" s="26"/>
      <c r="AJ7255" s="26"/>
    </row>
    <row r="7256" spans="29:36">
      <c r="AC7256" s="26"/>
      <c r="AE7256" s="26"/>
      <c r="AJ7256" s="26"/>
    </row>
    <row r="7257" spans="29:36">
      <c r="AC7257" s="26"/>
      <c r="AE7257" s="26"/>
      <c r="AJ7257" s="26"/>
    </row>
    <row r="7258" spans="29:36">
      <c r="AC7258" s="26"/>
      <c r="AE7258" s="26"/>
      <c r="AJ7258" s="26"/>
    </row>
    <row r="7259" spans="29:36">
      <c r="AC7259" s="26"/>
      <c r="AE7259" s="26"/>
      <c r="AJ7259" s="26"/>
    </row>
    <row r="7260" spans="29:36">
      <c r="AC7260" s="26"/>
      <c r="AE7260" s="26"/>
      <c r="AJ7260" s="26"/>
    </row>
    <row r="7261" spans="29:36">
      <c r="AC7261" s="26"/>
      <c r="AE7261" s="26"/>
      <c r="AJ7261" s="26"/>
    </row>
    <row r="7262" spans="29:36">
      <c r="AC7262" s="26"/>
      <c r="AE7262" s="26"/>
      <c r="AJ7262" s="26"/>
    </row>
    <row r="7263" spans="29:36">
      <c r="AC7263" s="26"/>
      <c r="AE7263" s="26"/>
      <c r="AJ7263" s="26"/>
    </row>
    <row r="7264" spans="29:36">
      <c r="AC7264" s="26"/>
      <c r="AE7264" s="26"/>
      <c r="AJ7264" s="26"/>
    </row>
    <row r="7265" spans="29:36">
      <c r="AC7265" s="26"/>
      <c r="AE7265" s="26"/>
      <c r="AJ7265" s="26"/>
    </row>
    <row r="7266" spans="29:36">
      <c r="AC7266" s="26"/>
      <c r="AE7266" s="26"/>
      <c r="AJ7266" s="26"/>
    </row>
    <row r="7267" spans="29:36">
      <c r="AC7267" s="26"/>
      <c r="AE7267" s="26"/>
      <c r="AJ7267" s="26"/>
    </row>
    <row r="7268" spans="29:36">
      <c r="AC7268" s="26"/>
      <c r="AE7268" s="26"/>
      <c r="AJ7268" s="26"/>
    </row>
    <row r="7269" spans="29:36">
      <c r="AC7269" s="26"/>
      <c r="AE7269" s="26"/>
      <c r="AJ7269" s="26"/>
    </row>
    <row r="7270" spans="29:36">
      <c r="AC7270" s="26"/>
      <c r="AE7270" s="26"/>
      <c r="AJ7270" s="26"/>
    </row>
    <row r="7271" spans="29:36">
      <c r="AC7271" s="26"/>
      <c r="AE7271" s="26"/>
      <c r="AJ7271" s="26"/>
    </row>
    <row r="7272" spans="29:36">
      <c r="AC7272" s="26"/>
      <c r="AE7272" s="26"/>
      <c r="AJ7272" s="26"/>
    </row>
    <row r="7273" spans="29:36">
      <c r="AC7273" s="26"/>
      <c r="AE7273" s="26"/>
      <c r="AJ7273" s="26"/>
    </row>
    <row r="7274" spans="29:36">
      <c r="AC7274" s="26"/>
      <c r="AE7274" s="26"/>
      <c r="AJ7274" s="26"/>
    </row>
    <row r="7275" spans="29:36">
      <c r="AC7275" s="26"/>
      <c r="AE7275" s="26"/>
      <c r="AJ7275" s="26"/>
    </row>
    <row r="7276" spans="29:36">
      <c r="AC7276" s="26"/>
      <c r="AE7276" s="26"/>
      <c r="AJ7276" s="26"/>
    </row>
    <row r="7277" spans="29:36">
      <c r="AC7277" s="26"/>
      <c r="AE7277" s="26"/>
      <c r="AJ7277" s="26"/>
    </row>
    <row r="7278" spans="29:36">
      <c r="AC7278" s="26"/>
      <c r="AE7278" s="26"/>
      <c r="AJ7278" s="26"/>
    </row>
    <row r="7279" spans="29:36">
      <c r="AC7279" s="26"/>
      <c r="AE7279" s="26"/>
      <c r="AJ7279" s="26"/>
    </row>
    <row r="7280" spans="29:36">
      <c r="AC7280" s="26"/>
      <c r="AE7280" s="26"/>
      <c r="AJ7280" s="26"/>
    </row>
    <row r="7281" spans="29:36">
      <c r="AC7281" s="26"/>
      <c r="AE7281" s="26"/>
      <c r="AJ7281" s="26"/>
    </row>
    <row r="7282" spans="29:36">
      <c r="AC7282" s="26"/>
      <c r="AE7282" s="26"/>
      <c r="AJ7282" s="26"/>
    </row>
    <row r="7283" spans="29:36">
      <c r="AC7283" s="26"/>
      <c r="AE7283" s="26"/>
      <c r="AJ7283" s="26"/>
    </row>
    <row r="7284" spans="29:36">
      <c r="AC7284" s="26"/>
      <c r="AE7284" s="26"/>
      <c r="AJ7284" s="26"/>
    </row>
    <row r="7285" spans="29:36">
      <c r="AC7285" s="26"/>
      <c r="AE7285" s="26"/>
      <c r="AJ7285" s="26"/>
    </row>
    <row r="7286" spans="29:36">
      <c r="AC7286" s="26"/>
      <c r="AE7286" s="26"/>
      <c r="AJ7286" s="26"/>
    </row>
    <row r="7287" spans="29:36">
      <c r="AC7287" s="26"/>
      <c r="AE7287" s="26"/>
      <c r="AJ7287" s="26"/>
    </row>
    <row r="7288" spans="29:36">
      <c r="AC7288" s="26"/>
      <c r="AE7288" s="26"/>
      <c r="AJ7288" s="26"/>
    </row>
    <row r="7289" spans="29:36">
      <c r="AC7289" s="26"/>
      <c r="AE7289" s="26"/>
      <c r="AJ7289" s="26"/>
    </row>
    <row r="7290" spans="29:36">
      <c r="AC7290" s="26"/>
      <c r="AE7290" s="26"/>
      <c r="AJ7290" s="26"/>
    </row>
    <row r="7291" spans="29:36">
      <c r="AC7291" s="26"/>
      <c r="AE7291" s="26"/>
      <c r="AJ7291" s="26"/>
    </row>
    <row r="7292" spans="29:36">
      <c r="AC7292" s="26"/>
      <c r="AE7292" s="26"/>
      <c r="AJ7292" s="26"/>
    </row>
    <row r="7293" spans="29:36">
      <c r="AC7293" s="26"/>
      <c r="AE7293" s="26"/>
      <c r="AJ7293" s="26"/>
    </row>
    <row r="7294" spans="29:36">
      <c r="AC7294" s="26"/>
      <c r="AE7294" s="26"/>
      <c r="AJ7294" s="26"/>
    </row>
    <row r="7295" spans="29:36">
      <c r="AC7295" s="26"/>
      <c r="AE7295" s="26"/>
      <c r="AJ7295" s="26"/>
    </row>
    <row r="7296" spans="29:36">
      <c r="AC7296" s="26"/>
      <c r="AE7296" s="26"/>
      <c r="AJ7296" s="26"/>
    </row>
    <row r="7297" spans="29:36">
      <c r="AC7297" s="26"/>
      <c r="AE7297" s="26"/>
      <c r="AJ7297" s="26"/>
    </row>
    <row r="7298" spans="29:36">
      <c r="AC7298" s="26"/>
      <c r="AE7298" s="26"/>
      <c r="AJ7298" s="26"/>
    </row>
    <row r="7299" spans="29:36">
      <c r="AC7299" s="26"/>
      <c r="AE7299" s="26"/>
      <c r="AJ7299" s="26"/>
    </row>
    <row r="7300" spans="29:36">
      <c r="AC7300" s="26"/>
      <c r="AE7300" s="26"/>
      <c r="AJ7300" s="26"/>
    </row>
    <row r="7301" spans="29:36">
      <c r="AC7301" s="26"/>
      <c r="AE7301" s="26"/>
      <c r="AJ7301" s="26"/>
    </row>
    <row r="7302" spans="29:36">
      <c r="AC7302" s="26"/>
      <c r="AE7302" s="26"/>
      <c r="AJ7302" s="26"/>
    </row>
    <row r="7303" spans="29:36">
      <c r="AC7303" s="26"/>
      <c r="AE7303" s="26"/>
      <c r="AJ7303" s="26"/>
    </row>
    <row r="7304" spans="29:36">
      <c r="AC7304" s="26"/>
      <c r="AE7304" s="26"/>
      <c r="AJ7304" s="26"/>
    </row>
    <row r="7305" spans="29:36">
      <c r="AC7305" s="26"/>
      <c r="AE7305" s="26"/>
      <c r="AJ7305" s="26"/>
    </row>
    <row r="7306" spans="29:36">
      <c r="AC7306" s="26"/>
      <c r="AE7306" s="26"/>
      <c r="AJ7306" s="26"/>
    </row>
    <row r="7307" spans="29:36">
      <c r="AC7307" s="26"/>
      <c r="AE7307" s="26"/>
      <c r="AJ7307" s="26"/>
    </row>
    <row r="7308" spans="29:36">
      <c r="AC7308" s="26"/>
      <c r="AE7308" s="26"/>
      <c r="AJ7308" s="26"/>
    </row>
    <row r="7309" spans="29:36">
      <c r="AC7309" s="26"/>
      <c r="AE7309" s="26"/>
      <c r="AJ7309" s="26"/>
    </row>
    <row r="7310" spans="29:36">
      <c r="AC7310" s="26"/>
      <c r="AE7310" s="26"/>
      <c r="AJ7310" s="26"/>
    </row>
    <row r="7311" spans="29:36">
      <c r="AC7311" s="26"/>
      <c r="AE7311" s="26"/>
      <c r="AJ7311" s="26"/>
    </row>
    <row r="7312" spans="29:36">
      <c r="AC7312" s="26"/>
      <c r="AE7312" s="26"/>
      <c r="AJ7312" s="26"/>
    </row>
    <row r="7313" spans="29:36">
      <c r="AC7313" s="26"/>
      <c r="AE7313" s="26"/>
      <c r="AJ7313" s="26"/>
    </row>
    <row r="7314" spans="29:36">
      <c r="AC7314" s="26"/>
      <c r="AE7314" s="26"/>
      <c r="AJ7314" s="26"/>
    </row>
    <row r="7315" spans="29:36">
      <c r="AC7315" s="26"/>
      <c r="AE7315" s="26"/>
      <c r="AJ7315" s="26"/>
    </row>
    <row r="7316" spans="29:36">
      <c r="AC7316" s="26"/>
      <c r="AE7316" s="26"/>
      <c r="AJ7316" s="26"/>
    </row>
    <row r="7317" spans="29:36">
      <c r="AC7317" s="26"/>
      <c r="AE7317" s="26"/>
      <c r="AJ7317" s="26"/>
    </row>
    <row r="7318" spans="29:36">
      <c r="AC7318" s="26"/>
      <c r="AE7318" s="26"/>
      <c r="AJ7318" s="26"/>
    </row>
    <row r="7319" spans="29:36">
      <c r="AC7319" s="26"/>
      <c r="AE7319" s="26"/>
      <c r="AJ7319" s="26"/>
    </row>
    <row r="7320" spans="29:36">
      <c r="AC7320" s="26"/>
      <c r="AE7320" s="26"/>
      <c r="AJ7320" s="26"/>
    </row>
    <row r="7321" spans="29:36">
      <c r="AC7321" s="26"/>
      <c r="AE7321" s="26"/>
      <c r="AJ7321" s="26"/>
    </row>
    <row r="7322" spans="29:36">
      <c r="AC7322" s="26"/>
      <c r="AE7322" s="26"/>
      <c r="AJ7322" s="26"/>
    </row>
    <row r="7323" spans="29:36">
      <c r="AC7323" s="26"/>
      <c r="AE7323" s="26"/>
      <c r="AJ7323" s="26"/>
    </row>
    <row r="7324" spans="29:36">
      <c r="AC7324" s="26"/>
      <c r="AE7324" s="26"/>
      <c r="AJ7324" s="26"/>
    </row>
    <row r="7325" spans="29:36">
      <c r="AC7325" s="26"/>
      <c r="AE7325" s="26"/>
      <c r="AJ7325" s="26"/>
    </row>
    <row r="7326" spans="29:36">
      <c r="AC7326" s="26"/>
      <c r="AE7326" s="26"/>
      <c r="AJ7326" s="26"/>
    </row>
    <row r="7327" spans="29:36">
      <c r="AC7327" s="26"/>
      <c r="AE7327" s="26"/>
      <c r="AJ7327" s="26"/>
    </row>
    <row r="7328" spans="29:36">
      <c r="AC7328" s="26"/>
      <c r="AE7328" s="26"/>
      <c r="AJ7328" s="26"/>
    </row>
    <row r="7329" spans="29:36">
      <c r="AC7329" s="26"/>
      <c r="AE7329" s="26"/>
      <c r="AJ7329" s="26"/>
    </row>
    <row r="7330" spans="29:36">
      <c r="AC7330" s="26"/>
      <c r="AE7330" s="26"/>
      <c r="AJ7330" s="26"/>
    </row>
    <row r="7331" spans="29:36">
      <c r="AC7331" s="26"/>
      <c r="AE7331" s="26"/>
      <c r="AJ7331" s="26"/>
    </row>
    <row r="7332" spans="29:36">
      <c r="AC7332" s="26"/>
      <c r="AE7332" s="26"/>
      <c r="AJ7332" s="26"/>
    </row>
    <row r="7333" spans="29:36">
      <c r="AC7333" s="26"/>
      <c r="AE7333" s="26"/>
      <c r="AJ7333" s="26"/>
    </row>
    <row r="7334" spans="29:36">
      <c r="AC7334" s="26"/>
      <c r="AE7334" s="26"/>
      <c r="AJ7334" s="26"/>
    </row>
    <row r="7335" spans="29:36">
      <c r="AC7335" s="26"/>
      <c r="AE7335" s="26"/>
      <c r="AJ7335" s="26"/>
    </row>
    <row r="7336" spans="29:36">
      <c r="AC7336" s="26"/>
      <c r="AE7336" s="26"/>
      <c r="AJ7336" s="26"/>
    </row>
    <row r="7337" spans="29:36">
      <c r="AC7337" s="26"/>
      <c r="AE7337" s="26"/>
      <c r="AJ7337" s="26"/>
    </row>
    <row r="7338" spans="29:36">
      <c r="AC7338" s="26"/>
      <c r="AE7338" s="26"/>
      <c r="AJ7338" s="26"/>
    </row>
    <row r="7339" spans="29:36">
      <c r="AC7339" s="26"/>
      <c r="AE7339" s="26"/>
      <c r="AJ7339" s="26"/>
    </row>
    <row r="7340" spans="29:36">
      <c r="AC7340" s="26"/>
      <c r="AE7340" s="26"/>
      <c r="AJ7340" s="26"/>
    </row>
    <row r="7341" spans="29:36">
      <c r="AC7341" s="26"/>
      <c r="AE7341" s="26"/>
      <c r="AJ7341" s="26"/>
    </row>
    <row r="7342" spans="29:36">
      <c r="AC7342" s="26"/>
      <c r="AE7342" s="26"/>
      <c r="AJ7342" s="26"/>
    </row>
    <row r="7343" spans="29:36">
      <c r="AC7343" s="26"/>
      <c r="AE7343" s="26"/>
      <c r="AJ7343" s="26"/>
    </row>
    <row r="7344" spans="29:36">
      <c r="AC7344" s="26"/>
      <c r="AE7344" s="26"/>
      <c r="AJ7344" s="26"/>
    </row>
    <row r="7345" spans="29:36">
      <c r="AC7345" s="26"/>
      <c r="AE7345" s="26"/>
      <c r="AJ7345" s="26"/>
    </row>
    <row r="7346" spans="29:36">
      <c r="AC7346" s="26"/>
      <c r="AE7346" s="26"/>
      <c r="AJ7346" s="26"/>
    </row>
    <row r="7347" spans="29:36">
      <c r="AC7347" s="26"/>
      <c r="AE7347" s="26"/>
      <c r="AJ7347" s="26"/>
    </row>
    <row r="7348" spans="29:36">
      <c r="AC7348" s="26"/>
      <c r="AE7348" s="26"/>
      <c r="AJ7348" s="26"/>
    </row>
    <row r="7349" spans="29:36">
      <c r="AC7349" s="26"/>
      <c r="AE7349" s="26"/>
      <c r="AJ7349" s="26"/>
    </row>
    <row r="7350" spans="29:36">
      <c r="AC7350" s="26"/>
      <c r="AE7350" s="26"/>
      <c r="AJ7350" s="26"/>
    </row>
    <row r="7351" spans="29:36">
      <c r="AC7351" s="26"/>
      <c r="AE7351" s="26"/>
      <c r="AJ7351" s="26"/>
    </row>
    <row r="7352" spans="29:36">
      <c r="AC7352" s="26"/>
      <c r="AE7352" s="26"/>
      <c r="AJ7352" s="26"/>
    </row>
    <row r="7353" spans="29:36">
      <c r="AC7353" s="26"/>
      <c r="AE7353" s="26"/>
      <c r="AJ7353" s="26"/>
    </row>
    <row r="7354" spans="29:36">
      <c r="AC7354" s="26"/>
      <c r="AE7354" s="26"/>
      <c r="AJ7354" s="26"/>
    </row>
    <row r="7355" spans="29:36">
      <c r="AC7355" s="26"/>
      <c r="AE7355" s="26"/>
      <c r="AJ7355" s="26"/>
    </row>
    <row r="7356" spans="29:36">
      <c r="AC7356" s="26"/>
      <c r="AE7356" s="26"/>
      <c r="AJ7356" s="26"/>
    </row>
    <row r="7357" spans="29:36">
      <c r="AC7357" s="26"/>
      <c r="AE7357" s="26"/>
      <c r="AJ7357" s="26"/>
    </row>
    <row r="7358" spans="29:36">
      <c r="AC7358" s="26"/>
      <c r="AE7358" s="26"/>
      <c r="AJ7358" s="26"/>
    </row>
    <row r="7359" spans="29:36">
      <c r="AC7359" s="26"/>
      <c r="AE7359" s="26"/>
      <c r="AJ7359" s="26"/>
    </row>
    <row r="7360" spans="29:36">
      <c r="AC7360" s="26"/>
      <c r="AE7360" s="26"/>
      <c r="AJ7360" s="26"/>
    </row>
    <row r="7361" spans="29:36">
      <c r="AC7361" s="26"/>
      <c r="AE7361" s="26"/>
      <c r="AJ7361" s="26"/>
    </row>
    <row r="7362" spans="29:36">
      <c r="AC7362" s="26"/>
      <c r="AE7362" s="26"/>
      <c r="AJ7362" s="26"/>
    </row>
    <row r="7363" spans="29:36">
      <c r="AC7363" s="26"/>
      <c r="AE7363" s="26"/>
      <c r="AJ7363" s="26"/>
    </row>
    <row r="7364" spans="29:36">
      <c r="AC7364" s="26"/>
      <c r="AE7364" s="26"/>
      <c r="AJ7364" s="26"/>
    </row>
    <row r="7365" spans="29:36">
      <c r="AC7365" s="26"/>
      <c r="AE7365" s="26"/>
      <c r="AJ7365" s="26"/>
    </row>
    <row r="7366" spans="29:36">
      <c r="AC7366" s="26"/>
      <c r="AE7366" s="26"/>
      <c r="AJ7366" s="26"/>
    </row>
    <row r="7367" spans="29:36">
      <c r="AC7367" s="26"/>
      <c r="AE7367" s="26"/>
      <c r="AJ7367" s="26"/>
    </row>
    <row r="7368" spans="29:36">
      <c r="AC7368" s="26"/>
      <c r="AE7368" s="26"/>
      <c r="AJ7368" s="26"/>
    </row>
    <row r="7369" spans="29:36">
      <c r="AC7369" s="26"/>
      <c r="AE7369" s="26"/>
      <c r="AJ7369" s="26"/>
    </row>
    <row r="7370" spans="29:36">
      <c r="AC7370" s="26"/>
      <c r="AE7370" s="26"/>
      <c r="AJ7370" s="26"/>
    </row>
    <row r="7371" spans="29:36">
      <c r="AC7371" s="26"/>
      <c r="AE7371" s="26"/>
      <c r="AJ7371" s="26"/>
    </row>
    <row r="7372" spans="29:36">
      <c r="AC7372" s="26"/>
      <c r="AE7372" s="26"/>
      <c r="AJ7372" s="26"/>
    </row>
    <row r="7373" spans="29:36">
      <c r="AC7373" s="26"/>
      <c r="AE7373" s="26"/>
      <c r="AJ7373" s="26"/>
    </row>
    <row r="7374" spans="29:36">
      <c r="AC7374" s="26"/>
      <c r="AE7374" s="26"/>
      <c r="AJ7374" s="26"/>
    </row>
    <row r="7375" spans="29:36">
      <c r="AC7375" s="26"/>
      <c r="AE7375" s="26"/>
      <c r="AJ7375" s="26"/>
    </row>
    <row r="7376" spans="29:36">
      <c r="AC7376" s="26"/>
      <c r="AE7376" s="26"/>
      <c r="AJ7376" s="26"/>
    </row>
    <row r="7377" spans="29:36">
      <c r="AC7377" s="26"/>
      <c r="AE7377" s="26"/>
      <c r="AJ7377" s="26"/>
    </row>
    <row r="7378" spans="29:36">
      <c r="AC7378" s="26"/>
      <c r="AE7378" s="26"/>
      <c r="AJ7378" s="26"/>
    </row>
    <row r="7379" spans="29:36">
      <c r="AC7379" s="26"/>
      <c r="AE7379" s="26"/>
      <c r="AJ7379" s="26"/>
    </row>
    <row r="7380" spans="29:36">
      <c r="AC7380" s="26"/>
      <c r="AE7380" s="26"/>
      <c r="AJ7380" s="26"/>
    </row>
    <row r="7381" spans="29:36">
      <c r="AC7381" s="26"/>
      <c r="AE7381" s="26"/>
      <c r="AJ7381" s="26"/>
    </row>
    <row r="7382" spans="29:36">
      <c r="AC7382" s="26"/>
      <c r="AE7382" s="26"/>
      <c r="AJ7382" s="26"/>
    </row>
    <row r="7383" spans="29:36">
      <c r="AC7383" s="26"/>
      <c r="AE7383" s="26"/>
      <c r="AJ7383" s="26"/>
    </row>
    <row r="7384" spans="29:36">
      <c r="AC7384" s="26"/>
      <c r="AE7384" s="26"/>
      <c r="AJ7384" s="26"/>
    </row>
    <row r="7385" spans="29:36">
      <c r="AC7385" s="26"/>
      <c r="AE7385" s="26"/>
      <c r="AJ7385" s="26"/>
    </row>
    <row r="7386" spans="29:36">
      <c r="AC7386" s="26"/>
      <c r="AE7386" s="26"/>
      <c r="AJ7386" s="26"/>
    </row>
    <row r="7387" spans="29:36">
      <c r="AC7387" s="26"/>
      <c r="AE7387" s="26"/>
      <c r="AJ7387" s="26"/>
    </row>
    <row r="7388" spans="29:36">
      <c r="AC7388" s="26"/>
      <c r="AE7388" s="26"/>
      <c r="AJ7388" s="26"/>
    </row>
    <row r="7389" spans="29:36">
      <c r="AC7389" s="26"/>
      <c r="AE7389" s="26"/>
      <c r="AJ7389" s="26"/>
    </row>
    <row r="7390" spans="29:36">
      <c r="AC7390" s="26"/>
      <c r="AE7390" s="26"/>
      <c r="AJ7390" s="26"/>
    </row>
    <row r="7391" spans="29:36">
      <c r="AC7391" s="26"/>
      <c r="AE7391" s="26"/>
      <c r="AJ7391" s="26"/>
    </row>
    <row r="7392" spans="29:36">
      <c r="AC7392" s="26"/>
      <c r="AE7392" s="26"/>
      <c r="AJ7392" s="26"/>
    </row>
    <row r="7393" spans="29:36">
      <c r="AC7393" s="26"/>
      <c r="AE7393" s="26"/>
      <c r="AJ7393" s="26"/>
    </row>
    <row r="7394" spans="29:36">
      <c r="AC7394" s="26"/>
      <c r="AE7394" s="26"/>
      <c r="AJ7394" s="26"/>
    </row>
    <row r="7395" spans="29:36">
      <c r="AC7395" s="26"/>
      <c r="AE7395" s="26"/>
      <c r="AJ7395" s="26"/>
    </row>
    <row r="7396" spans="29:36">
      <c r="AC7396" s="26"/>
      <c r="AE7396" s="26"/>
      <c r="AJ7396" s="26"/>
    </row>
    <row r="7397" spans="29:36">
      <c r="AC7397" s="26"/>
      <c r="AE7397" s="26"/>
      <c r="AJ7397" s="26"/>
    </row>
    <row r="7398" spans="29:36">
      <c r="AC7398" s="26"/>
      <c r="AE7398" s="26"/>
      <c r="AJ7398" s="26"/>
    </row>
    <row r="7399" spans="29:36">
      <c r="AC7399" s="26"/>
      <c r="AE7399" s="26"/>
      <c r="AJ7399" s="26"/>
    </row>
    <row r="7400" spans="29:36">
      <c r="AC7400" s="26"/>
      <c r="AE7400" s="26"/>
      <c r="AJ7400" s="26"/>
    </row>
    <row r="7401" spans="29:36">
      <c r="AC7401" s="26"/>
      <c r="AE7401" s="26"/>
      <c r="AJ7401" s="26"/>
    </row>
    <row r="7402" spans="29:36">
      <c r="AC7402" s="26"/>
      <c r="AE7402" s="26"/>
      <c r="AJ7402" s="26"/>
    </row>
    <row r="7403" spans="29:36">
      <c r="AC7403" s="26"/>
      <c r="AE7403" s="26"/>
      <c r="AJ7403" s="26"/>
    </row>
    <row r="7404" spans="29:36">
      <c r="AC7404" s="26"/>
      <c r="AE7404" s="26"/>
      <c r="AJ7404" s="26"/>
    </row>
    <row r="7405" spans="29:36">
      <c r="AC7405" s="26"/>
      <c r="AE7405" s="26"/>
      <c r="AJ7405" s="26"/>
    </row>
    <row r="7406" spans="29:36">
      <c r="AC7406" s="26"/>
      <c r="AE7406" s="26"/>
      <c r="AJ7406" s="26"/>
    </row>
    <row r="7407" spans="29:36">
      <c r="AC7407" s="26"/>
      <c r="AE7407" s="26"/>
      <c r="AJ7407" s="26"/>
    </row>
    <row r="7408" spans="29:36">
      <c r="AC7408" s="26"/>
      <c r="AE7408" s="26"/>
      <c r="AJ7408" s="26"/>
    </row>
    <row r="7409" spans="29:36">
      <c r="AC7409" s="26"/>
      <c r="AE7409" s="26"/>
      <c r="AJ7409" s="26"/>
    </row>
    <row r="7410" spans="29:36">
      <c r="AC7410" s="26"/>
      <c r="AE7410" s="26"/>
      <c r="AJ7410" s="26"/>
    </row>
    <row r="7411" spans="29:36">
      <c r="AC7411" s="26"/>
      <c r="AE7411" s="26"/>
      <c r="AJ7411" s="26"/>
    </row>
    <row r="7412" spans="29:36">
      <c r="AC7412" s="26"/>
      <c r="AE7412" s="26"/>
      <c r="AJ7412" s="26"/>
    </row>
    <row r="7413" spans="29:36">
      <c r="AC7413" s="26"/>
      <c r="AE7413" s="26"/>
      <c r="AJ7413" s="26"/>
    </row>
    <row r="7414" spans="29:36">
      <c r="AC7414" s="26"/>
      <c r="AE7414" s="26"/>
      <c r="AJ7414" s="26"/>
    </row>
    <row r="7415" spans="29:36">
      <c r="AC7415" s="26"/>
      <c r="AE7415" s="26"/>
      <c r="AJ7415" s="26"/>
    </row>
    <row r="7416" spans="29:36">
      <c r="AC7416" s="26"/>
      <c r="AE7416" s="26"/>
      <c r="AJ7416" s="26"/>
    </row>
    <row r="7417" spans="29:36">
      <c r="AC7417" s="26"/>
      <c r="AE7417" s="26"/>
      <c r="AJ7417" s="26"/>
    </row>
    <row r="7418" spans="29:36">
      <c r="AC7418" s="26"/>
      <c r="AE7418" s="26"/>
      <c r="AJ7418" s="26"/>
    </row>
    <row r="7419" spans="29:36">
      <c r="AC7419" s="26"/>
      <c r="AE7419" s="26"/>
      <c r="AJ7419" s="26"/>
    </row>
    <row r="7420" spans="29:36">
      <c r="AC7420" s="26"/>
      <c r="AE7420" s="26"/>
      <c r="AJ7420" s="26"/>
    </row>
    <row r="7421" spans="29:36">
      <c r="AC7421" s="26"/>
      <c r="AE7421" s="26"/>
      <c r="AJ7421" s="26"/>
    </row>
    <row r="7422" spans="29:36">
      <c r="AC7422" s="26"/>
      <c r="AE7422" s="26"/>
      <c r="AJ7422" s="26"/>
    </row>
    <row r="7423" spans="29:36">
      <c r="AC7423" s="26"/>
      <c r="AE7423" s="26"/>
      <c r="AJ7423" s="26"/>
    </row>
    <row r="7424" spans="29:36">
      <c r="AC7424" s="26"/>
      <c r="AE7424" s="26"/>
      <c r="AJ7424" s="26"/>
    </row>
    <row r="7425" spans="29:36">
      <c r="AC7425" s="26"/>
      <c r="AE7425" s="26"/>
      <c r="AJ7425" s="26"/>
    </row>
    <row r="7426" spans="29:36">
      <c r="AC7426" s="26"/>
      <c r="AE7426" s="26"/>
      <c r="AJ7426" s="26"/>
    </row>
    <row r="7427" spans="29:36">
      <c r="AC7427" s="26"/>
      <c r="AE7427" s="26"/>
      <c r="AJ7427" s="26"/>
    </row>
    <row r="7428" spans="29:36">
      <c r="AC7428" s="26"/>
      <c r="AE7428" s="26"/>
      <c r="AJ7428" s="26"/>
    </row>
    <row r="7429" spans="29:36">
      <c r="AC7429" s="26"/>
      <c r="AE7429" s="26"/>
      <c r="AJ7429" s="26"/>
    </row>
    <row r="7430" spans="29:36">
      <c r="AC7430" s="26"/>
      <c r="AE7430" s="26"/>
      <c r="AJ7430" s="26"/>
    </row>
    <row r="7431" spans="29:36">
      <c r="AC7431" s="26"/>
      <c r="AE7431" s="26"/>
      <c r="AJ7431" s="26"/>
    </row>
    <row r="7432" spans="29:36">
      <c r="AC7432" s="26"/>
      <c r="AE7432" s="26"/>
      <c r="AJ7432" s="26"/>
    </row>
    <row r="7433" spans="29:36">
      <c r="AC7433" s="26"/>
      <c r="AE7433" s="26"/>
      <c r="AJ7433" s="26"/>
    </row>
    <row r="7434" spans="29:36">
      <c r="AC7434" s="26"/>
      <c r="AE7434" s="26"/>
      <c r="AJ7434" s="26"/>
    </row>
    <row r="7435" spans="29:36">
      <c r="AC7435" s="26"/>
      <c r="AE7435" s="26"/>
      <c r="AJ7435" s="26"/>
    </row>
    <row r="7436" spans="29:36">
      <c r="AC7436" s="26"/>
      <c r="AE7436" s="26"/>
      <c r="AJ7436" s="26"/>
    </row>
    <row r="7437" spans="29:36">
      <c r="AC7437" s="26"/>
      <c r="AE7437" s="26"/>
      <c r="AJ7437" s="26"/>
    </row>
    <row r="7438" spans="29:36">
      <c r="AC7438" s="26"/>
      <c r="AE7438" s="26"/>
      <c r="AJ7438" s="26"/>
    </row>
    <row r="7439" spans="29:36">
      <c r="AC7439" s="26"/>
      <c r="AE7439" s="26"/>
      <c r="AJ7439" s="26"/>
    </row>
    <row r="7440" spans="29:36">
      <c r="AC7440" s="26"/>
      <c r="AE7440" s="26"/>
      <c r="AJ7440" s="26"/>
    </row>
    <row r="7441" spans="29:36">
      <c r="AC7441" s="26"/>
      <c r="AE7441" s="26"/>
      <c r="AJ7441" s="26"/>
    </row>
    <row r="7442" spans="29:36">
      <c r="AC7442" s="26"/>
      <c r="AE7442" s="26"/>
      <c r="AJ7442" s="26"/>
    </row>
    <row r="7443" spans="29:36">
      <c r="AC7443" s="26"/>
      <c r="AE7443" s="26"/>
      <c r="AJ7443" s="26"/>
    </row>
    <row r="7444" spans="29:36">
      <c r="AC7444" s="26"/>
      <c r="AE7444" s="26"/>
      <c r="AJ7444" s="26"/>
    </row>
    <row r="7445" spans="29:36">
      <c r="AC7445" s="26"/>
      <c r="AE7445" s="26"/>
      <c r="AJ7445" s="26"/>
    </row>
    <row r="7446" spans="29:36">
      <c r="AC7446" s="26"/>
      <c r="AE7446" s="26"/>
      <c r="AJ7446" s="26"/>
    </row>
    <row r="7447" spans="29:36">
      <c r="AC7447" s="26"/>
      <c r="AE7447" s="26"/>
      <c r="AJ7447" s="26"/>
    </row>
    <row r="7448" spans="29:36">
      <c r="AC7448" s="26"/>
      <c r="AE7448" s="26"/>
      <c r="AJ7448" s="26"/>
    </row>
    <row r="7449" spans="29:36">
      <c r="AC7449" s="26"/>
      <c r="AE7449" s="26"/>
      <c r="AJ7449" s="26"/>
    </row>
    <row r="7450" spans="29:36">
      <c r="AC7450" s="26"/>
      <c r="AE7450" s="26"/>
      <c r="AJ7450" s="26"/>
    </row>
    <row r="7451" spans="29:36">
      <c r="AC7451" s="26"/>
      <c r="AE7451" s="26"/>
      <c r="AJ7451" s="26"/>
    </row>
    <row r="7452" spans="29:36">
      <c r="AC7452" s="26"/>
      <c r="AE7452" s="26"/>
      <c r="AJ7452" s="26"/>
    </row>
    <row r="7453" spans="29:36">
      <c r="AC7453" s="26"/>
      <c r="AE7453" s="26"/>
      <c r="AJ7453" s="26"/>
    </row>
    <row r="7454" spans="29:36">
      <c r="AC7454" s="26"/>
      <c r="AE7454" s="26"/>
      <c r="AJ7454" s="26"/>
    </row>
    <row r="7455" spans="29:36">
      <c r="AC7455" s="26"/>
      <c r="AE7455" s="26"/>
      <c r="AJ7455" s="26"/>
    </row>
    <row r="7456" spans="29:36">
      <c r="AC7456" s="26"/>
      <c r="AE7456" s="26"/>
      <c r="AJ7456" s="26"/>
    </row>
    <row r="7457" spans="29:36">
      <c r="AC7457" s="26"/>
      <c r="AE7457" s="26"/>
      <c r="AJ7457" s="26"/>
    </row>
    <row r="7458" spans="29:36">
      <c r="AC7458" s="26"/>
      <c r="AE7458" s="26"/>
      <c r="AJ7458" s="26"/>
    </row>
    <row r="7459" spans="29:36">
      <c r="AC7459" s="26"/>
      <c r="AE7459" s="26"/>
      <c r="AJ7459" s="26"/>
    </row>
    <row r="7460" spans="29:36">
      <c r="AC7460" s="26"/>
      <c r="AE7460" s="26"/>
      <c r="AJ7460" s="26"/>
    </row>
    <row r="7461" spans="29:36">
      <c r="AC7461" s="26"/>
      <c r="AE7461" s="26"/>
      <c r="AJ7461" s="26"/>
    </row>
    <row r="7462" spans="29:36">
      <c r="AC7462" s="26"/>
      <c r="AE7462" s="26"/>
      <c r="AJ7462" s="26"/>
    </row>
    <row r="7463" spans="29:36">
      <c r="AC7463" s="26"/>
      <c r="AE7463" s="26"/>
      <c r="AJ7463" s="26"/>
    </row>
    <row r="7464" spans="29:36">
      <c r="AC7464" s="26"/>
      <c r="AE7464" s="26"/>
      <c r="AJ7464" s="26"/>
    </row>
    <row r="7465" spans="29:36">
      <c r="AC7465" s="26"/>
      <c r="AE7465" s="26"/>
      <c r="AJ7465" s="26"/>
    </row>
    <row r="7466" spans="29:36">
      <c r="AC7466" s="26"/>
      <c r="AE7466" s="26"/>
      <c r="AJ7466" s="26"/>
    </row>
    <row r="7467" spans="29:36">
      <c r="AC7467" s="26"/>
      <c r="AE7467" s="26"/>
      <c r="AJ7467" s="26"/>
    </row>
    <row r="7468" spans="29:36">
      <c r="AC7468" s="26"/>
      <c r="AE7468" s="26"/>
      <c r="AJ7468" s="26"/>
    </row>
    <row r="7469" spans="29:36">
      <c r="AC7469" s="26"/>
      <c r="AE7469" s="26"/>
      <c r="AJ7469" s="26"/>
    </row>
    <row r="7470" spans="29:36">
      <c r="AC7470" s="26"/>
      <c r="AE7470" s="26"/>
      <c r="AJ7470" s="26"/>
    </row>
    <row r="7471" spans="29:36">
      <c r="AC7471" s="26"/>
      <c r="AE7471" s="26"/>
      <c r="AJ7471" s="26"/>
    </row>
    <row r="7472" spans="29:36">
      <c r="AC7472" s="26"/>
      <c r="AE7472" s="26"/>
      <c r="AJ7472" s="26"/>
    </row>
    <row r="7473" spans="29:36">
      <c r="AC7473" s="26"/>
      <c r="AE7473" s="26"/>
      <c r="AJ7473" s="26"/>
    </row>
    <row r="7474" spans="29:36">
      <c r="AC7474" s="26"/>
      <c r="AE7474" s="26"/>
      <c r="AJ7474" s="26"/>
    </row>
    <row r="7475" spans="29:36">
      <c r="AC7475" s="26"/>
      <c r="AE7475" s="26"/>
      <c r="AJ7475" s="26"/>
    </row>
    <row r="7476" spans="29:36">
      <c r="AC7476" s="26"/>
      <c r="AE7476" s="26"/>
      <c r="AJ7476" s="26"/>
    </row>
    <row r="7477" spans="29:36">
      <c r="AC7477" s="26"/>
      <c r="AE7477" s="26"/>
      <c r="AJ7477" s="26"/>
    </row>
    <row r="7478" spans="29:36">
      <c r="AC7478" s="26"/>
      <c r="AE7478" s="26"/>
      <c r="AJ7478" s="26"/>
    </row>
    <row r="7479" spans="29:36">
      <c r="AC7479" s="26"/>
      <c r="AE7479" s="26"/>
      <c r="AJ7479" s="26"/>
    </row>
    <row r="7480" spans="29:36">
      <c r="AC7480" s="26"/>
      <c r="AE7480" s="26"/>
      <c r="AJ7480" s="26"/>
    </row>
    <row r="7481" spans="29:36">
      <c r="AC7481" s="26"/>
      <c r="AE7481" s="26"/>
      <c r="AJ7481" s="26"/>
    </row>
    <row r="7482" spans="29:36">
      <c r="AC7482" s="26"/>
      <c r="AE7482" s="26"/>
      <c r="AJ7482" s="26"/>
    </row>
    <row r="7483" spans="29:36">
      <c r="AC7483" s="26"/>
      <c r="AE7483" s="26"/>
      <c r="AJ7483" s="26"/>
    </row>
    <row r="7484" spans="29:36">
      <c r="AC7484" s="26"/>
      <c r="AE7484" s="26"/>
      <c r="AJ7484" s="26"/>
    </row>
    <row r="7485" spans="29:36">
      <c r="AC7485" s="26"/>
      <c r="AE7485" s="26"/>
      <c r="AJ7485" s="26"/>
    </row>
    <row r="7486" spans="29:36">
      <c r="AC7486" s="26"/>
      <c r="AE7486" s="26"/>
      <c r="AJ7486" s="26"/>
    </row>
    <row r="7487" spans="29:36">
      <c r="AC7487" s="26"/>
      <c r="AE7487" s="26"/>
      <c r="AJ7487" s="26"/>
    </row>
    <row r="7488" spans="29:36">
      <c r="AC7488" s="26"/>
      <c r="AE7488" s="26"/>
      <c r="AJ7488" s="26"/>
    </row>
    <row r="7489" spans="29:36">
      <c r="AC7489" s="26"/>
      <c r="AE7489" s="26"/>
      <c r="AJ7489" s="26"/>
    </row>
    <row r="7490" spans="29:36">
      <c r="AC7490" s="26"/>
      <c r="AE7490" s="26"/>
      <c r="AJ7490" s="26"/>
    </row>
    <row r="7491" spans="29:36">
      <c r="AC7491" s="26"/>
      <c r="AE7491" s="26"/>
      <c r="AJ7491" s="26"/>
    </row>
    <row r="7492" spans="29:36">
      <c r="AC7492" s="26"/>
      <c r="AE7492" s="26"/>
      <c r="AJ7492" s="26"/>
    </row>
    <row r="7493" spans="29:36">
      <c r="AC7493" s="26"/>
      <c r="AE7493" s="26"/>
      <c r="AJ7493" s="26"/>
    </row>
    <row r="7494" spans="29:36">
      <c r="AC7494" s="26"/>
      <c r="AE7494" s="26"/>
      <c r="AJ7494" s="26"/>
    </row>
    <row r="7495" spans="29:36">
      <c r="AC7495" s="26"/>
      <c r="AE7495" s="26"/>
      <c r="AJ7495" s="26"/>
    </row>
    <row r="7496" spans="29:36">
      <c r="AC7496" s="26"/>
      <c r="AE7496" s="26"/>
      <c r="AJ7496" s="26"/>
    </row>
    <row r="7497" spans="29:36">
      <c r="AC7497" s="26"/>
      <c r="AE7497" s="26"/>
      <c r="AJ7497" s="26"/>
    </row>
    <row r="7498" spans="29:36">
      <c r="AC7498" s="26"/>
      <c r="AE7498" s="26"/>
      <c r="AJ7498" s="26"/>
    </row>
    <row r="7499" spans="29:36">
      <c r="AC7499" s="26"/>
      <c r="AE7499" s="26"/>
      <c r="AJ7499" s="26"/>
    </row>
    <row r="7500" spans="29:36">
      <c r="AC7500" s="26"/>
      <c r="AE7500" s="26"/>
      <c r="AJ7500" s="26"/>
    </row>
    <row r="7501" spans="29:36">
      <c r="AC7501" s="26"/>
      <c r="AE7501" s="26"/>
      <c r="AJ7501" s="26"/>
    </row>
    <row r="7502" spans="29:36">
      <c r="AC7502" s="26"/>
      <c r="AE7502" s="26"/>
      <c r="AJ7502" s="26"/>
    </row>
    <row r="7503" spans="29:36">
      <c r="AC7503" s="26"/>
      <c r="AE7503" s="26"/>
      <c r="AJ7503" s="26"/>
    </row>
    <row r="7504" spans="29:36">
      <c r="AC7504" s="26"/>
      <c r="AE7504" s="26"/>
      <c r="AJ7504" s="26"/>
    </row>
    <row r="7505" spans="29:36">
      <c r="AC7505" s="26"/>
      <c r="AE7505" s="26"/>
      <c r="AJ7505" s="26"/>
    </row>
    <row r="7506" spans="29:36">
      <c r="AC7506" s="26"/>
      <c r="AE7506" s="26"/>
      <c r="AJ7506" s="26"/>
    </row>
    <row r="7507" spans="29:36">
      <c r="AC7507" s="26"/>
      <c r="AE7507" s="26"/>
      <c r="AJ7507" s="26"/>
    </row>
    <row r="7508" spans="29:36">
      <c r="AC7508" s="26"/>
      <c r="AE7508" s="26"/>
      <c r="AJ7508" s="26"/>
    </row>
    <row r="7509" spans="29:36">
      <c r="AC7509" s="26"/>
      <c r="AE7509" s="26"/>
      <c r="AJ7509" s="26"/>
    </row>
    <row r="7510" spans="29:36">
      <c r="AC7510" s="26"/>
      <c r="AE7510" s="26"/>
      <c r="AJ7510" s="26"/>
    </row>
    <row r="7511" spans="29:36">
      <c r="AC7511" s="26"/>
      <c r="AE7511" s="26"/>
      <c r="AJ7511" s="26"/>
    </row>
    <row r="7512" spans="29:36">
      <c r="AC7512" s="26"/>
      <c r="AE7512" s="26"/>
      <c r="AJ7512" s="26"/>
    </row>
    <row r="7513" spans="29:36">
      <c r="AC7513" s="26"/>
      <c r="AE7513" s="26"/>
      <c r="AJ7513" s="26"/>
    </row>
    <row r="7514" spans="29:36">
      <c r="AC7514" s="26"/>
      <c r="AE7514" s="26"/>
      <c r="AJ7514" s="26"/>
    </row>
    <row r="7515" spans="29:36">
      <c r="AC7515" s="26"/>
      <c r="AE7515" s="26"/>
      <c r="AJ7515" s="26"/>
    </row>
    <row r="7516" spans="29:36">
      <c r="AC7516" s="26"/>
      <c r="AE7516" s="26"/>
      <c r="AJ7516" s="26"/>
    </row>
    <row r="7517" spans="29:36">
      <c r="AC7517" s="26"/>
      <c r="AE7517" s="26"/>
      <c r="AJ7517" s="26"/>
    </row>
    <row r="7518" spans="29:36">
      <c r="AC7518" s="26"/>
      <c r="AE7518" s="26"/>
      <c r="AJ7518" s="26"/>
    </row>
    <row r="7519" spans="29:36">
      <c r="AC7519" s="26"/>
      <c r="AE7519" s="26"/>
      <c r="AJ7519" s="26"/>
    </row>
    <row r="7520" spans="29:36">
      <c r="AC7520" s="26"/>
      <c r="AE7520" s="26"/>
      <c r="AJ7520" s="26"/>
    </row>
    <row r="7521" spans="29:36">
      <c r="AC7521" s="26"/>
      <c r="AE7521" s="26"/>
      <c r="AJ7521" s="26"/>
    </row>
    <row r="7522" spans="29:36">
      <c r="AC7522" s="26"/>
      <c r="AE7522" s="26"/>
      <c r="AJ7522" s="26"/>
    </row>
    <row r="7523" spans="29:36">
      <c r="AC7523" s="26"/>
      <c r="AE7523" s="26"/>
      <c r="AJ7523" s="26"/>
    </row>
    <row r="7524" spans="29:36">
      <c r="AC7524" s="26"/>
      <c r="AE7524" s="26"/>
      <c r="AJ7524" s="26"/>
    </row>
    <row r="7525" spans="29:36">
      <c r="AC7525" s="26"/>
      <c r="AE7525" s="26"/>
      <c r="AJ7525" s="26"/>
    </row>
    <row r="7526" spans="29:36">
      <c r="AC7526" s="26"/>
      <c r="AE7526" s="26"/>
      <c r="AJ7526" s="26"/>
    </row>
    <row r="7527" spans="29:36">
      <c r="AC7527" s="26"/>
      <c r="AE7527" s="26"/>
      <c r="AJ7527" s="26"/>
    </row>
    <row r="7528" spans="29:36">
      <c r="AC7528" s="26"/>
      <c r="AE7528" s="26"/>
      <c r="AJ7528" s="26"/>
    </row>
    <row r="7529" spans="29:36">
      <c r="AC7529" s="26"/>
      <c r="AE7529" s="26"/>
      <c r="AJ7529" s="26"/>
    </row>
    <row r="7530" spans="29:36">
      <c r="AC7530" s="26"/>
      <c r="AE7530" s="26"/>
      <c r="AJ7530" s="26"/>
    </row>
    <row r="7531" spans="29:36">
      <c r="AC7531" s="26"/>
      <c r="AE7531" s="26"/>
      <c r="AJ7531" s="26"/>
    </row>
    <row r="7532" spans="29:36">
      <c r="AC7532" s="26"/>
      <c r="AE7532" s="26"/>
      <c r="AJ7532" s="26"/>
    </row>
    <row r="7533" spans="29:36">
      <c r="AC7533" s="26"/>
      <c r="AE7533" s="26"/>
      <c r="AJ7533" s="26"/>
    </row>
    <row r="7534" spans="29:36">
      <c r="AC7534" s="26"/>
      <c r="AE7534" s="26"/>
      <c r="AJ7534" s="26"/>
    </row>
    <row r="7535" spans="29:36">
      <c r="AC7535" s="26"/>
      <c r="AE7535" s="26"/>
      <c r="AJ7535" s="26"/>
    </row>
    <row r="7536" spans="29:36">
      <c r="AC7536" s="26"/>
      <c r="AE7536" s="26"/>
      <c r="AJ7536" s="26"/>
    </row>
    <row r="7537" spans="29:36">
      <c r="AC7537" s="26"/>
      <c r="AE7537" s="26"/>
      <c r="AJ7537" s="26"/>
    </row>
    <row r="7538" spans="29:36">
      <c r="AC7538" s="26"/>
      <c r="AE7538" s="26"/>
      <c r="AJ7538" s="26"/>
    </row>
    <row r="7539" spans="29:36">
      <c r="AC7539" s="26"/>
      <c r="AE7539" s="26"/>
      <c r="AJ7539" s="26"/>
    </row>
    <row r="7540" spans="29:36">
      <c r="AC7540" s="26"/>
      <c r="AE7540" s="26"/>
      <c r="AJ7540" s="26"/>
    </row>
    <row r="7541" spans="29:36">
      <c r="AC7541" s="26"/>
      <c r="AE7541" s="26"/>
      <c r="AJ7541" s="26"/>
    </row>
    <row r="7542" spans="29:36">
      <c r="AC7542" s="26"/>
      <c r="AE7542" s="26"/>
      <c r="AJ7542" s="26"/>
    </row>
    <row r="7543" spans="29:36">
      <c r="AC7543" s="26"/>
      <c r="AE7543" s="26"/>
      <c r="AJ7543" s="26"/>
    </row>
    <row r="7544" spans="29:36">
      <c r="AC7544" s="26"/>
      <c r="AE7544" s="26"/>
      <c r="AJ7544" s="26"/>
    </row>
    <row r="7545" spans="29:36">
      <c r="AC7545" s="26"/>
      <c r="AE7545" s="26"/>
      <c r="AJ7545" s="26"/>
    </row>
    <row r="7546" spans="29:36">
      <c r="AC7546" s="26"/>
      <c r="AE7546" s="26"/>
      <c r="AJ7546" s="26"/>
    </row>
    <row r="7547" spans="29:36">
      <c r="AC7547" s="26"/>
      <c r="AE7547" s="26"/>
      <c r="AJ7547" s="26"/>
    </row>
    <row r="7548" spans="29:36">
      <c r="AC7548" s="26"/>
      <c r="AE7548" s="26"/>
      <c r="AJ7548" s="26"/>
    </row>
    <row r="7549" spans="29:36">
      <c r="AC7549" s="26"/>
      <c r="AE7549" s="26"/>
      <c r="AJ7549" s="26"/>
    </row>
    <row r="7550" spans="29:36">
      <c r="AC7550" s="26"/>
      <c r="AE7550" s="26"/>
      <c r="AJ7550" s="26"/>
    </row>
    <row r="7551" spans="29:36">
      <c r="AC7551" s="26"/>
      <c r="AE7551" s="26"/>
      <c r="AJ7551" s="26"/>
    </row>
    <row r="7552" spans="29:36">
      <c r="AC7552" s="26"/>
      <c r="AE7552" s="26"/>
      <c r="AJ7552" s="26"/>
    </row>
    <row r="7553" spans="29:36">
      <c r="AC7553" s="26"/>
      <c r="AE7553" s="26"/>
      <c r="AJ7553" s="26"/>
    </row>
    <row r="7554" spans="29:36">
      <c r="AC7554" s="26"/>
      <c r="AE7554" s="26"/>
      <c r="AJ7554" s="26"/>
    </row>
    <row r="7555" spans="29:36">
      <c r="AC7555" s="26"/>
      <c r="AE7555" s="26"/>
      <c r="AJ7555" s="26"/>
    </row>
    <row r="7556" spans="29:36">
      <c r="AC7556" s="26"/>
      <c r="AE7556" s="26"/>
      <c r="AJ7556" s="26"/>
    </row>
    <row r="7557" spans="29:36">
      <c r="AC7557" s="26"/>
      <c r="AE7557" s="26"/>
      <c r="AJ7557" s="26"/>
    </row>
    <row r="7558" spans="29:36">
      <c r="AC7558" s="26"/>
      <c r="AE7558" s="26"/>
      <c r="AJ7558" s="26"/>
    </row>
    <row r="7559" spans="29:36">
      <c r="AC7559" s="26"/>
      <c r="AE7559" s="26"/>
      <c r="AJ7559" s="26"/>
    </row>
    <row r="7560" spans="29:36">
      <c r="AC7560" s="26"/>
      <c r="AE7560" s="26"/>
      <c r="AJ7560" s="26"/>
    </row>
    <row r="7561" spans="29:36">
      <c r="AC7561" s="26"/>
      <c r="AE7561" s="26"/>
      <c r="AJ7561" s="26"/>
    </row>
    <row r="7562" spans="29:36">
      <c r="AC7562" s="26"/>
      <c r="AE7562" s="26"/>
      <c r="AJ7562" s="26"/>
    </row>
    <row r="7563" spans="29:36">
      <c r="AC7563" s="26"/>
      <c r="AE7563" s="26"/>
      <c r="AJ7563" s="26"/>
    </row>
    <row r="7564" spans="29:36">
      <c r="AC7564" s="26"/>
      <c r="AE7564" s="26"/>
      <c r="AJ7564" s="26"/>
    </row>
    <row r="7565" spans="29:36">
      <c r="AC7565" s="26"/>
      <c r="AE7565" s="26"/>
      <c r="AJ7565" s="26"/>
    </row>
    <row r="7566" spans="29:36">
      <c r="AC7566" s="26"/>
      <c r="AE7566" s="26"/>
      <c r="AJ7566" s="26"/>
    </row>
    <row r="7567" spans="29:36">
      <c r="AC7567" s="26"/>
      <c r="AE7567" s="26"/>
      <c r="AJ7567" s="26"/>
    </row>
    <row r="7568" spans="29:36">
      <c r="AC7568" s="26"/>
      <c r="AE7568" s="26"/>
      <c r="AJ7568" s="26"/>
    </row>
    <row r="7569" spans="29:36">
      <c r="AC7569" s="26"/>
      <c r="AE7569" s="26"/>
      <c r="AJ7569" s="26"/>
    </row>
    <row r="7570" spans="29:36">
      <c r="AC7570" s="26"/>
      <c r="AE7570" s="26"/>
      <c r="AJ7570" s="26"/>
    </row>
    <row r="7571" spans="29:36">
      <c r="AC7571" s="26"/>
      <c r="AE7571" s="26"/>
      <c r="AJ7571" s="26"/>
    </row>
    <row r="7572" spans="29:36">
      <c r="AC7572" s="26"/>
      <c r="AE7572" s="26"/>
      <c r="AJ7572" s="26"/>
    </row>
    <row r="7573" spans="29:36">
      <c r="AC7573" s="26"/>
      <c r="AE7573" s="26"/>
      <c r="AJ7573" s="26"/>
    </row>
    <row r="7574" spans="29:36">
      <c r="AC7574" s="26"/>
      <c r="AE7574" s="26"/>
      <c r="AJ7574" s="26"/>
    </row>
    <row r="7575" spans="29:36">
      <c r="AC7575" s="26"/>
      <c r="AE7575" s="26"/>
      <c r="AJ7575" s="26"/>
    </row>
    <row r="7576" spans="29:36">
      <c r="AC7576" s="26"/>
      <c r="AE7576" s="26"/>
      <c r="AJ7576" s="26"/>
    </row>
    <row r="7577" spans="29:36">
      <c r="AC7577" s="26"/>
      <c r="AE7577" s="26"/>
      <c r="AJ7577" s="26"/>
    </row>
    <row r="7578" spans="29:36">
      <c r="AC7578" s="26"/>
      <c r="AE7578" s="26"/>
      <c r="AJ7578" s="26"/>
    </row>
    <row r="7579" spans="29:36">
      <c r="AC7579" s="26"/>
      <c r="AE7579" s="26"/>
      <c r="AJ7579" s="26"/>
    </row>
    <row r="7580" spans="29:36">
      <c r="AC7580" s="26"/>
      <c r="AE7580" s="26"/>
      <c r="AJ7580" s="26"/>
    </row>
    <row r="7581" spans="29:36">
      <c r="AC7581" s="26"/>
      <c r="AE7581" s="26"/>
      <c r="AJ7581" s="26"/>
    </row>
    <row r="7582" spans="29:36">
      <c r="AC7582" s="26"/>
      <c r="AE7582" s="26"/>
      <c r="AJ7582" s="26"/>
    </row>
    <row r="7583" spans="29:36">
      <c r="AC7583" s="26"/>
      <c r="AE7583" s="26"/>
      <c r="AJ7583" s="26"/>
    </row>
    <row r="7584" spans="29:36">
      <c r="AC7584" s="26"/>
      <c r="AE7584" s="26"/>
      <c r="AJ7584" s="26"/>
    </row>
    <row r="7585" spans="29:36">
      <c r="AC7585" s="26"/>
      <c r="AE7585" s="26"/>
      <c r="AJ7585" s="26"/>
    </row>
    <row r="7586" spans="29:36">
      <c r="AC7586" s="26"/>
      <c r="AE7586" s="26"/>
      <c r="AJ7586" s="26"/>
    </row>
    <row r="7587" spans="29:36">
      <c r="AC7587" s="26"/>
      <c r="AE7587" s="26"/>
      <c r="AJ7587" s="26"/>
    </row>
    <row r="7588" spans="29:36">
      <c r="AC7588" s="26"/>
      <c r="AE7588" s="26"/>
      <c r="AJ7588" s="26"/>
    </row>
    <row r="7589" spans="29:36">
      <c r="AC7589" s="26"/>
      <c r="AE7589" s="26"/>
      <c r="AJ7589" s="26"/>
    </row>
    <row r="7590" spans="29:36">
      <c r="AC7590" s="26"/>
      <c r="AE7590" s="26"/>
      <c r="AJ7590" s="26"/>
    </row>
    <row r="7591" spans="29:36">
      <c r="AC7591" s="26"/>
      <c r="AE7591" s="26"/>
      <c r="AJ7591" s="26"/>
    </row>
    <row r="7592" spans="29:36">
      <c r="AC7592" s="26"/>
      <c r="AE7592" s="26"/>
      <c r="AJ7592" s="26"/>
    </row>
    <row r="7593" spans="29:36">
      <c r="AC7593" s="26"/>
      <c r="AE7593" s="26"/>
      <c r="AJ7593" s="26"/>
    </row>
    <row r="7594" spans="29:36">
      <c r="AC7594" s="26"/>
      <c r="AE7594" s="26"/>
      <c r="AJ7594" s="26"/>
    </row>
    <row r="7595" spans="29:36">
      <c r="AC7595" s="26"/>
      <c r="AE7595" s="26"/>
      <c r="AJ7595" s="26"/>
    </row>
    <row r="7596" spans="29:36">
      <c r="AC7596" s="26"/>
      <c r="AE7596" s="26"/>
      <c r="AJ7596" s="26"/>
    </row>
    <row r="7597" spans="29:36">
      <c r="AC7597" s="26"/>
      <c r="AE7597" s="26"/>
      <c r="AJ7597" s="26"/>
    </row>
    <row r="7598" spans="29:36">
      <c r="AC7598" s="26"/>
      <c r="AE7598" s="26"/>
      <c r="AJ7598" s="26"/>
    </row>
    <row r="7599" spans="29:36">
      <c r="AC7599" s="26"/>
      <c r="AE7599" s="26"/>
      <c r="AJ7599" s="26"/>
    </row>
    <row r="7600" spans="29:36">
      <c r="AC7600" s="26"/>
      <c r="AE7600" s="26"/>
      <c r="AJ7600" s="26"/>
    </row>
    <row r="7601" spans="29:36">
      <c r="AC7601" s="26"/>
      <c r="AE7601" s="26"/>
      <c r="AJ7601" s="26"/>
    </row>
    <row r="7602" spans="29:36">
      <c r="AC7602" s="26"/>
      <c r="AE7602" s="26"/>
      <c r="AJ7602" s="26"/>
    </row>
    <row r="7603" spans="29:36">
      <c r="AC7603" s="26"/>
      <c r="AE7603" s="26"/>
      <c r="AJ7603" s="26"/>
    </row>
    <row r="7604" spans="29:36">
      <c r="AC7604" s="26"/>
      <c r="AE7604" s="26"/>
      <c r="AJ7604" s="26"/>
    </row>
    <row r="7605" spans="29:36">
      <c r="AC7605" s="26"/>
      <c r="AE7605" s="26"/>
      <c r="AJ7605" s="26"/>
    </row>
    <row r="7606" spans="29:36">
      <c r="AC7606" s="26"/>
      <c r="AE7606" s="26"/>
      <c r="AJ7606" s="26"/>
    </row>
    <row r="7607" spans="29:36">
      <c r="AC7607" s="26"/>
      <c r="AE7607" s="26"/>
      <c r="AJ7607" s="26"/>
    </row>
    <row r="7608" spans="29:36">
      <c r="AC7608" s="26"/>
      <c r="AE7608" s="26"/>
      <c r="AJ7608" s="26"/>
    </row>
    <row r="7609" spans="29:36">
      <c r="AC7609" s="26"/>
      <c r="AE7609" s="26"/>
      <c r="AJ7609" s="26"/>
    </row>
    <row r="7610" spans="29:36">
      <c r="AC7610" s="26"/>
      <c r="AE7610" s="26"/>
      <c r="AJ7610" s="26"/>
    </row>
    <row r="7611" spans="29:36">
      <c r="AC7611" s="26"/>
      <c r="AE7611" s="26"/>
      <c r="AJ7611" s="26"/>
    </row>
    <row r="7612" spans="29:36">
      <c r="AC7612" s="26"/>
      <c r="AE7612" s="26"/>
      <c r="AJ7612" s="26"/>
    </row>
    <row r="7613" spans="29:36">
      <c r="AC7613" s="26"/>
      <c r="AE7613" s="26"/>
      <c r="AJ7613" s="26"/>
    </row>
    <row r="7614" spans="29:36">
      <c r="AC7614" s="26"/>
      <c r="AE7614" s="26"/>
      <c r="AJ7614" s="26"/>
    </row>
    <row r="7615" spans="29:36">
      <c r="AC7615" s="26"/>
      <c r="AE7615" s="26"/>
      <c r="AJ7615" s="26"/>
    </row>
    <row r="7616" spans="29:36">
      <c r="AC7616" s="26"/>
      <c r="AE7616" s="26"/>
      <c r="AJ7616" s="26"/>
    </row>
    <row r="7617" spans="29:36">
      <c r="AC7617" s="26"/>
      <c r="AE7617" s="26"/>
      <c r="AJ7617" s="26"/>
    </row>
    <row r="7618" spans="29:36">
      <c r="AC7618" s="26"/>
      <c r="AE7618" s="26"/>
      <c r="AJ7618" s="26"/>
    </row>
    <row r="7619" spans="29:36">
      <c r="AC7619" s="26"/>
      <c r="AE7619" s="26"/>
      <c r="AJ7619" s="26"/>
    </row>
    <row r="7620" spans="29:36">
      <c r="AC7620" s="26"/>
      <c r="AE7620" s="26"/>
      <c r="AJ7620" s="26"/>
    </row>
    <row r="7621" spans="29:36">
      <c r="AC7621" s="26"/>
      <c r="AE7621" s="26"/>
      <c r="AJ7621" s="26"/>
    </row>
    <row r="7622" spans="29:36">
      <c r="AC7622" s="26"/>
      <c r="AE7622" s="26"/>
      <c r="AJ7622" s="26"/>
    </row>
    <row r="7623" spans="29:36">
      <c r="AC7623" s="26"/>
      <c r="AE7623" s="26"/>
      <c r="AJ7623" s="26"/>
    </row>
    <row r="7624" spans="29:36">
      <c r="AC7624" s="26"/>
      <c r="AE7624" s="26"/>
      <c r="AJ7624" s="26"/>
    </row>
    <row r="7625" spans="29:36">
      <c r="AC7625" s="26"/>
      <c r="AE7625" s="26"/>
      <c r="AJ7625" s="26"/>
    </row>
    <row r="7626" spans="29:36">
      <c r="AC7626" s="26"/>
      <c r="AE7626" s="26"/>
      <c r="AJ7626" s="26"/>
    </row>
    <row r="7627" spans="29:36">
      <c r="AC7627" s="26"/>
      <c r="AE7627" s="26"/>
      <c r="AJ7627" s="26"/>
    </row>
    <row r="7628" spans="29:36">
      <c r="AC7628" s="26"/>
      <c r="AE7628" s="26"/>
      <c r="AJ7628" s="26"/>
    </row>
    <row r="7629" spans="29:36">
      <c r="AC7629" s="26"/>
      <c r="AE7629" s="26"/>
      <c r="AJ7629" s="26"/>
    </row>
    <row r="7630" spans="29:36">
      <c r="AC7630" s="26"/>
      <c r="AE7630" s="26"/>
      <c r="AJ7630" s="26"/>
    </row>
    <row r="7631" spans="29:36">
      <c r="AC7631" s="26"/>
      <c r="AE7631" s="26"/>
      <c r="AJ7631" s="26"/>
    </row>
    <row r="7632" spans="29:36">
      <c r="AC7632" s="26"/>
      <c r="AE7632" s="26"/>
      <c r="AJ7632" s="26"/>
    </row>
    <row r="7633" spans="29:36">
      <c r="AC7633" s="26"/>
      <c r="AE7633" s="26"/>
      <c r="AJ7633" s="26"/>
    </row>
    <row r="7634" spans="29:36">
      <c r="AC7634" s="26"/>
      <c r="AE7634" s="26"/>
      <c r="AJ7634" s="26"/>
    </row>
    <row r="7635" spans="29:36">
      <c r="AC7635" s="26"/>
      <c r="AE7635" s="26"/>
      <c r="AJ7635" s="26"/>
    </row>
    <row r="7636" spans="29:36">
      <c r="AC7636" s="26"/>
      <c r="AE7636" s="26"/>
      <c r="AJ7636" s="26"/>
    </row>
    <row r="7637" spans="29:36">
      <c r="AC7637" s="26"/>
      <c r="AE7637" s="26"/>
      <c r="AJ7637" s="26"/>
    </row>
    <row r="7638" spans="29:36">
      <c r="AC7638" s="26"/>
      <c r="AE7638" s="26"/>
      <c r="AJ7638" s="26"/>
    </row>
    <row r="7639" spans="29:36">
      <c r="AC7639" s="26"/>
      <c r="AE7639" s="26"/>
      <c r="AJ7639" s="26"/>
    </row>
    <row r="7640" spans="29:36">
      <c r="AC7640" s="26"/>
      <c r="AE7640" s="26"/>
      <c r="AJ7640" s="26"/>
    </row>
    <row r="7641" spans="29:36">
      <c r="AC7641" s="26"/>
      <c r="AE7641" s="26"/>
      <c r="AJ7641" s="26"/>
    </row>
    <row r="7642" spans="29:36">
      <c r="AC7642" s="26"/>
      <c r="AE7642" s="26"/>
      <c r="AJ7642" s="26"/>
    </row>
    <row r="7643" spans="29:36">
      <c r="AC7643" s="26"/>
      <c r="AE7643" s="26"/>
      <c r="AJ7643" s="26"/>
    </row>
    <row r="7644" spans="29:36">
      <c r="AC7644" s="26"/>
      <c r="AE7644" s="26"/>
      <c r="AJ7644" s="26"/>
    </row>
    <row r="7645" spans="29:36">
      <c r="AC7645" s="26"/>
      <c r="AE7645" s="26"/>
      <c r="AJ7645" s="26"/>
    </row>
    <row r="7646" spans="29:36">
      <c r="AC7646" s="26"/>
      <c r="AE7646" s="26"/>
      <c r="AJ7646" s="26"/>
    </row>
    <row r="7647" spans="29:36">
      <c r="AC7647" s="26"/>
      <c r="AE7647" s="26"/>
      <c r="AJ7647" s="26"/>
    </row>
    <row r="7648" spans="29:36">
      <c r="AC7648" s="26"/>
      <c r="AE7648" s="26"/>
      <c r="AJ7648" s="26"/>
    </row>
    <row r="7649" spans="29:36">
      <c r="AC7649" s="26"/>
      <c r="AE7649" s="26"/>
      <c r="AJ7649" s="26"/>
    </row>
    <row r="7650" spans="29:36">
      <c r="AC7650" s="26"/>
      <c r="AE7650" s="26"/>
      <c r="AJ7650" s="26"/>
    </row>
    <row r="7651" spans="29:36">
      <c r="AC7651" s="26"/>
      <c r="AE7651" s="26"/>
      <c r="AJ7651" s="26"/>
    </row>
    <row r="7652" spans="29:36">
      <c r="AC7652" s="26"/>
      <c r="AE7652" s="26"/>
      <c r="AJ7652" s="26"/>
    </row>
    <row r="7653" spans="29:36">
      <c r="AC7653" s="26"/>
      <c r="AE7653" s="26"/>
      <c r="AJ7653" s="26"/>
    </row>
    <row r="7654" spans="29:36">
      <c r="AC7654" s="26"/>
      <c r="AE7654" s="26"/>
      <c r="AJ7654" s="26"/>
    </row>
    <row r="7655" spans="29:36">
      <c r="AC7655" s="26"/>
      <c r="AE7655" s="26"/>
      <c r="AJ7655" s="26"/>
    </row>
    <row r="7656" spans="29:36">
      <c r="AC7656" s="26"/>
      <c r="AE7656" s="26"/>
      <c r="AJ7656" s="26"/>
    </row>
    <row r="7657" spans="29:36">
      <c r="AC7657" s="26"/>
      <c r="AE7657" s="26"/>
      <c r="AJ7657" s="26"/>
    </row>
    <row r="7658" spans="29:36">
      <c r="AC7658" s="26"/>
      <c r="AE7658" s="26"/>
      <c r="AJ7658" s="26"/>
    </row>
    <row r="7659" spans="29:36">
      <c r="AC7659" s="26"/>
      <c r="AE7659" s="26"/>
      <c r="AJ7659" s="26"/>
    </row>
    <row r="7660" spans="29:36">
      <c r="AC7660" s="26"/>
      <c r="AE7660" s="26"/>
      <c r="AJ7660" s="26"/>
    </row>
    <row r="7661" spans="29:36">
      <c r="AC7661" s="26"/>
      <c r="AE7661" s="26"/>
      <c r="AJ7661" s="26"/>
    </row>
    <row r="7662" spans="29:36">
      <c r="AC7662" s="26"/>
      <c r="AE7662" s="26"/>
      <c r="AJ7662" s="26"/>
    </row>
    <row r="7663" spans="29:36">
      <c r="AC7663" s="26"/>
      <c r="AE7663" s="26"/>
      <c r="AJ7663" s="26"/>
    </row>
    <row r="7664" spans="29:36">
      <c r="AC7664" s="26"/>
      <c r="AE7664" s="26"/>
      <c r="AJ7664" s="26"/>
    </row>
    <row r="7665" spans="29:36">
      <c r="AC7665" s="26"/>
      <c r="AE7665" s="26"/>
      <c r="AJ7665" s="26"/>
    </row>
    <row r="7666" spans="29:36">
      <c r="AC7666" s="26"/>
      <c r="AE7666" s="26"/>
      <c r="AJ7666" s="26"/>
    </row>
    <row r="7667" spans="29:36">
      <c r="AC7667" s="26"/>
      <c r="AE7667" s="26"/>
      <c r="AJ7667" s="26"/>
    </row>
    <row r="7668" spans="29:36">
      <c r="AC7668" s="26"/>
      <c r="AE7668" s="26"/>
      <c r="AJ7668" s="26"/>
    </row>
    <row r="7669" spans="29:36">
      <c r="AC7669" s="26"/>
      <c r="AE7669" s="26"/>
      <c r="AJ7669" s="26"/>
    </row>
    <row r="7670" spans="29:36">
      <c r="AC7670" s="26"/>
      <c r="AE7670" s="26"/>
      <c r="AJ7670" s="26"/>
    </row>
    <row r="7671" spans="29:36">
      <c r="AC7671" s="26"/>
      <c r="AE7671" s="26"/>
      <c r="AJ7671" s="26"/>
    </row>
    <row r="7672" spans="29:36">
      <c r="AC7672" s="26"/>
      <c r="AE7672" s="26"/>
      <c r="AJ7672" s="26"/>
    </row>
    <row r="7673" spans="29:36">
      <c r="AC7673" s="26"/>
      <c r="AE7673" s="26"/>
      <c r="AJ7673" s="26"/>
    </row>
    <row r="7674" spans="29:36">
      <c r="AC7674" s="26"/>
      <c r="AE7674" s="26"/>
      <c r="AJ7674" s="26"/>
    </row>
    <row r="7675" spans="29:36">
      <c r="AC7675" s="26"/>
      <c r="AE7675" s="26"/>
      <c r="AJ7675" s="26"/>
    </row>
    <row r="7676" spans="29:36">
      <c r="AC7676" s="26"/>
      <c r="AE7676" s="26"/>
      <c r="AJ7676" s="26"/>
    </row>
    <row r="7677" spans="29:36">
      <c r="AC7677" s="26"/>
      <c r="AE7677" s="26"/>
      <c r="AJ7677" s="26"/>
    </row>
    <row r="7678" spans="29:36">
      <c r="AC7678" s="26"/>
      <c r="AE7678" s="26"/>
      <c r="AJ7678" s="26"/>
    </row>
    <row r="7679" spans="29:36">
      <c r="AC7679" s="26"/>
      <c r="AE7679" s="26"/>
      <c r="AJ7679" s="26"/>
    </row>
    <row r="7680" spans="29:36">
      <c r="AC7680" s="26"/>
      <c r="AE7680" s="26"/>
      <c r="AJ7680" s="26"/>
    </row>
    <row r="7681" spans="29:36">
      <c r="AC7681" s="26"/>
      <c r="AE7681" s="26"/>
      <c r="AJ7681" s="26"/>
    </row>
    <row r="7682" spans="29:36">
      <c r="AC7682" s="26"/>
      <c r="AE7682" s="26"/>
      <c r="AJ7682" s="26"/>
    </row>
    <row r="7683" spans="29:36">
      <c r="AC7683" s="26"/>
      <c r="AE7683" s="26"/>
      <c r="AJ7683" s="26"/>
    </row>
    <row r="7684" spans="29:36">
      <c r="AC7684" s="26"/>
      <c r="AE7684" s="26"/>
      <c r="AJ7684" s="26"/>
    </row>
    <row r="7685" spans="29:36">
      <c r="AC7685" s="26"/>
      <c r="AE7685" s="26"/>
      <c r="AJ7685" s="26"/>
    </row>
    <row r="7686" spans="29:36">
      <c r="AC7686" s="26"/>
      <c r="AE7686" s="26"/>
      <c r="AJ7686" s="26"/>
    </row>
    <row r="7687" spans="29:36">
      <c r="AC7687" s="26"/>
      <c r="AE7687" s="26"/>
      <c r="AJ7687" s="26"/>
    </row>
    <row r="7688" spans="29:36">
      <c r="AC7688" s="26"/>
      <c r="AE7688" s="26"/>
      <c r="AJ7688" s="26"/>
    </row>
    <row r="7689" spans="29:36">
      <c r="AC7689" s="26"/>
      <c r="AE7689" s="26"/>
      <c r="AJ7689" s="26"/>
    </row>
    <row r="7690" spans="29:36">
      <c r="AC7690" s="26"/>
      <c r="AE7690" s="26"/>
      <c r="AJ7690" s="26"/>
    </row>
    <row r="7691" spans="29:36">
      <c r="AC7691" s="26"/>
      <c r="AE7691" s="26"/>
      <c r="AJ7691" s="26"/>
    </row>
    <row r="7692" spans="29:36">
      <c r="AC7692" s="26"/>
      <c r="AE7692" s="26"/>
      <c r="AJ7692" s="26"/>
    </row>
    <row r="7693" spans="29:36">
      <c r="AC7693" s="26"/>
      <c r="AE7693" s="26"/>
      <c r="AJ7693" s="26"/>
    </row>
    <row r="7694" spans="29:36">
      <c r="AC7694" s="26"/>
      <c r="AE7694" s="26"/>
      <c r="AJ7694" s="26"/>
    </row>
    <row r="7695" spans="29:36">
      <c r="AC7695" s="26"/>
      <c r="AE7695" s="26"/>
      <c r="AJ7695" s="26"/>
    </row>
    <row r="7696" spans="29:36">
      <c r="AC7696" s="26"/>
      <c r="AE7696" s="26"/>
      <c r="AJ7696" s="26"/>
    </row>
    <row r="7697" spans="29:36">
      <c r="AC7697" s="26"/>
      <c r="AE7697" s="26"/>
      <c r="AJ7697" s="26"/>
    </row>
    <row r="7698" spans="29:36">
      <c r="AC7698" s="26"/>
      <c r="AE7698" s="26"/>
      <c r="AJ7698" s="26"/>
    </row>
    <row r="7699" spans="29:36">
      <c r="AC7699" s="26"/>
      <c r="AE7699" s="26"/>
      <c r="AJ7699" s="26"/>
    </row>
    <row r="7700" spans="29:36">
      <c r="AC7700" s="26"/>
      <c r="AE7700" s="26"/>
      <c r="AJ7700" s="26"/>
    </row>
    <row r="7701" spans="29:36">
      <c r="AC7701" s="26"/>
      <c r="AE7701" s="26"/>
      <c r="AJ7701" s="26"/>
    </row>
    <row r="7702" spans="29:36">
      <c r="AC7702" s="26"/>
      <c r="AE7702" s="26"/>
      <c r="AJ7702" s="26"/>
    </row>
    <row r="7703" spans="29:36">
      <c r="AC7703" s="26"/>
      <c r="AE7703" s="26"/>
      <c r="AJ7703" s="26"/>
    </row>
    <row r="7704" spans="29:36">
      <c r="AC7704" s="26"/>
      <c r="AE7704" s="26"/>
      <c r="AJ7704" s="26"/>
    </row>
    <row r="7705" spans="29:36">
      <c r="AC7705" s="26"/>
      <c r="AE7705" s="26"/>
      <c r="AJ7705" s="26"/>
    </row>
    <row r="7706" spans="29:36">
      <c r="AC7706" s="26"/>
      <c r="AE7706" s="26"/>
      <c r="AJ7706" s="26"/>
    </row>
    <row r="7707" spans="29:36">
      <c r="AC7707" s="26"/>
      <c r="AE7707" s="26"/>
      <c r="AJ7707" s="26"/>
    </row>
    <row r="7708" spans="29:36">
      <c r="AC7708" s="26"/>
      <c r="AE7708" s="26"/>
      <c r="AJ7708" s="26"/>
    </row>
    <row r="7709" spans="29:36">
      <c r="AC7709" s="26"/>
      <c r="AE7709" s="26"/>
      <c r="AJ7709" s="26"/>
    </row>
    <row r="7710" spans="29:36">
      <c r="AC7710" s="26"/>
      <c r="AE7710" s="26"/>
      <c r="AJ7710" s="26"/>
    </row>
    <row r="7711" spans="29:36">
      <c r="AC7711" s="26"/>
      <c r="AE7711" s="26"/>
      <c r="AJ7711" s="26"/>
    </row>
    <row r="7712" spans="29:36">
      <c r="AC7712" s="26"/>
      <c r="AE7712" s="26"/>
      <c r="AJ7712" s="26"/>
    </row>
    <row r="7713" spans="29:36">
      <c r="AC7713" s="26"/>
      <c r="AE7713" s="26"/>
      <c r="AJ7713" s="26"/>
    </row>
    <row r="7714" spans="29:36">
      <c r="AC7714" s="26"/>
      <c r="AE7714" s="26"/>
      <c r="AJ7714" s="26"/>
    </row>
    <row r="7715" spans="29:36">
      <c r="AC7715" s="26"/>
      <c r="AE7715" s="26"/>
      <c r="AJ7715" s="26"/>
    </row>
    <row r="7716" spans="29:36">
      <c r="AC7716" s="26"/>
      <c r="AE7716" s="26"/>
      <c r="AJ7716" s="26"/>
    </row>
    <row r="7717" spans="29:36">
      <c r="AC7717" s="26"/>
      <c r="AE7717" s="26"/>
      <c r="AJ7717" s="26"/>
    </row>
    <row r="7718" spans="29:36">
      <c r="AC7718" s="26"/>
      <c r="AE7718" s="26"/>
      <c r="AJ7718" s="26"/>
    </row>
    <row r="7719" spans="29:36">
      <c r="AC7719" s="26"/>
      <c r="AE7719" s="26"/>
      <c r="AJ7719" s="26"/>
    </row>
    <row r="7720" spans="29:36">
      <c r="AC7720" s="26"/>
      <c r="AE7720" s="26"/>
      <c r="AJ7720" s="26"/>
    </row>
    <row r="7721" spans="29:36">
      <c r="AC7721" s="26"/>
      <c r="AE7721" s="26"/>
      <c r="AJ7721" s="26"/>
    </row>
    <row r="7722" spans="29:36">
      <c r="AC7722" s="26"/>
      <c r="AE7722" s="26"/>
      <c r="AJ7722" s="26"/>
    </row>
    <row r="7723" spans="29:36">
      <c r="AC7723" s="26"/>
      <c r="AE7723" s="26"/>
      <c r="AJ7723" s="26"/>
    </row>
    <row r="7724" spans="29:36">
      <c r="AC7724" s="26"/>
      <c r="AE7724" s="26"/>
      <c r="AJ7724" s="26"/>
    </row>
    <row r="7725" spans="29:36">
      <c r="AC7725" s="26"/>
      <c r="AE7725" s="26"/>
      <c r="AJ7725" s="26"/>
    </row>
    <row r="7726" spans="29:36">
      <c r="AC7726" s="26"/>
      <c r="AE7726" s="26"/>
      <c r="AJ7726" s="26"/>
    </row>
    <row r="7727" spans="29:36">
      <c r="AC7727" s="26"/>
      <c r="AE7727" s="26"/>
      <c r="AJ7727" s="26"/>
    </row>
    <row r="7728" spans="29:36">
      <c r="AC7728" s="26"/>
      <c r="AE7728" s="26"/>
      <c r="AJ7728" s="26"/>
    </row>
    <row r="7729" spans="29:36">
      <c r="AC7729" s="26"/>
      <c r="AE7729" s="26"/>
      <c r="AJ7729" s="26"/>
    </row>
    <row r="7730" spans="29:36">
      <c r="AC7730" s="26"/>
      <c r="AE7730" s="26"/>
      <c r="AJ7730" s="26"/>
    </row>
    <row r="7731" spans="29:36">
      <c r="AC7731" s="26"/>
      <c r="AE7731" s="26"/>
      <c r="AJ7731" s="26"/>
    </row>
    <row r="7732" spans="29:36">
      <c r="AC7732" s="26"/>
      <c r="AE7732" s="26"/>
      <c r="AJ7732" s="26"/>
    </row>
    <row r="7733" spans="29:36">
      <c r="AC7733" s="26"/>
      <c r="AE7733" s="26"/>
      <c r="AJ7733" s="26"/>
    </row>
    <row r="7734" spans="29:36">
      <c r="AC7734" s="26"/>
      <c r="AE7734" s="26"/>
      <c r="AJ7734" s="26"/>
    </row>
    <row r="7735" spans="29:36">
      <c r="AC7735" s="26"/>
      <c r="AE7735" s="26"/>
      <c r="AJ7735" s="26"/>
    </row>
    <row r="7736" spans="29:36">
      <c r="AC7736" s="26"/>
      <c r="AE7736" s="26"/>
      <c r="AJ7736" s="26"/>
    </row>
    <row r="7737" spans="29:36">
      <c r="AC7737" s="26"/>
      <c r="AE7737" s="26"/>
      <c r="AJ7737" s="26"/>
    </row>
    <row r="7738" spans="29:36">
      <c r="AC7738" s="26"/>
      <c r="AE7738" s="26"/>
      <c r="AJ7738" s="26"/>
    </row>
    <row r="7739" spans="29:36">
      <c r="AC7739" s="26"/>
      <c r="AE7739" s="26"/>
      <c r="AJ7739" s="26"/>
    </row>
    <row r="7740" spans="29:36">
      <c r="AC7740" s="26"/>
      <c r="AE7740" s="26"/>
      <c r="AJ7740" s="26"/>
    </row>
    <row r="7741" spans="29:36">
      <c r="AC7741" s="26"/>
      <c r="AE7741" s="26"/>
      <c r="AJ7741" s="26"/>
    </row>
    <row r="7742" spans="29:36">
      <c r="AC7742" s="26"/>
      <c r="AE7742" s="26"/>
      <c r="AJ7742" s="26"/>
    </row>
    <row r="7743" spans="29:36">
      <c r="AC7743" s="26"/>
      <c r="AE7743" s="26"/>
      <c r="AJ7743" s="26"/>
    </row>
    <row r="7744" spans="29:36">
      <c r="AC7744" s="26"/>
      <c r="AE7744" s="26"/>
      <c r="AJ7744" s="26"/>
    </row>
    <row r="7745" spans="29:36">
      <c r="AC7745" s="26"/>
      <c r="AE7745" s="26"/>
      <c r="AJ7745" s="26"/>
    </row>
    <row r="7746" spans="29:36">
      <c r="AC7746" s="26"/>
      <c r="AE7746" s="26"/>
      <c r="AJ7746" s="26"/>
    </row>
    <row r="7747" spans="29:36">
      <c r="AC7747" s="26"/>
      <c r="AE7747" s="26"/>
      <c r="AJ7747" s="26"/>
    </row>
    <row r="7748" spans="29:36">
      <c r="AC7748" s="26"/>
      <c r="AE7748" s="26"/>
      <c r="AJ7748" s="26"/>
    </row>
    <row r="7749" spans="29:36">
      <c r="AC7749" s="26"/>
      <c r="AE7749" s="26"/>
      <c r="AJ7749" s="26"/>
    </row>
    <row r="7750" spans="29:36">
      <c r="AC7750" s="26"/>
      <c r="AE7750" s="26"/>
      <c r="AJ7750" s="26"/>
    </row>
    <row r="7751" spans="29:36">
      <c r="AC7751" s="26"/>
      <c r="AE7751" s="26"/>
      <c r="AJ7751" s="26"/>
    </row>
    <row r="7752" spans="29:36">
      <c r="AC7752" s="26"/>
      <c r="AE7752" s="26"/>
      <c r="AJ7752" s="26"/>
    </row>
    <row r="7753" spans="29:36">
      <c r="AC7753" s="26"/>
      <c r="AE7753" s="26"/>
      <c r="AJ7753" s="26"/>
    </row>
    <row r="7754" spans="29:36">
      <c r="AC7754" s="26"/>
      <c r="AE7754" s="26"/>
      <c r="AJ7754" s="26"/>
    </row>
    <row r="7755" spans="29:36">
      <c r="AC7755" s="26"/>
      <c r="AE7755" s="26"/>
      <c r="AJ7755" s="26"/>
    </row>
    <row r="7756" spans="29:36">
      <c r="AC7756" s="26"/>
      <c r="AE7756" s="26"/>
      <c r="AJ7756" s="26"/>
    </row>
    <row r="7757" spans="29:36">
      <c r="AC7757" s="26"/>
      <c r="AE7757" s="26"/>
      <c r="AJ7757" s="26"/>
    </row>
    <row r="7758" spans="29:36">
      <c r="AC7758" s="26"/>
      <c r="AE7758" s="26"/>
      <c r="AJ7758" s="26"/>
    </row>
    <row r="7759" spans="29:36">
      <c r="AC7759" s="26"/>
      <c r="AE7759" s="26"/>
      <c r="AJ7759" s="26"/>
    </row>
    <row r="7760" spans="29:36">
      <c r="AC7760" s="26"/>
      <c r="AE7760" s="26"/>
      <c r="AJ7760" s="26"/>
    </row>
    <row r="7761" spans="29:36">
      <c r="AC7761" s="26"/>
      <c r="AE7761" s="26"/>
      <c r="AJ7761" s="26"/>
    </row>
    <row r="7762" spans="29:36">
      <c r="AC7762" s="26"/>
      <c r="AE7762" s="26"/>
      <c r="AJ7762" s="26"/>
    </row>
    <row r="7763" spans="29:36">
      <c r="AC7763" s="26"/>
      <c r="AE7763" s="26"/>
      <c r="AJ7763" s="26"/>
    </row>
    <row r="7764" spans="29:36">
      <c r="AC7764" s="26"/>
      <c r="AE7764" s="26"/>
      <c r="AJ7764" s="26"/>
    </row>
    <row r="7765" spans="29:36">
      <c r="AC7765" s="26"/>
      <c r="AE7765" s="26"/>
      <c r="AJ7765" s="26"/>
    </row>
    <row r="7766" spans="29:36">
      <c r="AC7766" s="26"/>
      <c r="AE7766" s="26"/>
      <c r="AJ7766" s="26"/>
    </row>
    <row r="7767" spans="29:36">
      <c r="AC7767" s="26"/>
      <c r="AE7767" s="26"/>
      <c r="AJ7767" s="26"/>
    </row>
    <row r="7768" spans="29:36">
      <c r="AC7768" s="26"/>
      <c r="AE7768" s="26"/>
      <c r="AJ7768" s="26"/>
    </row>
    <row r="7769" spans="29:36">
      <c r="AC7769" s="26"/>
      <c r="AE7769" s="26"/>
      <c r="AJ7769" s="26"/>
    </row>
    <row r="7770" spans="29:36">
      <c r="AC7770" s="26"/>
      <c r="AE7770" s="26"/>
      <c r="AJ7770" s="26"/>
    </row>
    <row r="7771" spans="29:36">
      <c r="AC7771" s="26"/>
      <c r="AE7771" s="26"/>
      <c r="AJ7771" s="26"/>
    </row>
    <row r="7772" spans="29:36">
      <c r="AC7772" s="26"/>
      <c r="AE7772" s="26"/>
      <c r="AJ7772" s="26"/>
    </row>
    <row r="7773" spans="29:36">
      <c r="AC7773" s="26"/>
      <c r="AE7773" s="26"/>
      <c r="AJ7773" s="26"/>
    </row>
    <row r="7774" spans="29:36">
      <c r="AC7774" s="26"/>
      <c r="AE7774" s="26"/>
      <c r="AJ7774" s="26"/>
    </row>
    <row r="7775" spans="29:36">
      <c r="AC7775" s="26"/>
      <c r="AE7775" s="26"/>
      <c r="AJ7775" s="26"/>
    </row>
    <row r="7776" spans="29:36">
      <c r="AC7776" s="26"/>
      <c r="AE7776" s="26"/>
      <c r="AJ7776" s="26"/>
    </row>
    <row r="7777" spans="29:36">
      <c r="AC7777" s="26"/>
      <c r="AE7777" s="26"/>
      <c r="AJ7777" s="26"/>
    </row>
    <row r="7778" spans="29:36">
      <c r="AC7778" s="26"/>
      <c r="AE7778" s="26"/>
      <c r="AJ7778" s="26"/>
    </row>
    <row r="7779" spans="29:36">
      <c r="AC7779" s="26"/>
      <c r="AE7779" s="26"/>
      <c r="AJ7779" s="26"/>
    </row>
    <row r="7780" spans="29:36">
      <c r="AC7780" s="26"/>
      <c r="AE7780" s="26"/>
      <c r="AJ7780" s="26"/>
    </row>
    <row r="7781" spans="29:36">
      <c r="AC7781" s="26"/>
      <c r="AE7781" s="26"/>
      <c r="AJ7781" s="26"/>
    </row>
    <row r="7782" spans="29:36">
      <c r="AC7782" s="26"/>
      <c r="AE7782" s="26"/>
      <c r="AJ7782" s="26"/>
    </row>
    <row r="7783" spans="29:36">
      <c r="AC7783" s="26"/>
      <c r="AE7783" s="26"/>
      <c r="AJ7783" s="26"/>
    </row>
    <row r="7784" spans="29:36">
      <c r="AC7784" s="26"/>
      <c r="AE7784" s="26"/>
      <c r="AJ7784" s="26"/>
    </row>
    <row r="7785" spans="29:36">
      <c r="AC7785" s="26"/>
      <c r="AE7785" s="26"/>
      <c r="AJ7785" s="26"/>
    </row>
    <row r="7786" spans="29:36">
      <c r="AC7786" s="26"/>
      <c r="AE7786" s="26"/>
      <c r="AJ7786" s="26"/>
    </row>
    <row r="7787" spans="29:36">
      <c r="AC7787" s="26"/>
      <c r="AE7787" s="26"/>
      <c r="AJ7787" s="26"/>
    </row>
    <row r="7788" spans="29:36">
      <c r="AC7788" s="26"/>
      <c r="AE7788" s="26"/>
      <c r="AJ7788" s="26"/>
    </row>
    <row r="7789" spans="29:36">
      <c r="AC7789" s="26"/>
      <c r="AE7789" s="26"/>
      <c r="AJ7789" s="26"/>
    </row>
    <row r="7790" spans="29:36">
      <c r="AC7790" s="26"/>
      <c r="AE7790" s="26"/>
      <c r="AJ7790" s="26"/>
    </row>
    <row r="7791" spans="29:36">
      <c r="AC7791" s="26"/>
      <c r="AE7791" s="26"/>
      <c r="AJ7791" s="26"/>
    </row>
    <row r="7792" spans="29:36">
      <c r="AC7792" s="26"/>
      <c r="AE7792" s="26"/>
      <c r="AJ7792" s="26"/>
    </row>
    <row r="7793" spans="29:36">
      <c r="AC7793" s="26"/>
      <c r="AE7793" s="26"/>
      <c r="AJ7793" s="26"/>
    </row>
    <row r="7794" spans="29:36">
      <c r="AC7794" s="26"/>
      <c r="AE7794" s="26"/>
      <c r="AJ7794" s="26"/>
    </row>
    <row r="7795" spans="29:36">
      <c r="AC7795" s="26"/>
      <c r="AE7795" s="26"/>
      <c r="AJ7795" s="26"/>
    </row>
    <row r="7796" spans="29:36">
      <c r="AC7796" s="26"/>
      <c r="AE7796" s="26"/>
      <c r="AJ7796" s="26"/>
    </row>
    <row r="7797" spans="29:36">
      <c r="AC7797" s="26"/>
      <c r="AE7797" s="26"/>
      <c r="AJ7797" s="26"/>
    </row>
    <row r="7798" spans="29:36">
      <c r="AC7798" s="26"/>
      <c r="AE7798" s="26"/>
      <c r="AJ7798" s="26"/>
    </row>
    <row r="7799" spans="29:36">
      <c r="AC7799" s="26"/>
      <c r="AE7799" s="26"/>
      <c r="AJ7799" s="26"/>
    </row>
    <row r="7800" spans="29:36">
      <c r="AC7800" s="26"/>
      <c r="AE7800" s="26"/>
      <c r="AJ7800" s="26"/>
    </row>
    <row r="7801" spans="29:36">
      <c r="AC7801" s="26"/>
      <c r="AE7801" s="26"/>
      <c r="AJ7801" s="26"/>
    </row>
    <row r="7802" spans="29:36">
      <c r="AC7802" s="26"/>
      <c r="AE7802" s="26"/>
      <c r="AJ7802" s="26"/>
    </row>
    <row r="7803" spans="29:36">
      <c r="AC7803" s="26"/>
      <c r="AE7803" s="26"/>
      <c r="AJ7803" s="26"/>
    </row>
    <row r="7804" spans="29:36">
      <c r="AC7804" s="26"/>
      <c r="AE7804" s="26"/>
      <c r="AJ7804" s="26"/>
    </row>
    <row r="7805" spans="29:36">
      <c r="AC7805" s="26"/>
      <c r="AE7805" s="26"/>
      <c r="AJ7805" s="26"/>
    </row>
    <row r="7806" spans="29:36">
      <c r="AC7806" s="26"/>
      <c r="AE7806" s="26"/>
      <c r="AJ7806" s="26"/>
    </row>
    <row r="7807" spans="29:36">
      <c r="AC7807" s="26"/>
      <c r="AE7807" s="26"/>
      <c r="AJ7807" s="26"/>
    </row>
    <row r="7808" spans="29:36">
      <c r="AC7808" s="26"/>
      <c r="AE7808" s="26"/>
      <c r="AJ7808" s="26"/>
    </row>
    <row r="7809" spans="29:36">
      <c r="AC7809" s="26"/>
      <c r="AE7809" s="26"/>
      <c r="AJ7809" s="26"/>
    </row>
    <row r="7810" spans="29:36">
      <c r="AC7810" s="26"/>
      <c r="AE7810" s="26"/>
      <c r="AJ7810" s="26"/>
    </row>
    <row r="7811" spans="29:36">
      <c r="AC7811" s="26"/>
      <c r="AE7811" s="26"/>
      <c r="AJ7811" s="26"/>
    </row>
    <row r="7812" spans="29:36">
      <c r="AC7812" s="26"/>
      <c r="AE7812" s="26"/>
      <c r="AJ7812" s="26"/>
    </row>
    <row r="7813" spans="29:36">
      <c r="AC7813" s="26"/>
      <c r="AE7813" s="26"/>
      <c r="AJ7813" s="26"/>
    </row>
    <row r="7814" spans="29:36">
      <c r="AC7814" s="26"/>
      <c r="AE7814" s="26"/>
      <c r="AJ7814" s="26"/>
    </row>
    <row r="7815" spans="29:36">
      <c r="AC7815" s="26"/>
      <c r="AE7815" s="26"/>
      <c r="AJ7815" s="26"/>
    </row>
    <row r="7816" spans="29:36">
      <c r="AC7816" s="26"/>
      <c r="AE7816" s="26"/>
      <c r="AJ7816" s="26"/>
    </row>
    <row r="7817" spans="29:36">
      <c r="AC7817" s="26"/>
      <c r="AE7817" s="26"/>
      <c r="AJ7817" s="26"/>
    </row>
    <row r="7818" spans="29:36">
      <c r="AC7818" s="26"/>
      <c r="AE7818" s="26"/>
      <c r="AJ7818" s="26"/>
    </row>
    <row r="7819" spans="29:36">
      <c r="AC7819" s="26"/>
      <c r="AE7819" s="26"/>
      <c r="AJ7819" s="26"/>
    </row>
    <row r="7820" spans="29:36">
      <c r="AC7820" s="26"/>
      <c r="AE7820" s="26"/>
      <c r="AJ7820" s="26"/>
    </row>
    <row r="7821" spans="29:36">
      <c r="AC7821" s="26"/>
      <c r="AE7821" s="26"/>
      <c r="AJ7821" s="26"/>
    </row>
    <row r="7822" spans="29:36">
      <c r="AC7822" s="26"/>
      <c r="AE7822" s="26"/>
      <c r="AJ7822" s="26"/>
    </row>
    <row r="7823" spans="29:36">
      <c r="AC7823" s="26"/>
      <c r="AE7823" s="26"/>
      <c r="AJ7823" s="26"/>
    </row>
    <row r="7824" spans="29:36">
      <c r="AC7824" s="26"/>
      <c r="AE7824" s="26"/>
      <c r="AJ7824" s="26"/>
    </row>
    <row r="7825" spans="29:36">
      <c r="AC7825" s="26"/>
      <c r="AE7825" s="26"/>
      <c r="AJ7825" s="26"/>
    </row>
    <row r="7826" spans="29:36">
      <c r="AC7826" s="26"/>
      <c r="AE7826" s="26"/>
      <c r="AJ7826" s="26"/>
    </row>
    <row r="7827" spans="29:36">
      <c r="AC7827" s="26"/>
      <c r="AE7827" s="26"/>
      <c r="AJ7827" s="26"/>
    </row>
    <row r="7828" spans="29:36">
      <c r="AC7828" s="26"/>
      <c r="AE7828" s="26"/>
      <c r="AJ7828" s="26"/>
    </row>
    <row r="7829" spans="29:36">
      <c r="AC7829" s="26"/>
      <c r="AE7829" s="26"/>
      <c r="AJ7829" s="26"/>
    </row>
    <row r="7830" spans="29:36">
      <c r="AC7830" s="26"/>
      <c r="AE7830" s="26"/>
      <c r="AJ7830" s="26"/>
    </row>
    <row r="7831" spans="29:36">
      <c r="AC7831" s="26"/>
      <c r="AE7831" s="26"/>
      <c r="AJ7831" s="26"/>
    </row>
    <row r="7832" spans="29:36">
      <c r="AC7832" s="26"/>
      <c r="AE7832" s="26"/>
      <c r="AJ7832" s="26"/>
    </row>
    <row r="7833" spans="29:36">
      <c r="AC7833" s="26"/>
      <c r="AE7833" s="26"/>
      <c r="AJ7833" s="26"/>
    </row>
    <row r="7834" spans="29:36">
      <c r="AC7834" s="26"/>
      <c r="AE7834" s="26"/>
      <c r="AJ7834" s="26"/>
    </row>
    <row r="7835" spans="29:36">
      <c r="AC7835" s="26"/>
      <c r="AE7835" s="26"/>
      <c r="AJ7835" s="26"/>
    </row>
    <row r="7836" spans="29:36">
      <c r="AC7836" s="26"/>
      <c r="AE7836" s="26"/>
      <c r="AJ7836" s="26"/>
    </row>
    <row r="7837" spans="29:36">
      <c r="AC7837" s="26"/>
      <c r="AE7837" s="26"/>
      <c r="AJ7837" s="26"/>
    </row>
    <row r="7838" spans="29:36">
      <c r="AC7838" s="26"/>
      <c r="AE7838" s="26"/>
      <c r="AJ7838" s="26"/>
    </row>
    <row r="7839" spans="29:36">
      <c r="AC7839" s="26"/>
      <c r="AE7839" s="26"/>
      <c r="AJ7839" s="26"/>
    </row>
    <row r="7840" spans="29:36">
      <c r="AC7840" s="26"/>
      <c r="AE7840" s="26"/>
      <c r="AJ7840" s="26"/>
    </row>
    <row r="7841" spans="29:36">
      <c r="AC7841" s="26"/>
      <c r="AE7841" s="26"/>
      <c r="AJ7841" s="26"/>
    </row>
    <row r="7842" spans="29:36">
      <c r="AC7842" s="26"/>
      <c r="AE7842" s="26"/>
      <c r="AJ7842" s="26"/>
    </row>
    <row r="7843" spans="29:36">
      <c r="AC7843" s="26"/>
      <c r="AE7843" s="26"/>
      <c r="AJ7843" s="26"/>
    </row>
    <row r="7844" spans="29:36">
      <c r="AC7844" s="26"/>
      <c r="AE7844" s="26"/>
      <c r="AJ7844" s="26"/>
    </row>
    <row r="7845" spans="29:36">
      <c r="AC7845" s="26"/>
      <c r="AE7845" s="26"/>
      <c r="AJ7845" s="26"/>
    </row>
    <row r="7846" spans="29:36">
      <c r="AC7846" s="26"/>
      <c r="AE7846" s="26"/>
      <c r="AJ7846" s="26"/>
    </row>
    <row r="7847" spans="29:36">
      <c r="AC7847" s="26"/>
      <c r="AE7847" s="26"/>
      <c r="AJ7847" s="26"/>
    </row>
    <row r="7848" spans="29:36">
      <c r="AC7848" s="26"/>
      <c r="AE7848" s="26"/>
      <c r="AJ7848" s="26"/>
    </row>
    <row r="7849" spans="29:36">
      <c r="AC7849" s="26"/>
      <c r="AE7849" s="26"/>
      <c r="AJ7849" s="26"/>
    </row>
    <row r="7850" spans="29:36">
      <c r="AC7850" s="26"/>
      <c r="AE7850" s="26"/>
      <c r="AJ7850" s="26"/>
    </row>
    <row r="7851" spans="29:36">
      <c r="AC7851" s="26"/>
      <c r="AE7851" s="26"/>
      <c r="AJ7851" s="26"/>
    </row>
    <row r="7852" spans="29:36">
      <c r="AC7852" s="26"/>
      <c r="AE7852" s="26"/>
      <c r="AJ7852" s="26"/>
    </row>
    <row r="7853" spans="29:36">
      <c r="AC7853" s="26"/>
      <c r="AE7853" s="26"/>
      <c r="AJ7853" s="26"/>
    </row>
    <row r="7854" spans="29:36">
      <c r="AC7854" s="26"/>
      <c r="AE7854" s="26"/>
      <c r="AJ7854" s="26"/>
    </row>
    <row r="7855" spans="29:36">
      <c r="AC7855" s="26"/>
      <c r="AE7855" s="26"/>
      <c r="AJ7855" s="26"/>
    </row>
    <row r="7856" spans="29:36">
      <c r="AC7856" s="26"/>
      <c r="AE7856" s="26"/>
      <c r="AJ7856" s="26"/>
    </row>
    <row r="7857" spans="29:36">
      <c r="AC7857" s="26"/>
      <c r="AE7857" s="26"/>
      <c r="AJ7857" s="26"/>
    </row>
    <row r="7858" spans="29:36">
      <c r="AC7858" s="26"/>
      <c r="AE7858" s="26"/>
      <c r="AJ7858" s="26"/>
    </row>
    <row r="7859" spans="29:36">
      <c r="AC7859" s="26"/>
      <c r="AE7859" s="26"/>
      <c r="AJ7859" s="26"/>
    </row>
    <row r="7860" spans="29:36">
      <c r="AC7860" s="26"/>
      <c r="AE7860" s="26"/>
      <c r="AJ7860" s="26"/>
    </row>
    <row r="7861" spans="29:36">
      <c r="AC7861" s="26"/>
      <c r="AE7861" s="26"/>
      <c r="AJ7861" s="26"/>
    </row>
    <row r="7862" spans="29:36">
      <c r="AC7862" s="26"/>
      <c r="AE7862" s="26"/>
      <c r="AJ7862" s="26"/>
    </row>
    <row r="7863" spans="29:36">
      <c r="AC7863" s="26"/>
      <c r="AE7863" s="26"/>
      <c r="AJ7863" s="26"/>
    </row>
    <row r="7864" spans="29:36">
      <c r="AC7864" s="26"/>
      <c r="AE7864" s="26"/>
      <c r="AJ7864" s="26"/>
    </row>
    <row r="7865" spans="29:36">
      <c r="AC7865" s="26"/>
      <c r="AE7865" s="26"/>
      <c r="AJ7865" s="26"/>
    </row>
    <row r="7866" spans="29:36">
      <c r="AC7866" s="26"/>
      <c r="AE7866" s="26"/>
      <c r="AJ7866" s="26"/>
    </row>
    <row r="7867" spans="29:36">
      <c r="AC7867" s="26"/>
      <c r="AE7867" s="26"/>
      <c r="AJ7867" s="26"/>
    </row>
    <row r="7868" spans="29:36">
      <c r="AC7868" s="26"/>
      <c r="AE7868" s="26"/>
      <c r="AJ7868" s="26"/>
    </row>
    <row r="7869" spans="29:36">
      <c r="AC7869" s="26"/>
      <c r="AE7869" s="26"/>
      <c r="AJ7869" s="26"/>
    </row>
    <row r="7870" spans="29:36">
      <c r="AC7870" s="26"/>
      <c r="AE7870" s="26"/>
      <c r="AJ7870" s="26"/>
    </row>
    <row r="7871" spans="29:36">
      <c r="AC7871" s="26"/>
      <c r="AE7871" s="26"/>
      <c r="AJ7871" s="26"/>
    </row>
    <row r="7872" spans="29:36">
      <c r="AC7872" s="26"/>
      <c r="AE7872" s="26"/>
      <c r="AJ7872" s="26"/>
    </row>
    <row r="7873" spans="29:36">
      <c r="AC7873" s="26"/>
      <c r="AE7873" s="26"/>
      <c r="AJ7873" s="26"/>
    </row>
    <row r="7874" spans="29:36">
      <c r="AC7874" s="26"/>
      <c r="AE7874" s="26"/>
      <c r="AJ7874" s="26"/>
    </row>
    <row r="7875" spans="29:36">
      <c r="AC7875" s="26"/>
      <c r="AE7875" s="26"/>
      <c r="AJ7875" s="26"/>
    </row>
    <row r="7876" spans="29:36">
      <c r="AC7876" s="26"/>
      <c r="AE7876" s="26"/>
      <c r="AJ7876" s="26"/>
    </row>
    <row r="7877" spans="29:36">
      <c r="AC7877" s="26"/>
      <c r="AE7877" s="26"/>
      <c r="AJ7877" s="26"/>
    </row>
    <row r="7878" spans="29:36">
      <c r="AC7878" s="26"/>
      <c r="AE7878" s="26"/>
      <c r="AJ7878" s="26"/>
    </row>
    <row r="7879" spans="29:36">
      <c r="AC7879" s="26"/>
      <c r="AE7879" s="26"/>
      <c r="AJ7879" s="26"/>
    </row>
    <row r="7880" spans="29:36">
      <c r="AC7880" s="26"/>
      <c r="AE7880" s="26"/>
      <c r="AJ7880" s="26"/>
    </row>
    <row r="7881" spans="29:36">
      <c r="AC7881" s="26"/>
      <c r="AE7881" s="26"/>
      <c r="AJ7881" s="26"/>
    </row>
    <row r="7882" spans="29:36">
      <c r="AC7882" s="26"/>
      <c r="AE7882" s="26"/>
      <c r="AJ7882" s="26"/>
    </row>
    <row r="7883" spans="29:36">
      <c r="AC7883" s="26"/>
      <c r="AE7883" s="26"/>
      <c r="AJ7883" s="26"/>
    </row>
    <row r="7884" spans="29:36">
      <c r="AC7884" s="26"/>
      <c r="AE7884" s="26"/>
      <c r="AJ7884" s="26"/>
    </row>
    <row r="7885" spans="29:36">
      <c r="AC7885" s="26"/>
      <c r="AE7885" s="26"/>
      <c r="AJ7885" s="26"/>
    </row>
    <row r="7886" spans="29:36">
      <c r="AC7886" s="26"/>
      <c r="AE7886" s="26"/>
      <c r="AJ7886" s="26"/>
    </row>
    <row r="7887" spans="29:36">
      <c r="AC7887" s="26"/>
      <c r="AE7887" s="26"/>
      <c r="AJ7887" s="26"/>
    </row>
    <row r="7888" spans="29:36">
      <c r="AC7888" s="26"/>
      <c r="AE7888" s="26"/>
      <c r="AJ7888" s="26"/>
    </row>
    <row r="7889" spans="29:36">
      <c r="AC7889" s="26"/>
      <c r="AE7889" s="26"/>
      <c r="AJ7889" s="26"/>
    </row>
    <row r="7890" spans="29:36">
      <c r="AC7890" s="26"/>
      <c r="AE7890" s="26"/>
      <c r="AJ7890" s="26"/>
    </row>
    <row r="7891" spans="29:36">
      <c r="AC7891" s="26"/>
      <c r="AE7891" s="26"/>
      <c r="AJ7891" s="26"/>
    </row>
    <row r="7892" spans="29:36">
      <c r="AC7892" s="26"/>
      <c r="AE7892" s="26"/>
      <c r="AJ7892" s="26"/>
    </row>
    <row r="7893" spans="29:36">
      <c r="AC7893" s="26"/>
      <c r="AE7893" s="26"/>
      <c r="AJ7893" s="26"/>
    </row>
    <row r="7894" spans="29:36">
      <c r="AC7894" s="26"/>
      <c r="AE7894" s="26"/>
      <c r="AJ7894" s="26"/>
    </row>
    <row r="7895" spans="29:36">
      <c r="AC7895" s="26"/>
      <c r="AE7895" s="26"/>
      <c r="AJ7895" s="26"/>
    </row>
    <row r="7896" spans="29:36">
      <c r="AC7896" s="26"/>
      <c r="AE7896" s="26"/>
      <c r="AJ7896" s="26"/>
    </row>
    <row r="7897" spans="29:36">
      <c r="AC7897" s="26"/>
      <c r="AE7897" s="26"/>
      <c r="AJ7897" s="26"/>
    </row>
    <row r="7898" spans="29:36">
      <c r="AC7898" s="26"/>
      <c r="AE7898" s="26"/>
      <c r="AJ7898" s="26"/>
    </row>
    <row r="7899" spans="29:36">
      <c r="AC7899" s="26"/>
      <c r="AE7899" s="26"/>
      <c r="AJ7899" s="26"/>
    </row>
    <row r="7900" spans="29:36">
      <c r="AC7900" s="26"/>
      <c r="AE7900" s="26"/>
      <c r="AJ7900" s="26"/>
    </row>
    <row r="7901" spans="29:36">
      <c r="AC7901" s="26"/>
      <c r="AE7901" s="26"/>
      <c r="AJ7901" s="26"/>
    </row>
    <row r="7902" spans="29:36">
      <c r="AC7902" s="26"/>
      <c r="AE7902" s="26"/>
      <c r="AJ7902" s="26"/>
    </row>
    <row r="7903" spans="29:36">
      <c r="AC7903" s="26"/>
      <c r="AE7903" s="26"/>
      <c r="AJ7903" s="26"/>
    </row>
    <row r="7904" spans="29:36">
      <c r="AC7904" s="26"/>
      <c r="AE7904" s="26"/>
      <c r="AJ7904" s="26"/>
    </row>
    <row r="7905" spans="29:36">
      <c r="AC7905" s="26"/>
      <c r="AE7905" s="26"/>
      <c r="AJ7905" s="26"/>
    </row>
    <row r="7906" spans="29:36">
      <c r="AC7906" s="26"/>
      <c r="AE7906" s="26"/>
      <c r="AJ7906" s="26"/>
    </row>
    <row r="7907" spans="29:36">
      <c r="AC7907" s="26"/>
      <c r="AE7907" s="26"/>
      <c r="AJ7907" s="26"/>
    </row>
    <row r="7908" spans="29:36">
      <c r="AC7908" s="26"/>
      <c r="AE7908" s="26"/>
      <c r="AJ7908" s="26"/>
    </row>
    <row r="7909" spans="29:36">
      <c r="AC7909" s="26"/>
      <c r="AE7909" s="26"/>
      <c r="AJ7909" s="26"/>
    </row>
    <row r="7910" spans="29:36">
      <c r="AC7910" s="26"/>
      <c r="AE7910" s="26"/>
      <c r="AJ7910" s="26"/>
    </row>
    <row r="7911" spans="29:36">
      <c r="AC7911" s="26"/>
      <c r="AE7911" s="26"/>
      <c r="AJ7911" s="26"/>
    </row>
    <row r="7912" spans="29:36">
      <c r="AC7912" s="26"/>
      <c r="AE7912" s="26"/>
      <c r="AJ7912" s="26"/>
    </row>
    <row r="7913" spans="29:36">
      <c r="AC7913" s="26"/>
      <c r="AE7913" s="26"/>
      <c r="AJ7913" s="26"/>
    </row>
    <row r="7914" spans="29:36">
      <c r="AC7914" s="26"/>
      <c r="AE7914" s="26"/>
      <c r="AJ7914" s="26"/>
    </row>
    <row r="7915" spans="29:36">
      <c r="AC7915" s="26"/>
      <c r="AE7915" s="26"/>
      <c r="AJ7915" s="26"/>
    </row>
    <row r="7916" spans="29:36">
      <c r="AC7916" s="26"/>
      <c r="AE7916" s="26"/>
      <c r="AJ7916" s="26"/>
    </row>
    <row r="7917" spans="29:36">
      <c r="AC7917" s="26"/>
      <c r="AE7917" s="26"/>
      <c r="AJ7917" s="26"/>
    </row>
    <row r="7918" spans="29:36">
      <c r="AC7918" s="26"/>
      <c r="AE7918" s="26"/>
      <c r="AJ7918" s="26"/>
    </row>
    <row r="7919" spans="29:36">
      <c r="AC7919" s="26"/>
      <c r="AE7919" s="26"/>
      <c r="AJ7919" s="26"/>
    </row>
    <row r="7920" spans="29:36">
      <c r="AC7920" s="26"/>
      <c r="AE7920" s="26"/>
      <c r="AJ7920" s="26"/>
    </row>
    <row r="7921" spans="29:36">
      <c r="AC7921" s="26"/>
      <c r="AE7921" s="26"/>
      <c r="AJ7921" s="26"/>
    </row>
    <row r="7922" spans="29:36">
      <c r="AC7922" s="26"/>
      <c r="AE7922" s="26"/>
      <c r="AJ7922" s="26"/>
    </row>
    <row r="7923" spans="29:36">
      <c r="AC7923" s="26"/>
      <c r="AE7923" s="26"/>
      <c r="AJ7923" s="26"/>
    </row>
    <row r="7924" spans="29:36">
      <c r="AC7924" s="26"/>
      <c r="AE7924" s="26"/>
      <c r="AJ7924" s="26"/>
    </row>
    <row r="7925" spans="29:36">
      <c r="AC7925" s="26"/>
      <c r="AE7925" s="26"/>
      <c r="AJ7925" s="26"/>
    </row>
    <row r="7926" spans="29:36">
      <c r="AC7926" s="26"/>
      <c r="AE7926" s="26"/>
      <c r="AJ7926" s="26"/>
    </row>
    <row r="7927" spans="29:36">
      <c r="AC7927" s="26"/>
      <c r="AE7927" s="26"/>
      <c r="AJ7927" s="26"/>
    </row>
    <row r="7928" spans="29:36">
      <c r="AC7928" s="26"/>
      <c r="AE7928" s="26"/>
      <c r="AJ7928" s="26"/>
    </row>
    <row r="7929" spans="29:36">
      <c r="AC7929" s="26"/>
      <c r="AE7929" s="26"/>
      <c r="AJ7929" s="26"/>
    </row>
    <row r="7930" spans="29:36">
      <c r="AC7930" s="26"/>
      <c r="AE7930" s="26"/>
      <c r="AJ7930" s="26"/>
    </row>
    <row r="7931" spans="29:36">
      <c r="AC7931" s="26"/>
      <c r="AE7931" s="26"/>
      <c r="AJ7931" s="26"/>
    </row>
    <row r="7932" spans="29:36">
      <c r="AC7932" s="26"/>
      <c r="AE7932" s="26"/>
      <c r="AJ7932" s="26"/>
    </row>
    <row r="7933" spans="29:36">
      <c r="AC7933" s="26"/>
      <c r="AE7933" s="26"/>
      <c r="AJ7933" s="26"/>
    </row>
    <row r="7934" spans="29:36">
      <c r="AC7934" s="26"/>
      <c r="AE7934" s="26"/>
      <c r="AJ7934" s="26"/>
    </row>
    <row r="7935" spans="29:36">
      <c r="AC7935" s="26"/>
      <c r="AE7935" s="26"/>
      <c r="AJ7935" s="26"/>
    </row>
    <row r="7936" spans="29:36">
      <c r="AC7936" s="26"/>
      <c r="AE7936" s="26"/>
      <c r="AJ7936" s="26"/>
    </row>
    <row r="7937" spans="29:36">
      <c r="AC7937" s="26"/>
      <c r="AE7937" s="26"/>
      <c r="AJ7937" s="26"/>
    </row>
    <row r="7938" spans="29:36">
      <c r="AC7938" s="26"/>
      <c r="AE7938" s="26"/>
      <c r="AJ7938" s="26"/>
    </row>
    <row r="7939" spans="29:36">
      <c r="AC7939" s="26"/>
      <c r="AE7939" s="26"/>
      <c r="AJ7939" s="26"/>
    </row>
    <row r="7940" spans="29:36">
      <c r="AC7940" s="26"/>
      <c r="AE7940" s="26"/>
      <c r="AJ7940" s="26"/>
    </row>
    <row r="7941" spans="29:36">
      <c r="AC7941" s="26"/>
      <c r="AE7941" s="26"/>
      <c r="AJ7941" s="26"/>
    </row>
    <row r="7942" spans="29:36">
      <c r="AC7942" s="26"/>
      <c r="AE7942" s="26"/>
      <c r="AJ7942" s="26"/>
    </row>
    <row r="7943" spans="29:36">
      <c r="AC7943" s="26"/>
      <c r="AE7943" s="26"/>
      <c r="AJ7943" s="26"/>
    </row>
    <row r="7944" spans="29:36">
      <c r="AC7944" s="26"/>
      <c r="AE7944" s="26"/>
      <c r="AJ7944" s="26"/>
    </row>
    <row r="7945" spans="29:36">
      <c r="AC7945" s="26"/>
      <c r="AE7945" s="26"/>
      <c r="AJ7945" s="26"/>
    </row>
    <row r="7946" spans="29:36">
      <c r="AC7946" s="26"/>
      <c r="AE7946" s="26"/>
      <c r="AJ7946" s="26"/>
    </row>
    <row r="7947" spans="29:36">
      <c r="AC7947" s="26"/>
      <c r="AE7947" s="26"/>
      <c r="AJ7947" s="26"/>
    </row>
    <row r="7948" spans="29:36">
      <c r="AC7948" s="26"/>
      <c r="AE7948" s="26"/>
      <c r="AJ7948" s="26"/>
    </row>
    <row r="7949" spans="29:36">
      <c r="AC7949" s="26"/>
      <c r="AE7949" s="26"/>
      <c r="AJ7949" s="26"/>
    </row>
    <row r="7950" spans="29:36">
      <c r="AC7950" s="26"/>
      <c r="AE7950" s="26"/>
      <c r="AJ7950" s="26"/>
    </row>
    <row r="7951" spans="29:36">
      <c r="AC7951" s="26"/>
      <c r="AE7951" s="26"/>
      <c r="AJ7951" s="26"/>
    </row>
    <row r="7952" spans="29:36">
      <c r="AC7952" s="26"/>
      <c r="AE7952" s="26"/>
      <c r="AJ7952" s="26"/>
    </row>
    <row r="7953" spans="29:36">
      <c r="AC7953" s="26"/>
      <c r="AE7953" s="26"/>
      <c r="AJ7953" s="26"/>
    </row>
    <row r="7954" spans="29:36">
      <c r="AC7954" s="26"/>
      <c r="AE7954" s="26"/>
      <c r="AJ7954" s="26"/>
    </row>
    <row r="7955" spans="29:36">
      <c r="AC7955" s="26"/>
      <c r="AE7955" s="26"/>
      <c r="AJ7955" s="26"/>
    </row>
    <row r="7956" spans="29:36">
      <c r="AC7956" s="26"/>
      <c r="AE7956" s="26"/>
      <c r="AJ7956" s="26"/>
    </row>
    <row r="7957" spans="29:36">
      <c r="AC7957" s="26"/>
      <c r="AE7957" s="26"/>
      <c r="AJ7957" s="26"/>
    </row>
    <row r="7958" spans="29:36">
      <c r="AC7958" s="26"/>
      <c r="AE7958" s="26"/>
      <c r="AJ7958" s="26"/>
    </row>
    <row r="7959" spans="29:36">
      <c r="AC7959" s="26"/>
      <c r="AE7959" s="26"/>
      <c r="AJ7959" s="26"/>
    </row>
    <row r="7960" spans="29:36">
      <c r="AC7960" s="26"/>
      <c r="AE7960" s="26"/>
      <c r="AJ7960" s="26"/>
    </row>
    <row r="7961" spans="29:36">
      <c r="AC7961" s="26"/>
      <c r="AE7961" s="26"/>
      <c r="AJ7961" s="26"/>
    </row>
    <row r="7962" spans="29:36">
      <c r="AC7962" s="26"/>
      <c r="AE7962" s="26"/>
      <c r="AJ7962" s="26"/>
    </row>
    <row r="7963" spans="29:36">
      <c r="AC7963" s="26"/>
      <c r="AE7963" s="26"/>
      <c r="AJ7963" s="26"/>
    </row>
    <row r="7964" spans="29:36">
      <c r="AC7964" s="26"/>
      <c r="AE7964" s="26"/>
      <c r="AJ7964" s="26"/>
    </row>
    <row r="7965" spans="29:36">
      <c r="AC7965" s="26"/>
      <c r="AE7965" s="26"/>
      <c r="AJ7965" s="26"/>
    </row>
    <row r="7966" spans="29:36">
      <c r="AC7966" s="26"/>
      <c r="AE7966" s="26"/>
      <c r="AJ7966" s="26"/>
    </row>
    <row r="7967" spans="29:36">
      <c r="AC7967" s="26"/>
      <c r="AE7967" s="26"/>
      <c r="AJ7967" s="26"/>
    </row>
    <row r="7968" spans="29:36">
      <c r="AC7968" s="26"/>
      <c r="AE7968" s="26"/>
      <c r="AJ7968" s="26"/>
    </row>
    <row r="7969" spans="29:36">
      <c r="AC7969" s="26"/>
      <c r="AE7969" s="26"/>
      <c r="AJ7969" s="26"/>
    </row>
    <row r="7970" spans="29:36">
      <c r="AC7970" s="26"/>
      <c r="AE7970" s="26"/>
      <c r="AJ7970" s="26"/>
    </row>
    <row r="7971" spans="29:36">
      <c r="AC7971" s="26"/>
      <c r="AE7971" s="26"/>
      <c r="AJ7971" s="26"/>
    </row>
    <row r="7972" spans="29:36">
      <c r="AC7972" s="26"/>
      <c r="AE7972" s="26"/>
      <c r="AJ7972" s="26"/>
    </row>
    <row r="7973" spans="29:36">
      <c r="AC7973" s="26"/>
      <c r="AE7973" s="26"/>
      <c r="AJ7973" s="26"/>
    </row>
    <row r="7974" spans="29:36">
      <c r="AC7974" s="26"/>
      <c r="AE7974" s="26"/>
      <c r="AJ7974" s="26"/>
    </row>
    <row r="7975" spans="29:36">
      <c r="AC7975" s="26"/>
      <c r="AE7975" s="26"/>
      <c r="AJ7975" s="26"/>
    </row>
    <row r="7976" spans="29:36">
      <c r="AC7976" s="26"/>
      <c r="AE7976" s="26"/>
      <c r="AJ7976" s="26"/>
    </row>
    <row r="7977" spans="29:36">
      <c r="AC7977" s="26"/>
      <c r="AE7977" s="26"/>
      <c r="AJ7977" s="26"/>
    </row>
    <row r="7978" spans="29:36">
      <c r="AC7978" s="26"/>
      <c r="AE7978" s="26"/>
      <c r="AJ7978" s="26"/>
    </row>
    <row r="7979" spans="29:36">
      <c r="AC7979" s="26"/>
      <c r="AE7979" s="26"/>
      <c r="AJ7979" s="26"/>
    </row>
    <row r="7980" spans="29:36">
      <c r="AC7980" s="26"/>
      <c r="AE7980" s="26"/>
      <c r="AJ7980" s="26"/>
    </row>
    <row r="7981" spans="29:36">
      <c r="AC7981" s="26"/>
      <c r="AE7981" s="26"/>
      <c r="AJ7981" s="26"/>
    </row>
    <row r="7982" spans="29:36">
      <c r="AC7982" s="26"/>
      <c r="AE7982" s="26"/>
      <c r="AJ7982" s="26"/>
    </row>
    <row r="7983" spans="29:36">
      <c r="AC7983" s="26"/>
      <c r="AE7983" s="26"/>
      <c r="AJ7983" s="26"/>
    </row>
    <row r="7984" spans="29:36">
      <c r="AC7984" s="26"/>
      <c r="AE7984" s="26"/>
      <c r="AJ7984" s="26"/>
    </row>
    <row r="7985" spans="29:36">
      <c r="AC7985" s="26"/>
      <c r="AE7985" s="26"/>
      <c r="AJ7985" s="26"/>
    </row>
    <row r="7986" spans="29:36">
      <c r="AC7986" s="26"/>
      <c r="AE7986" s="26"/>
      <c r="AJ7986" s="26"/>
    </row>
    <row r="7987" spans="29:36">
      <c r="AC7987" s="26"/>
      <c r="AE7987" s="26"/>
      <c r="AJ7987" s="26"/>
    </row>
    <row r="7988" spans="29:36">
      <c r="AC7988" s="26"/>
      <c r="AE7988" s="26"/>
      <c r="AJ7988" s="26"/>
    </row>
    <row r="7989" spans="29:36">
      <c r="AC7989" s="26"/>
      <c r="AE7989" s="26"/>
      <c r="AJ7989" s="26"/>
    </row>
    <row r="7990" spans="29:36">
      <c r="AC7990" s="26"/>
      <c r="AE7990" s="26"/>
      <c r="AJ7990" s="26"/>
    </row>
    <row r="7991" spans="29:36">
      <c r="AC7991" s="26"/>
      <c r="AE7991" s="26"/>
      <c r="AJ7991" s="26"/>
    </row>
    <row r="7992" spans="29:36">
      <c r="AC7992" s="26"/>
      <c r="AE7992" s="26"/>
      <c r="AJ7992" s="26"/>
    </row>
    <row r="7993" spans="29:36">
      <c r="AC7993" s="26"/>
      <c r="AE7993" s="26"/>
      <c r="AJ7993" s="26"/>
    </row>
    <row r="7994" spans="29:36">
      <c r="AC7994" s="26"/>
      <c r="AE7994" s="26"/>
      <c r="AJ7994" s="26"/>
    </row>
    <row r="7995" spans="29:36">
      <c r="AC7995" s="26"/>
      <c r="AE7995" s="26"/>
      <c r="AJ7995" s="26"/>
    </row>
    <row r="7996" spans="29:36">
      <c r="AC7996" s="26"/>
      <c r="AE7996" s="26"/>
      <c r="AJ7996" s="26"/>
    </row>
    <row r="7997" spans="29:36">
      <c r="AC7997" s="26"/>
      <c r="AE7997" s="26"/>
      <c r="AJ7997" s="26"/>
    </row>
    <row r="7998" spans="29:36">
      <c r="AC7998" s="26"/>
      <c r="AE7998" s="26"/>
      <c r="AJ7998" s="26"/>
    </row>
    <row r="7999" spans="29:36">
      <c r="AC7999" s="26"/>
      <c r="AE7999" s="26"/>
      <c r="AJ7999" s="26"/>
    </row>
    <row r="8000" spans="29:36">
      <c r="AC8000" s="26"/>
      <c r="AE8000" s="26"/>
      <c r="AJ8000" s="26"/>
    </row>
    <row r="8001" spans="29:36">
      <c r="AC8001" s="26"/>
      <c r="AE8001" s="26"/>
      <c r="AJ8001" s="26"/>
    </row>
    <row r="8002" spans="29:36">
      <c r="AC8002" s="26"/>
      <c r="AE8002" s="26"/>
      <c r="AJ8002" s="26"/>
    </row>
    <row r="8003" spans="29:36">
      <c r="AC8003" s="26"/>
      <c r="AE8003" s="26"/>
      <c r="AJ8003" s="26"/>
    </row>
    <row r="8004" spans="29:36">
      <c r="AC8004" s="26"/>
      <c r="AE8004" s="26"/>
      <c r="AJ8004" s="26"/>
    </row>
    <row r="8005" spans="29:36">
      <c r="AC8005" s="26"/>
      <c r="AE8005" s="26"/>
      <c r="AJ8005" s="26"/>
    </row>
    <row r="8006" spans="29:36">
      <c r="AC8006" s="26"/>
      <c r="AE8006" s="26"/>
      <c r="AJ8006" s="26"/>
    </row>
    <row r="8007" spans="29:36">
      <c r="AC8007" s="26"/>
      <c r="AE8007" s="26"/>
      <c r="AJ8007" s="26"/>
    </row>
    <row r="8008" spans="29:36">
      <c r="AC8008" s="26"/>
      <c r="AE8008" s="26"/>
      <c r="AJ8008" s="26"/>
    </row>
    <row r="8009" spans="29:36">
      <c r="AC8009" s="26"/>
      <c r="AE8009" s="26"/>
      <c r="AJ8009" s="26"/>
    </row>
    <row r="8010" spans="29:36">
      <c r="AC8010" s="26"/>
      <c r="AE8010" s="26"/>
      <c r="AJ8010" s="26"/>
    </row>
    <row r="8011" spans="29:36">
      <c r="AC8011" s="26"/>
      <c r="AE8011" s="26"/>
      <c r="AJ8011" s="26"/>
    </row>
    <row r="8012" spans="29:36">
      <c r="AC8012" s="26"/>
      <c r="AE8012" s="26"/>
      <c r="AJ8012" s="26"/>
    </row>
    <row r="8013" spans="29:36">
      <c r="AC8013" s="26"/>
      <c r="AE8013" s="26"/>
      <c r="AJ8013" s="26"/>
    </row>
    <row r="8014" spans="29:36">
      <c r="AC8014" s="26"/>
      <c r="AE8014" s="26"/>
      <c r="AJ8014" s="26"/>
    </row>
    <row r="8015" spans="29:36">
      <c r="AC8015" s="26"/>
      <c r="AE8015" s="26"/>
      <c r="AJ8015" s="26"/>
    </row>
    <row r="8016" spans="29:36">
      <c r="AC8016" s="26"/>
      <c r="AE8016" s="26"/>
      <c r="AJ8016" s="26"/>
    </row>
    <row r="8017" spans="29:36">
      <c r="AC8017" s="26"/>
      <c r="AE8017" s="26"/>
      <c r="AJ8017" s="26"/>
    </row>
    <row r="8018" spans="29:36">
      <c r="AC8018" s="26"/>
      <c r="AE8018" s="26"/>
      <c r="AJ8018" s="26"/>
    </row>
    <row r="8019" spans="29:36">
      <c r="AC8019" s="26"/>
      <c r="AE8019" s="26"/>
      <c r="AJ8019" s="26"/>
    </row>
    <row r="8020" spans="29:36">
      <c r="AC8020" s="26"/>
      <c r="AE8020" s="26"/>
      <c r="AJ8020" s="26"/>
    </row>
    <row r="8021" spans="29:36">
      <c r="AC8021" s="26"/>
      <c r="AE8021" s="26"/>
      <c r="AJ8021" s="26"/>
    </row>
    <row r="8022" spans="29:36">
      <c r="AC8022" s="26"/>
      <c r="AE8022" s="26"/>
      <c r="AJ8022" s="26"/>
    </row>
    <row r="8023" spans="29:36">
      <c r="AC8023" s="26"/>
      <c r="AE8023" s="26"/>
      <c r="AJ8023" s="26"/>
    </row>
    <row r="8024" spans="29:36">
      <c r="AC8024" s="26"/>
      <c r="AE8024" s="26"/>
      <c r="AJ8024" s="26"/>
    </row>
    <row r="8025" spans="29:36">
      <c r="AC8025" s="26"/>
      <c r="AE8025" s="26"/>
      <c r="AJ8025" s="26"/>
    </row>
    <row r="8026" spans="29:36">
      <c r="AC8026" s="26"/>
      <c r="AE8026" s="26"/>
      <c r="AJ8026" s="26"/>
    </row>
    <row r="8027" spans="29:36">
      <c r="AC8027" s="26"/>
      <c r="AE8027" s="26"/>
      <c r="AJ8027" s="26"/>
    </row>
    <row r="8028" spans="29:36">
      <c r="AC8028" s="26"/>
      <c r="AE8028" s="26"/>
      <c r="AJ8028" s="26"/>
    </row>
    <row r="8029" spans="29:36">
      <c r="AC8029" s="26"/>
      <c r="AE8029" s="26"/>
      <c r="AJ8029" s="26"/>
    </row>
    <row r="8030" spans="29:36">
      <c r="AC8030" s="26"/>
      <c r="AE8030" s="26"/>
      <c r="AJ8030" s="26"/>
    </row>
    <row r="8031" spans="29:36">
      <c r="AC8031" s="26"/>
      <c r="AE8031" s="26"/>
      <c r="AJ8031" s="26"/>
    </row>
    <row r="8032" spans="29:36">
      <c r="AC8032" s="26"/>
      <c r="AE8032" s="26"/>
      <c r="AJ8032" s="26"/>
    </row>
    <row r="8033" spans="29:36">
      <c r="AC8033" s="26"/>
      <c r="AE8033" s="26"/>
      <c r="AJ8033" s="26"/>
    </row>
    <row r="8034" spans="29:36">
      <c r="AC8034" s="26"/>
      <c r="AE8034" s="26"/>
      <c r="AJ8034" s="26"/>
    </row>
    <row r="8035" spans="29:36">
      <c r="AC8035" s="26"/>
      <c r="AE8035" s="26"/>
      <c r="AJ8035" s="26"/>
    </row>
    <row r="8036" spans="29:36">
      <c r="AC8036" s="26"/>
      <c r="AE8036" s="26"/>
      <c r="AJ8036" s="26"/>
    </row>
    <row r="8037" spans="29:36">
      <c r="AC8037" s="26"/>
      <c r="AE8037" s="26"/>
      <c r="AJ8037" s="26"/>
    </row>
    <row r="8038" spans="29:36">
      <c r="AC8038" s="26"/>
      <c r="AE8038" s="26"/>
      <c r="AJ8038" s="26"/>
    </row>
    <row r="8039" spans="29:36">
      <c r="AC8039" s="26"/>
      <c r="AE8039" s="26"/>
      <c r="AJ8039" s="26"/>
    </row>
    <row r="8040" spans="29:36">
      <c r="AC8040" s="26"/>
      <c r="AE8040" s="26"/>
      <c r="AJ8040" s="26"/>
    </row>
    <row r="8041" spans="29:36">
      <c r="AC8041" s="26"/>
      <c r="AE8041" s="26"/>
      <c r="AJ8041" s="26"/>
    </row>
    <row r="8042" spans="29:36">
      <c r="AC8042" s="26"/>
      <c r="AE8042" s="26"/>
      <c r="AJ8042" s="26"/>
    </row>
    <row r="8043" spans="29:36">
      <c r="AC8043" s="26"/>
      <c r="AE8043" s="26"/>
      <c r="AJ8043" s="26"/>
    </row>
    <row r="8044" spans="29:36">
      <c r="AC8044" s="26"/>
      <c r="AE8044" s="26"/>
      <c r="AJ8044" s="26"/>
    </row>
    <row r="8045" spans="29:36">
      <c r="AC8045" s="26"/>
      <c r="AE8045" s="26"/>
      <c r="AJ8045" s="26"/>
    </row>
    <row r="8046" spans="29:36">
      <c r="AC8046" s="26"/>
      <c r="AE8046" s="26"/>
      <c r="AJ8046" s="26"/>
    </row>
    <row r="8047" spans="29:36">
      <c r="AC8047" s="26"/>
      <c r="AE8047" s="26"/>
      <c r="AJ8047" s="26"/>
    </row>
    <row r="8048" spans="29:36">
      <c r="AC8048" s="26"/>
      <c r="AE8048" s="26"/>
      <c r="AJ8048" s="26"/>
    </row>
    <row r="8049" spans="29:36">
      <c r="AC8049" s="26"/>
      <c r="AE8049" s="26"/>
      <c r="AJ8049" s="26"/>
    </row>
    <row r="8050" spans="29:36">
      <c r="AC8050" s="26"/>
      <c r="AE8050" s="26"/>
      <c r="AJ8050" s="26"/>
    </row>
    <row r="8051" spans="29:36">
      <c r="AC8051" s="26"/>
      <c r="AE8051" s="26"/>
      <c r="AJ8051" s="26"/>
    </row>
    <row r="8052" spans="29:36">
      <c r="AC8052" s="26"/>
      <c r="AE8052" s="26"/>
      <c r="AJ8052" s="26"/>
    </row>
    <row r="8053" spans="29:36">
      <c r="AC8053" s="26"/>
      <c r="AE8053" s="26"/>
      <c r="AJ8053" s="26"/>
    </row>
    <row r="8054" spans="29:36">
      <c r="AC8054" s="26"/>
      <c r="AE8054" s="26"/>
      <c r="AJ8054" s="26"/>
    </row>
    <row r="8055" spans="29:36">
      <c r="AC8055" s="26"/>
      <c r="AE8055" s="26"/>
      <c r="AJ8055" s="26"/>
    </row>
    <row r="8056" spans="29:36">
      <c r="AC8056" s="26"/>
      <c r="AE8056" s="26"/>
      <c r="AJ8056" s="26"/>
    </row>
    <row r="8057" spans="29:36">
      <c r="AC8057" s="26"/>
      <c r="AE8057" s="26"/>
      <c r="AJ8057" s="26"/>
    </row>
    <row r="8058" spans="29:36">
      <c r="AC8058" s="26"/>
      <c r="AE8058" s="26"/>
      <c r="AJ8058" s="26"/>
    </row>
    <row r="8059" spans="29:36">
      <c r="AC8059" s="26"/>
      <c r="AE8059" s="26"/>
      <c r="AJ8059" s="26"/>
    </row>
    <row r="8060" spans="29:36">
      <c r="AC8060" s="26"/>
      <c r="AE8060" s="26"/>
      <c r="AJ8060" s="26"/>
    </row>
    <row r="8061" spans="29:36">
      <c r="AC8061" s="26"/>
      <c r="AE8061" s="26"/>
      <c r="AJ8061" s="26"/>
    </row>
    <row r="8062" spans="29:36">
      <c r="AC8062" s="26"/>
      <c r="AE8062" s="26"/>
      <c r="AJ8062" s="26"/>
    </row>
    <row r="8063" spans="29:36">
      <c r="AC8063" s="26"/>
      <c r="AE8063" s="26"/>
    </row>
    <row r="8064" spans="29:36">
      <c r="AC8064" s="26"/>
      <c r="AE8064" s="26"/>
    </row>
    <row r="8065" spans="29:31">
      <c r="AC8065" s="26"/>
      <c r="AE8065" s="26"/>
    </row>
    <row r="8066" spans="29:31">
      <c r="AC8066" s="26"/>
      <c r="AE8066" s="26"/>
    </row>
    <row r="8067" spans="29:31">
      <c r="AC8067" s="26"/>
      <c r="AE8067" s="26"/>
    </row>
    <row r="8068" spans="29:31">
      <c r="AC8068" s="26"/>
      <c r="AE8068" s="26"/>
    </row>
    <row r="8069" spans="29:31">
      <c r="AC8069" s="26"/>
      <c r="AE8069" s="26"/>
    </row>
    <row r="8070" spans="29:31">
      <c r="AC8070" s="26"/>
      <c r="AE8070" s="26"/>
    </row>
    <row r="8071" spans="29:31">
      <c r="AE8071" s="26"/>
    </row>
    <row r="8072" spans="29:31">
      <c r="AE8072" s="26"/>
    </row>
    <row r="8073" spans="29:31">
      <c r="AE8073" s="26"/>
    </row>
    <row r="8074" spans="29:31">
      <c r="AE8074" s="26"/>
    </row>
  </sheetData>
  <sheetProtection selectLockedCells="1"/>
  <protectedRanges>
    <protectedRange sqref="F147:F159" name="Raw Data"/>
    <protectedRange sqref="F6:F146" name="Raw Data_1"/>
  </protectedRanges>
  <sortState xmlns:xlrd2="http://schemas.microsoft.com/office/spreadsheetml/2017/richdata2" ref="AX6:AX103">
    <sortCondition ref="AX5"/>
  </sortState>
  <mergeCells count="10">
    <mergeCell ref="BE6:BK6"/>
    <mergeCell ref="AK4:AS4"/>
    <mergeCell ref="I4:L4"/>
    <mergeCell ref="Z4:AH4"/>
    <mergeCell ref="AK5:AM5"/>
    <mergeCell ref="AK19:AR19"/>
    <mergeCell ref="W4:Y4"/>
    <mergeCell ref="AO26:AR26"/>
    <mergeCell ref="AL26:AM26"/>
    <mergeCell ref="AK13:AL13"/>
  </mergeCells>
  <phoneticPr fontId="0" type="noConversion"/>
  <conditionalFormatting sqref="AK24:AT24">
    <cfRule type="expression" dxfId="55" priority="116" stopIfTrue="1">
      <formula>(OR(WEEKDAY(#REF!)=7,WEEKDAY(#REF!)=1)=TRUE)</formula>
    </cfRule>
    <cfRule type="expression" dxfId="54" priority="117" stopIfTrue="1">
      <formula>#REF!=TODAY()</formula>
    </cfRule>
    <cfRule type="expression" dxfId="53" priority="118" stopIfTrue="1">
      <formula>#REF!=1</formula>
    </cfRule>
  </conditionalFormatting>
  <conditionalFormatting sqref="AK23">
    <cfRule type="expression" dxfId="52" priority="119" stopIfTrue="1">
      <formula>(OR(WEEKDAY(#REF!)=7,WEEKDAY(#REF!)=1)=TRUE)</formula>
    </cfRule>
    <cfRule type="expression" dxfId="51" priority="120" stopIfTrue="1">
      <formula>#REF!=TODAY()</formula>
    </cfRule>
    <cfRule type="expression" dxfId="50" priority="121" stopIfTrue="1">
      <formula>#REF!=1</formula>
    </cfRule>
  </conditionalFormatting>
  <conditionalFormatting sqref="Z5:AH5 AS5:AW5 AZ5:BB5 B5:P5">
    <cfRule type="expression" dxfId="49" priority="274" stopIfTrue="1">
      <formula>(OR(WEEKDAY($C5)=7,WEEKDAY($C5)=1)=TRUE)</formula>
    </cfRule>
    <cfRule type="expression" dxfId="48" priority="275" stopIfTrue="1">
      <formula>#REF!=TODAY()</formula>
    </cfRule>
    <cfRule type="expression" dxfId="47" priority="276" stopIfTrue="1">
      <formula>$E5=1</formula>
    </cfRule>
  </conditionalFormatting>
  <conditionalFormatting sqref="AN6">
    <cfRule type="expression" dxfId="46" priority="301" stopIfTrue="1">
      <formula>(OR(WEEKDAY($C9)=7,WEEKDAY($C9)=1)=TRUE)</formula>
    </cfRule>
    <cfRule type="expression" dxfId="45" priority="302" stopIfTrue="1">
      <formula>#REF!=TODAY()</formula>
    </cfRule>
    <cfRule type="expression" dxfId="44" priority="303" stopIfTrue="1">
      <formula>$E9=1</formula>
    </cfRule>
  </conditionalFormatting>
  <conditionalFormatting sqref="B6:D6 M106 M8:M104 C8:D8 C11:D146 C9:C10 D10 B7:B146 I6:M6 G339:G1244 I7:L146">
    <cfRule type="expression" dxfId="43" priority="304" stopIfTrue="1">
      <formula>OR(MONTH($C6)-MONTH(#REF!)&gt;0,AND(MONTH($C6)=1,MONTH(#REF!)=12))</formula>
    </cfRule>
    <cfRule type="expression" dxfId="42" priority="305" stopIfTrue="1">
      <formula>INT(($C6-TODAY())/7)=#REF!</formula>
    </cfRule>
  </conditionalFormatting>
  <conditionalFormatting sqref="AB1245:AD65538 Z1278:AA65538 AW1315:AW65538 AB507:AC1244 AG1245:AH65538">
    <cfRule type="expression" dxfId="41" priority="332" stopIfTrue="1">
      <formula>(OR(WEEKDAY($C507)=7,WEEKDAY($C507)=1)=TRUE)</formula>
    </cfRule>
    <cfRule type="expression" dxfId="40" priority="333" stopIfTrue="1">
      <formula>#REF!=TODAY()</formula>
    </cfRule>
    <cfRule type="expression" dxfId="39" priority="334" stopIfTrue="1">
      <formula>$E503=1</formula>
    </cfRule>
  </conditionalFormatting>
  <conditionalFormatting sqref="E1274:P65534">
    <cfRule type="expression" dxfId="38" priority="347" stopIfTrue="1">
      <formula>(OR(WEEKDAY($C1278)=7,WEEKDAY($C1278)=1)=TRUE)</formula>
    </cfRule>
    <cfRule type="expression" dxfId="37" priority="348" stopIfTrue="1">
      <formula>#REF!=TODAY()</formula>
    </cfRule>
    <cfRule type="expression" dxfId="36" priority="349" stopIfTrue="1">
      <formula>$E1274=1</formula>
    </cfRule>
  </conditionalFormatting>
  <conditionalFormatting sqref="AE507:AE65538">
    <cfRule type="expression" dxfId="35" priority="350" stopIfTrue="1">
      <formula>(OR(WEEKDAY($C508)=7,WEEKDAY($C508)=1)=TRUE)</formula>
    </cfRule>
    <cfRule type="expression" dxfId="34" priority="351" stopIfTrue="1">
      <formula>#REF!=TODAY()</formula>
    </cfRule>
    <cfRule type="expression" dxfId="33" priority="352" stopIfTrue="1">
      <formula>$E504=1</formula>
    </cfRule>
  </conditionalFormatting>
  <conditionalFormatting sqref="AJ1817:AJ65528 AV1305:AV65528">
    <cfRule type="expression" dxfId="32" priority="356" stopIfTrue="1">
      <formula>(OR(WEEKDAY($C1315)=7,WEEKDAY($C1315)=1)=TRUE)</formula>
    </cfRule>
    <cfRule type="expression" dxfId="31" priority="357" stopIfTrue="1">
      <formula>#REF!=TODAY()</formula>
    </cfRule>
    <cfRule type="expression" dxfId="30" priority="358" stopIfTrue="1">
      <formula>$E1311=1</formula>
    </cfRule>
  </conditionalFormatting>
  <conditionalFormatting sqref="AZ38">
    <cfRule type="expression" dxfId="29" priority="365" stopIfTrue="1">
      <formula>(OR(WEEKDAY($C42)=7,WEEKDAY($C42)=1)=TRUE)</formula>
    </cfRule>
    <cfRule type="expression" dxfId="28" priority="366" stopIfTrue="1">
      <formula>#REF!=TODAY()</formula>
    </cfRule>
    <cfRule type="expression" dxfId="27" priority="367" stopIfTrue="1">
      <formula>$E42=1</formula>
    </cfRule>
  </conditionalFormatting>
  <conditionalFormatting sqref="BB1304:BB65527">
    <cfRule type="expression" dxfId="26" priority="386" stopIfTrue="1">
      <formula>(OR(WEEKDAY($C1315)=7,WEEKDAY($C1315)=1)=TRUE)</formula>
    </cfRule>
    <cfRule type="expression" dxfId="25" priority="387" stopIfTrue="1">
      <formula>#REF!=TODAY()</formula>
    </cfRule>
    <cfRule type="expression" dxfId="24" priority="388" stopIfTrue="1">
      <formula>$E1311=1</formula>
    </cfRule>
  </conditionalFormatting>
  <conditionalFormatting sqref="AZ1303:BA65526">
    <cfRule type="expression" dxfId="23" priority="389" stopIfTrue="1">
      <formula>(OR(WEEKDAY($C1315)=7,WEEKDAY($C1315)=1)=TRUE)</formula>
    </cfRule>
    <cfRule type="expression" dxfId="22" priority="390" stopIfTrue="1">
      <formula>#REF!=TODAY()</formula>
    </cfRule>
    <cfRule type="expression" dxfId="21" priority="391" stopIfTrue="1">
      <formula>$E1311=1</formula>
    </cfRule>
  </conditionalFormatting>
  <conditionalFormatting sqref="H339:H1244">
    <cfRule type="expression" dxfId="20" priority="50" stopIfTrue="1">
      <formula>OR(MONTH($C339)-MONTH(#REF!)&gt;0,AND(MONTH($C339)=1,MONTH(#REF!)=12))</formula>
    </cfRule>
    <cfRule type="expression" dxfId="19" priority="51" stopIfTrue="1">
      <formula>INT(($C339-TODAY())/7)=#REF!</formula>
    </cfRule>
  </conditionalFormatting>
  <conditionalFormatting sqref="AK1863:AU65527">
    <cfRule type="expression" dxfId="18" priority="392" stopIfTrue="1">
      <formula>(OR(WEEKDAY($C1874)=7,WEEKDAY($C1874)=1)=TRUE)</formula>
    </cfRule>
    <cfRule type="expression" dxfId="17" priority="393" stopIfTrue="1">
      <formula>#REF!=TODAY()</formula>
    </cfRule>
    <cfRule type="expression" dxfId="16" priority="394" stopIfTrue="1">
      <formula>$E1870=1</formula>
    </cfRule>
  </conditionalFormatting>
  <conditionalFormatting sqref="AJ22">
    <cfRule type="expression" dxfId="15" priority="30" stopIfTrue="1">
      <formula>(OR(WEEKDAY(#REF!)=7,WEEKDAY(#REF!)=1)=TRUE)</formula>
    </cfRule>
    <cfRule type="expression" dxfId="14" priority="31" stopIfTrue="1">
      <formula>#REF!=TODAY()</formula>
    </cfRule>
    <cfRule type="expression" dxfId="13" priority="32" stopIfTrue="1">
      <formula>#REF!=1</formula>
    </cfRule>
  </conditionalFormatting>
  <conditionalFormatting sqref="AA6:AA33">
    <cfRule type="expression" dxfId="12" priority="28" stopIfTrue="1">
      <formula>OR(MONTH($C6)-MONTH(#REF!)&gt;0,AND(MONTH($C6)=1,MONTH(#REF!)=12))</formula>
    </cfRule>
    <cfRule type="expression" dxfId="11" priority="29" stopIfTrue="1">
      <formula>INT(($C6-TODAY())/7)=#REF!</formula>
    </cfRule>
  </conditionalFormatting>
  <conditionalFormatting sqref="AF339:AF64440">
    <cfRule type="expression" dxfId="10" priority="398" stopIfTrue="1">
      <formula>(OR(WEEKDAY($C1437)=7,WEEKDAY($C1437)=1)=TRUE)</formula>
    </cfRule>
    <cfRule type="expression" dxfId="9" priority="399" stopIfTrue="1">
      <formula>#REF!=TODAY()</formula>
    </cfRule>
    <cfRule type="expression" dxfId="8" priority="400" stopIfTrue="1">
      <formula>$E1433=1</formula>
    </cfRule>
  </conditionalFormatting>
  <conditionalFormatting sqref="G6:G146">
    <cfRule type="expression" dxfId="7" priority="9" stopIfTrue="1">
      <formula>OR(MONTH($C6)-MONTH(#REF!)&gt;0,AND(MONTH($C6)=1,MONTH(#REF!)=12))</formula>
    </cfRule>
    <cfRule type="expression" dxfId="6" priority="10" stopIfTrue="1">
      <formula>INT(($C6-TODAY())/7)=#REF!</formula>
    </cfRule>
  </conditionalFormatting>
  <conditionalFormatting sqref="E6:F146">
    <cfRule type="expression" dxfId="5" priority="11" stopIfTrue="1">
      <formula>OR(MONTH($C6)-MONTH(#REF!)&gt;0,AND(MONTH($C6)=1,MONTH(#REF!)=12))</formula>
    </cfRule>
    <cfRule type="expression" dxfId="4" priority="12" stopIfTrue="1">
      <formula>INT(($C6-TODAY())/7)=#REF!</formula>
    </cfRule>
  </conditionalFormatting>
  <conditionalFormatting sqref="H6:H146">
    <cfRule type="expression" dxfId="3" priority="7" stopIfTrue="1">
      <formula>OR(MONTH($C6)-MONTH(#REF!)&gt;0,AND(MONTH($C6)=1,MONTH(#REF!)=12))</formula>
    </cfRule>
    <cfRule type="expression" dxfId="2" priority="8" stopIfTrue="1">
      <formula>INT(($C6-TODAY())/7)=#REF!</formula>
    </cfRule>
  </conditionalFormatting>
  <printOptions horizontalCentered="1"/>
  <pageMargins left="0.75" right="0.5" top="1" bottom="1" header="0.5" footer="0.5"/>
  <pageSetup scale="10" orientation="landscape" horizontalDpi="4294967292" verticalDpi="4294967292" r:id="rId1"/>
  <headerFooter alignWithMargins="0">
    <oddFooter>&amp;L&amp;D&amp;C&amp;"Charcoal,Bold"&amp;F — Progress Record&amp;R&amp;P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etUpLinesPP1">
                <anchor moveWithCells="1" sizeWithCells="1">
                  <from>
                    <xdr:col>8</xdr:col>
                    <xdr:colOff>45720</xdr:colOff>
                    <xdr:row>0</xdr:row>
                    <xdr:rowOff>198120</xdr:rowOff>
                  </from>
                  <to>
                    <xdr:col>9</xdr:col>
                    <xdr:colOff>419100</xdr:colOff>
                    <xdr:row>1</xdr:row>
                    <xdr:rowOff>144780</xdr:rowOff>
                  </to>
                </anchor>
              </controlPr>
            </control>
          </mc:Choice>
        </mc:AlternateContent>
        <mc:AlternateContent xmlns:mc="http://schemas.openxmlformats.org/markup-compatibility/2006">
          <mc:Choice Requires="x14">
            <control shapeId="8200" r:id="rId5" name="Button 8">
              <controlPr defaultSize="0" print="0" autoFill="0" autoPict="0" macro="[0]!SetUpLinesPP2">
                <anchor moveWithCells="1" sizeWithCells="1">
                  <from>
                    <xdr:col>8</xdr:col>
                    <xdr:colOff>45720</xdr:colOff>
                    <xdr:row>2</xdr:row>
                    <xdr:rowOff>15240</xdr:rowOff>
                  </from>
                  <to>
                    <xdr:col>9</xdr:col>
                    <xdr:colOff>419100</xdr:colOff>
                    <xdr:row>3</xdr:row>
                    <xdr:rowOff>7620</xdr:rowOff>
                  </to>
                </anchor>
              </controlPr>
            </control>
          </mc:Choice>
        </mc:AlternateContent>
        <mc:AlternateContent xmlns:mc="http://schemas.openxmlformats.org/markup-compatibility/2006">
          <mc:Choice Requires="x14">
            <control shapeId="8201" r:id="rId6" name="Button 9">
              <controlPr defaultSize="0" print="0" autoFill="0" autoPict="0" macro="[0]!ClearRawData">
                <anchor moveWithCells="1" sizeWithCells="1">
                  <from>
                    <xdr:col>11</xdr:col>
                    <xdr:colOff>251460</xdr:colOff>
                    <xdr:row>1</xdr:row>
                    <xdr:rowOff>30480</xdr:rowOff>
                  </from>
                  <to>
                    <xdr:col>12</xdr:col>
                    <xdr:colOff>556260</xdr:colOff>
                    <xdr:row>2</xdr:row>
                    <xdr:rowOff>53340</xdr:rowOff>
                  </to>
                </anchor>
              </controlPr>
            </control>
          </mc:Choice>
        </mc:AlternateContent>
        <mc:AlternateContent xmlns:mc="http://schemas.openxmlformats.org/markup-compatibility/2006">
          <mc:Choice Requires="x14">
            <control shapeId="8202" r:id="rId7" name="Button 10">
              <controlPr defaultSize="0" print="0" autoFill="0" autoPict="0" macro="[0]!ClearPP1">
                <anchor moveWithCells="1" sizeWithCells="1">
                  <from>
                    <xdr:col>10</xdr:col>
                    <xdr:colOff>22860</xdr:colOff>
                    <xdr:row>0</xdr:row>
                    <xdr:rowOff>198120</xdr:rowOff>
                  </from>
                  <to>
                    <xdr:col>11</xdr:col>
                    <xdr:colOff>83820</xdr:colOff>
                    <xdr:row>1</xdr:row>
                    <xdr:rowOff>144780</xdr:rowOff>
                  </to>
                </anchor>
              </controlPr>
            </control>
          </mc:Choice>
        </mc:AlternateContent>
        <mc:AlternateContent xmlns:mc="http://schemas.openxmlformats.org/markup-compatibility/2006">
          <mc:Choice Requires="x14">
            <control shapeId="8203" r:id="rId8" name="Button 11">
              <controlPr defaultSize="0" print="0" autoFill="0" autoPict="0" macro="[0]!ClearPP2">
                <anchor moveWithCells="1" sizeWithCells="1">
                  <from>
                    <xdr:col>10</xdr:col>
                    <xdr:colOff>22860</xdr:colOff>
                    <xdr:row>2</xdr:row>
                    <xdr:rowOff>22860</xdr:rowOff>
                  </from>
                  <to>
                    <xdr:col>11</xdr:col>
                    <xdr:colOff>83820</xdr:colOff>
                    <xdr:row>3</xdr:row>
                    <xdr:rowOff>7620</xdr:rowOff>
                  </to>
                </anchor>
              </controlPr>
            </control>
          </mc:Choice>
        </mc:AlternateContent>
        <mc:AlternateContent xmlns:mc="http://schemas.openxmlformats.org/markup-compatibility/2006">
          <mc:Choice Requires="x14">
            <control shapeId="8204" r:id="rId9" name="Button 12">
              <controlPr defaultSize="0" print="0" autoFill="0" autoPict="0" macro="[0]!ClearPP3">
                <anchor moveWithCells="1" sizeWithCells="1">
                  <from>
                    <xdr:col>10</xdr:col>
                    <xdr:colOff>22860</xdr:colOff>
                    <xdr:row>3</xdr:row>
                    <xdr:rowOff>60960</xdr:rowOff>
                  </from>
                  <to>
                    <xdr:col>11</xdr:col>
                    <xdr:colOff>83820</xdr:colOff>
                    <xdr:row>3</xdr:row>
                    <xdr:rowOff>228600</xdr:rowOff>
                  </to>
                </anchor>
              </controlPr>
            </control>
          </mc:Choice>
        </mc:AlternateContent>
        <mc:AlternateContent xmlns:mc="http://schemas.openxmlformats.org/markup-compatibility/2006">
          <mc:Choice Requires="x14">
            <control shapeId="8205" r:id="rId10" name="Button 13">
              <controlPr defaultSize="0" print="0" autoFill="0" autoPict="0" macro="[0]!SetUpLinesPP3">
                <anchor moveWithCells="1" sizeWithCells="1">
                  <from>
                    <xdr:col>8</xdr:col>
                    <xdr:colOff>45720</xdr:colOff>
                    <xdr:row>3</xdr:row>
                    <xdr:rowOff>45720</xdr:rowOff>
                  </from>
                  <to>
                    <xdr:col>9</xdr:col>
                    <xdr:colOff>419100</xdr:colOff>
                    <xdr:row>3</xdr:row>
                    <xdr:rowOff>228600</xdr:rowOff>
                  </to>
                </anchor>
              </controlPr>
            </control>
          </mc:Choice>
        </mc:AlternateContent>
        <mc:AlternateContent xmlns:mc="http://schemas.openxmlformats.org/markup-compatibility/2006">
          <mc:Choice Requires="x14">
            <control shapeId="8206" r:id="rId11" name="Button 14">
              <controlPr defaultSize="0" print="0" autoFill="0" autoPict="0" macro="[0]!ChangeZeroFlag">
                <anchor moveWithCells="1" sizeWithCells="1">
                  <from>
                    <xdr:col>11</xdr:col>
                    <xdr:colOff>251460</xdr:colOff>
                    <xdr:row>2</xdr:row>
                    <xdr:rowOff>106680</xdr:rowOff>
                  </from>
                  <to>
                    <xdr:col>12</xdr:col>
                    <xdr:colOff>1363980</xdr:colOff>
                    <xdr:row>3</xdr:row>
                    <xdr:rowOff>167640</xdr:rowOff>
                  </to>
                </anchor>
              </controlPr>
            </control>
          </mc:Choice>
        </mc:AlternateContent>
        <mc:AlternateContent xmlns:mc="http://schemas.openxmlformats.org/markup-compatibility/2006">
          <mc:Choice Requires="x14">
            <control shapeId="8209" r:id="rId12" name="Button 17">
              <controlPr defaultSize="0" print="0" autoFill="0" autoPict="0" macro="[0]!ProgressRecord">
                <anchor moveWithCells="1" sizeWithCells="1">
                  <from>
                    <xdr:col>35</xdr:col>
                    <xdr:colOff>144780</xdr:colOff>
                    <xdr:row>3</xdr:row>
                    <xdr:rowOff>83820</xdr:rowOff>
                  </from>
                  <to>
                    <xdr:col>37</xdr:col>
                    <xdr:colOff>381000</xdr:colOff>
                    <xdr:row>4</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Lines">
    <tabColor theme="6" tint="-0.249977111117893"/>
    <pageSetUpPr fitToPage="1"/>
  </sheetPr>
  <dimension ref="A1:U66"/>
  <sheetViews>
    <sheetView zoomScale="75" zoomScaleNormal="75" workbookViewId="0">
      <pane ySplit="1" topLeftCell="A2" activePane="bottomLeft" state="frozen"/>
      <selection pane="bottomLeft" activeCell="D3" sqref="D3:L22"/>
    </sheetView>
  </sheetViews>
  <sheetFormatPr defaultColWidth="11" defaultRowHeight="15.6"/>
  <cols>
    <col min="1" max="1" width="8.140625" style="395" bestFit="1" customWidth="1"/>
    <col min="2" max="2" width="12.28515625" style="395" bestFit="1" customWidth="1"/>
    <col min="3" max="3" width="17.5703125" style="398" customWidth="1"/>
    <col min="4" max="4" width="11.28515625" style="367" customWidth="1"/>
    <col min="5" max="5" width="23.7109375" style="411" customWidth="1"/>
    <col min="6" max="6" width="12.7109375" style="394" customWidth="1"/>
    <col min="7" max="7" width="23.42578125" style="399" customWidth="1"/>
    <col min="8" max="8" width="11" style="394" customWidth="1"/>
    <col min="9" max="9" width="12.85546875" style="399" customWidth="1"/>
    <col min="10" max="10" width="13" style="394" customWidth="1"/>
    <col min="11" max="11" width="15.140625" style="400" customWidth="1"/>
    <col min="12" max="12" width="34.42578125" style="395" bestFit="1" customWidth="1"/>
    <col min="13" max="13" width="9" style="100" customWidth="1"/>
    <col min="14" max="14" width="9.85546875" style="101" customWidth="1"/>
    <col min="15" max="15" width="16" customWidth="1"/>
    <col min="16" max="17" width="11.28515625" bestFit="1" customWidth="1"/>
    <col min="18" max="18" width="12" style="101" bestFit="1" customWidth="1"/>
    <col min="19" max="20" width="11.140625" style="101" bestFit="1" customWidth="1"/>
    <col min="21" max="21" width="35.42578125" style="101" customWidth="1"/>
    <col min="22" max="16384" width="11" style="101"/>
  </cols>
  <sheetData>
    <row r="1" spans="1:19" ht="63.6" customHeight="1" thickBot="1">
      <c r="C1" s="417" t="s">
        <v>89</v>
      </c>
      <c r="D1" s="418" t="s">
        <v>267</v>
      </c>
      <c r="E1" s="419" t="s">
        <v>268</v>
      </c>
      <c r="F1" s="418" t="s">
        <v>269</v>
      </c>
      <c r="G1" s="420" t="s">
        <v>270</v>
      </c>
      <c r="H1" s="418" t="s">
        <v>271</v>
      </c>
      <c r="I1" s="420" t="s">
        <v>272</v>
      </c>
      <c r="J1" s="418" t="s">
        <v>273</v>
      </c>
      <c r="K1" s="421" t="s">
        <v>274</v>
      </c>
      <c r="L1" s="422" t="s">
        <v>275</v>
      </c>
      <c r="N1" s="341"/>
    </row>
    <row r="2" spans="1:19" s="460" customFormat="1" ht="40.049999999999997" customHeight="1" thickBot="1">
      <c r="A2" s="459"/>
      <c r="B2" s="462" t="s">
        <v>280</v>
      </c>
      <c r="C2" s="455"/>
      <c r="D2" s="455"/>
      <c r="E2" s="459"/>
      <c r="F2" s="463"/>
      <c r="G2" s="464"/>
      <c r="H2" s="463"/>
      <c r="I2" s="464"/>
      <c r="J2" s="463"/>
      <c r="K2" s="465"/>
      <c r="L2" s="459"/>
      <c r="M2" t="s">
        <v>278</v>
      </c>
      <c r="O2" s="450"/>
      <c r="P2" s="450"/>
      <c r="Q2" s="450"/>
    </row>
    <row r="3" spans="1:19" ht="15" customHeight="1">
      <c r="A3"/>
      <c r="B3" s="396" t="s">
        <v>119</v>
      </c>
      <c r="C3" s="398">
        <f t="shared" ref="C3:C36" ca="1" si="0">OFFSET(DateSeries,D3,0,1,1)</f>
        <v>43961</v>
      </c>
      <c r="D3" s="466"/>
      <c r="E3" s="401"/>
      <c r="F3" s="402"/>
      <c r="G3" s="401"/>
      <c r="H3" s="402"/>
      <c r="I3" s="401"/>
      <c r="J3" s="402"/>
      <c r="K3" s="403"/>
      <c r="L3" s="396"/>
      <c r="M3" t="s">
        <v>284</v>
      </c>
    </row>
    <row r="4" spans="1:19" ht="15" customHeight="1" thickBot="1">
      <c r="A4"/>
      <c r="B4" s="397" t="s">
        <v>120</v>
      </c>
      <c r="C4" s="412">
        <f t="shared" ca="1" si="0"/>
        <v>43961</v>
      </c>
      <c r="D4" s="413"/>
      <c r="E4" s="405"/>
      <c r="F4" s="404"/>
      <c r="G4" s="405"/>
      <c r="H4" s="404"/>
      <c r="I4" s="405"/>
      <c r="J4" s="404"/>
      <c r="K4" s="406"/>
      <c r="L4" s="397"/>
      <c r="M4" t="s">
        <v>285</v>
      </c>
    </row>
    <row r="5" spans="1:19" ht="15" customHeight="1">
      <c r="A5"/>
      <c r="B5" s="395" t="s">
        <v>119</v>
      </c>
      <c r="C5" s="398">
        <f t="shared" ca="1" si="0"/>
        <v>43961</v>
      </c>
      <c r="D5" s="466"/>
      <c r="E5" s="401"/>
      <c r="F5" s="402"/>
      <c r="G5" s="401"/>
      <c r="H5" s="402"/>
      <c r="I5" s="401"/>
      <c r="J5" s="402"/>
      <c r="K5" s="403"/>
      <c r="L5" s="396"/>
      <c r="M5" t="s">
        <v>284</v>
      </c>
    </row>
    <row r="6" spans="1:19" ht="15" customHeight="1" thickBot="1">
      <c r="A6"/>
      <c r="B6" s="397" t="s">
        <v>120</v>
      </c>
      <c r="C6" s="412">
        <f t="shared" ca="1" si="0"/>
        <v>43961</v>
      </c>
      <c r="D6" s="413"/>
      <c r="E6" s="405"/>
      <c r="F6" s="404"/>
      <c r="G6" s="405"/>
      <c r="H6" s="404"/>
      <c r="I6" s="405"/>
      <c r="J6" s="404"/>
      <c r="K6" s="406"/>
      <c r="L6" s="397"/>
      <c r="M6" t="s">
        <v>285</v>
      </c>
    </row>
    <row r="7" spans="1:19" ht="15" customHeight="1">
      <c r="A7"/>
      <c r="B7" s="395" t="s">
        <v>119</v>
      </c>
      <c r="C7" s="398">
        <f t="shared" ca="1" si="0"/>
        <v>43961</v>
      </c>
      <c r="D7" s="466"/>
      <c r="E7" s="401"/>
      <c r="F7" s="402"/>
      <c r="G7" s="401"/>
      <c r="H7" s="402"/>
      <c r="I7" s="401"/>
      <c r="J7" s="402"/>
      <c r="K7" s="403"/>
      <c r="L7" s="396"/>
    </row>
    <row r="8" spans="1:19" ht="15" customHeight="1" thickBot="1">
      <c r="A8"/>
      <c r="B8" s="397" t="s">
        <v>120</v>
      </c>
      <c r="C8" s="412">
        <f t="shared" ca="1" si="0"/>
        <v>43961</v>
      </c>
      <c r="D8" s="413"/>
      <c r="E8" s="405"/>
      <c r="F8" s="404"/>
      <c r="G8" s="405"/>
      <c r="H8" s="404"/>
      <c r="I8" s="405"/>
      <c r="J8" s="404"/>
      <c r="K8" s="406"/>
      <c r="L8" s="397"/>
    </row>
    <row r="9" spans="1:19" ht="15" customHeight="1">
      <c r="A9"/>
      <c r="B9" s="395" t="s">
        <v>119</v>
      </c>
      <c r="C9" s="398">
        <f t="shared" ca="1" si="0"/>
        <v>43961</v>
      </c>
      <c r="D9" s="466"/>
      <c r="E9" s="401"/>
      <c r="F9" s="402"/>
      <c r="G9" s="401"/>
      <c r="H9" s="402"/>
      <c r="I9" s="401"/>
      <c r="J9" s="402"/>
      <c r="K9" s="403"/>
      <c r="L9" s="396"/>
    </row>
    <row r="10" spans="1:19" ht="15" customHeight="1" thickBot="1">
      <c r="A10"/>
      <c r="B10" s="397" t="s">
        <v>120</v>
      </c>
      <c r="C10" s="412">
        <f t="shared" ca="1" si="0"/>
        <v>43961</v>
      </c>
      <c r="D10" s="413"/>
      <c r="E10" s="405"/>
      <c r="F10" s="404"/>
      <c r="G10" s="405"/>
      <c r="H10" s="404"/>
      <c r="I10" s="405"/>
      <c r="J10" s="404"/>
      <c r="K10" s="406"/>
      <c r="L10" s="397"/>
    </row>
    <row r="11" spans="1:19" ht="15" customHeight="1">
      <c r="A11"/>
      <c r="B11" s="396" t="s">
        <v>119</v>
      </c>
      <c r="C11" s="434">
        <f t="shared" ca="1" si="0"/>
        <v>43961</v>
      </c>
      <c r="D11" s="466"/>
      <c r="E11" s="401"/>
      <c r="F11" s="402"/>
      <c r="G11" s="401"/>
      <c r="H11" s="402"/>
      <c r="I11" s="401"/>
      <c r="J11" s="402"/>
      <c r="K11" s="403"/>
      <c r="L11" s="396"/>
    </row>
    <row r="12" spans="1:19" ht="15" customHeight="1" thickBot="1">
      <c r="A12"/>
      <c r="B12" s="397" t="s">
        <v>120</v>
      </c>
      <c r="C12" s="412">
        <f t="shared" ca="1" si="0"/>
        <v>43961</v>
      </c>
      <c r="D12" s="413"/>
      <c r="E12" s="405"/>
      <c r="F12" s="404"/>
      <c r="G12" s="405"/>
      <c r="H12" s="404"/>
      <c r="I12" s="405"/>
      <c r="J12" s="404"/>
      <c r="K12" s="406"/>
      <c r="L12" s="397"/>
    </row>
    <row r="13" spans="1:19" ht="15" customHeight="1">
      <c r="A13"/>
      <c r="B13" s="395" t="s">
        <v>119</v>
      </c>
      <c r="C13" s="398">
        <f t="shared" ca="1" si="0"/>
        <v>43961</v>
      </c>
      <c r="D13" s="466"/>
      <c r="E13" s="401"/>
      <c r="F13" s="402"/>
      <c r="G13" s="401"/>
      <c r="H13" s="402"/>
      <c r="I13" s="401"/>
      <c r="J13" s="402"/>
      <c r="K13" s="403"/>
      <c r="L13" s="396"/>
    </row>
    <row r="14" spans="1:19" ht="15" customHeight="1" thickBot="1">
      <c r="A14"/>
      <c r="B14" s="397" t="s">
        <v>120</v>
      </c>
      <c r="C14" s="412">
        <f t="shared" ca="1" si="0"/>
        <v>43961</v>
      </c>
      <c r="D14" s="413"/>
      <c r="E14" s="405"/>
      <c r="F14" s="404"/>
      <c r="G14" s="405"/>
      <c r="H14" s="404"/>
      <c r="I14" s="405"/>
      <c r="J14" s="404"/>
      <c r="K14" s="406"/>
      <c r="L14" s="397"/>
      <c r="R14" s="370"/>
      <c r="S14" s="105"/>
    </row>
    <row r="15" spans="1:19" ht="15" customHeight="1">
      <c r="A15"/>
      <c r="B15" s="395" t="s">
        <v>119</v>
      </c>
      <c r="C15" s="398">
        <f t="shared" ca="1" si="0"/>
        <v>43961</v>
      </c>
      <c r="D15" s="466"/>
      <c r="E15" s="401"/>
      <c r="F15" s="402"/>
      <c r="G15" s="401"/>
      <c r="H15" s="402"/>
      <c r="I15" s="401"/>
      <c r="J15" s="402"/>
      <c r="K15" s="403"/>
      <c r="L15" s="396"/>
      <c r="R15" s="105"/>
      <c r="S15" s="105"/>
    </row>
    <row r="16" spans="1:19" ht="15" customHeight="1" thickBot="1">
      <c r="A16"/>
      <c r="B16" s="397" t="s">
        <v>120</v>
      </c>
      <c r="C16" s="412">
        <f t="shared" ca="1" si="0"/>
        <v>43961</v>
      </c>
      <c r="D16" s="413"/>
      <c r="E16" s="405"/>
      <c r="F16" s="404"/>
      <c r="G16" s="405"/>
      <c r="H16" s="404"/>
      <c r="I16" s="405"/>
      <c r="J16" s="404"/>
      <c r="K16" s="406"/>
      <c r="L16" s="397"/>
      <c r="R16" s="105"/>
      <c r="S16" s="105"/>
    </row>
    <row r="17" spans="1:19" ht="15" customHeight="1">
      <c r="A17"/>
      <c r="B17" s="395" t="s">
        <v>119</v>
      </c>
      <c r="C17" s="398">
        <f t="shared" ca="1" si="0"/>
        <v>43961</v>
      </c>
      <c r="D17" s="466"/>
      <c r="E17" s="401"/>
      <c r="F17" s="402"/>
      <c r="G17" s="401"/>
      <c r="H17" s="402"/>
      <c r="I17" s="401"/>
      <c r="J17" s="402"/>
      <c r="K17" s="403"/>
      <c r="L17" s="396"/>
      <c r="R17" s="105"/>
      <c r="S17" s="105"/>
    </row>
    <row r="18" spans="1:19" ht="15" customHeight="1" thickBot="1">
      <c r="A18"/>
      <c r="B18" s="397" t="s">
        <v>120</v>
      </c>
      <c r="C18" s="412">
        <f t="shared" ca="1" si="0"/>
        <v>43961</v>
      </c>
      <c r="D18" s="413"/>
      <c r="E18" s="405"/>
      <c r="F18" s="404"/>
      <c r="G18" s="405"/>
      <c r="H18" s="404"/>
      <c r="I18" s="405"/>
      <c r="J18" s="404"/>
      <c r="K18" s="406"/>
      <c r="L18" s="397"/>
      <c r="R18" s="105"/>
      <c r="S18" s="105"/>
    </row>
    <row r="19" spans="1:19" ht="15" customHeight="1">
      <c r="A19"/>
      <c r="B19" s="395" t="s">
        <v>119</v>
      </c>
      <c r="C19" s="398">
        <f t="shared" ca="1" si="0"/>
        <v>43961</v>
      </c>
      <c r="D19" s="466"/>
      <c r="E19" s="401"/>
      <c r="F19" s="402"/>
      <c r="G19" s="401"/>
      <c r="H19" s="402"/>
      <c r="I19" s="401"/>
      <c r="J19" s="402"/>
      <c r="K19" s="403"/>
      <c r="L19" s="396"/>
      <c r="R19" s="105"/>
      <c r="S19" s="105"/>
    </row>
    <row r="20" spans="1:19" ht="15" customHeight="1" thickBot="1">
      <c r="A20"/>
      <c r="B20" s="397" t="s">
        <v>120</v>
      </c>
      <c r="C20" s="412">
        <f t="shared" ca="1" si="0"/>
        <v>43961</v>
      </c>
      <c r="D20" s="413"/>
      <c r="E20" s="405"/>
      <c r="F20" s="404"/>
      <c r="G20" s="405"/>
      <c r="H20" s="404"/>
      <c r="I20" s="405"/>
      <c r="J20" s="404"/>
      <c r="K20" s="406"/>
      <c r="L20" s="397"/>
      <c r="R20" s="105"/>
      <c r="S20" s="105"/>
    </row>
    <row r="21" spans="1:19" ht="15" customHeight="1">
      <c r="A21"/>
      <c r="B21" s="395" t="s">
        <v>119</v>
      </c>
      <c r="C21" s="398">
        <f t="shared" ca="1" si="0"/>
        <v>43961</v>
      </c>
      <c r="D21" s="466"/>
      <c r="E21" s="401"/>
      <c r="F21" s="402"/>
      <c r="G21" s="401"/>
      <c r="H21" s="402"/>
      <c r="I21" s="401"/>
      <c r="J21" s="402"/>
      <c r="K21" s="403"/>
      <c r="L21" s="396"/>
      <c r="R21" s="105"/>
      <c r="S21" s="105"/>
    </row>
    <row r="22" spans="1:19" ht="15" customHeight="1" thickBot="1">
      <c r="A22"/>
      <c r="B22" s="397" t="s">
        <v>120</v>
      </c>
      <c r="C22" s="412">
        <f t="shared" ca="1" si="0"/>
        <v>43961</v>
      </c>
      <c r="D22" s="413"/>
      <c r="E22" s="405"/>
      <c r="F22" s="404"/>
      <c r="G22" s="405"/>
      <c r="H22" s="404"/>
      <c r="I22" s="405"/>
      <c r="J22" s="404"/>
      <c r="K22" s="406"/>
      <c r="L22" s="397"/>
      <c r="R22" s="105"/>
      <c r="S22" s="105"/>
    </row>
    <row r="23" spans="1:19" ht="15" customHeight="1">
      <c r="A23"/>
      <c r="C23" s="434"/>
      <c r="D23" s="414"/>
      <c r="E23" s="408"/>
      <c r="F23" s="407"/>
      <c r="G23" s="408"/>
      <c r="H23" s="407"/>
      <c r="I23" s="408"/>
      <c r="J23" s="407"/>
      <c r="K23" s="415"/>
      <c r="R23" s="105"/>
      <c r="S23" s="105"/>
    </row>
    <row r="24" spans="1:19" s="460" customFormat="1" ht="40.049999999999997" customHeight="1" thickBot="1">
      <c r="A24" s="450"/>
      <c r="B24" s="462" t="s">
        <v>282</v>
      </c>
      <c r="C24" s="451"/>
      <c r="D24" s="451"/>
      <c r="E24" s="456"/>
      <c r="F24" s="457"/>
      <c r="G24" s="456"/>
      <c r="H24" s="457"/>
      <c r="I24" s="456"/>
      <c r="J24" s="457"/>
      <c r="K24" s="458"/>
      <c r="L24" s="459"/>
      <c r="O24" s="450"/>
      <c r="P24" s="450"/>
      <c r="Q24" s="450"/>
      <c r="R24" s="461"/>
      <c r="S24" s="461"/>
    </row>
    <row r="25" spans="1:19" ht="15" customHeight="1">
      <c r="A25"/>
      <c r="B25" s="395" t="s">
        <v>119</v>
      </c>
      <c r="C25" s="398">
        <f t="shared" ca="1" si="0"/>
        <v>43961</v>
      </c>
      <c r="D25" s="466"/>
      <c r="E25" s="401"/>
      <c r="F25" s="402"/>
      <c r="G25" s="401"/>
      <c r="H25" s="402"/>
      <c r="I25" s="401"/>
      <c r="J25" s="402"/>
      <c r="K25" s="409"/>
      <c r="L25" s="396"/>
      <c r="M25"/>
      <c r="R25" s="105"/>
      <c r="S25" s="105"/>
    </row>
    <row r="26" spans="1:19" ht="15" customHeight="1" thickBot="1">
      <c r="A26"/>
      <c r="B26" s="397" t="s">
        <v>120</v>
      </c>
      <c r="C26" s="412">
        <f t="shared" ca="1" si="0"/>
        <v>43961</v>
      </c>
      <c r="D26" s="416"/>
      <c r="E26" s="405"/>
      <c r="F26" s="404"/>
      <c r="G26" s="405"/>
      <c r="H26" s="404"/>
      <c r="I26" s="405"/>
      <c r="J26" s="404"/>
      <c r="K26" s="410"/>
      <c r="L26" s="397"/>
      <c r="M26" t="s">
        <v>284</v>
      </c>
    </row>
    <row r="27" spans="1:19" ht="15" customHeight="1">
      <c r="A27"/>
      <c r="B27" s="396" t="s">
        <v>119</v>
      </c>
      <c r="C27" s="398">
        <f t="shared" ca="1" si="0"/>
        <v>43961</v>
      </c>
      <c r="D27" s="466"/>
      <c r="E27" s="401"/>
      <c r="F27" s="402"/>
      <c r="G27" s="401"/>
      <c r="H27" s="402"/>
      <c r="I27" s="401"/>
      <c r="J27" s="402"/>
      <c r="K27" s="409"/>
      <c r="L27" s="396"/>
      <c r="M27" t="s">
        <v>286</v>
      </c>
    </row>
    <row r="28" spans="1:19" ht="15" customHeight="1" thickBot="1">
      <c r="A28"/>
      <c r="B28" s="397" t="s">
        <v>120</v>
      </c>
      <c r="C28" s="412">
        <f t="shared" ca="1" si="0"/>
        <v>43961</v>
      </c>
      <c r="D28" s="416"/>
      <c r="E28" s="405"/>
      <c r="F28" s="404"/>
      <c r="G28" s="405"/>
      <c r="H28" s="404"/>
      <c r="I28" s="405"/>
      <c r="J28" s="404"/>
      <c r="K28" s="410"/>
      <c r="L28" s="397"/>
    </row>
    <row r="29" spans="1:19" ht="15" customHeight="1">
      <c r="A29"/>
      <c r="B29" s="396" t="s">
        <v>119</v>
      </c>
      <c r="C29" s="398">
        <f t="shared" ca="1" si="0"/>
        <v>43961</v>
      </c>
      <c r="D29" s="466"/>
      <c r="E29" s="401"/>
      <c r="F29" s="402"/>
      <c r="G29" s="401"/>
      <c r="H29" s="402"/>
      <c r="I29" s="401"/>
      <c r="J29" s="402"/>
      <c r="K29" s="409"/>
      <c r="L29" s="396"/>
    </row>
    <row r="30" spans="1:19" ht="15" customHeight="1" thickBot="1">
      <c r="A30"/>
      <c r="B30" s="397" t="s">
        <v>120</v>
      </c>
      <c r="C30" s="412">
        <f t="shared" ca="1" si="0"/>
        <v>43961</v>
      </c>
      <c r="D30" s="416"/>
      <c r="E30" s="405"/>
      <c r="F30" s="404"/>
      <c r="G30" s="405"/>
      <c r="H30" s="404"/>
      <c r="I30" s="405"/>
      <c r="J30" s="404"/>
      <c r="K30" s="410"/>
      <c r="L30" s="397"/>
    </row>
    <row r="31" spans="1:19" ht="15" customHeight="1">
      <c r="A31"/>
      <c r="B31" s="396" t="s">
        <v>119</v>
      </c>
      <c r="C31" s="398">
        <f t="shared" ca="1" si="0"/>
        <v>43961</v>
      </c>
      <c r="D31" s="466"/>
      <c r="E31" s="401"/>
      <c r="F31" s="402"/>
      <c r="G31" s="401"/>
      <c r="H31" s="402"/>
      <c r="I31" s="401"/>
      <c r="J31" s="402"/>
      <c r="K31" s="409"/>
      <c r="L31" s="396"/>
    </row>
    <row r="32" spans="1:19" ht="15" customHeight="1" thickBot="1">
      <c r="A32"/>
      <c r="B32" s="397" t="s">
        <v>120</v>
      </c>
      <c r="C32" s="412">
        <f t="shared" ca="1" si="0"/>
        <v>43961</v>
      </c>
      <c r="D32" s="416"/>
      <c r="E32" s="405"/>
      <c r="F32" s="404"/>
      <c r="G32" s="405"/>
      <c r="H32" s="404"/>
      <c r="I32" s="405"/>
      <c r="J32" s="404"/>
      <c r="K32" s="410"/>
      <c r="L32" s="397"/>
    </row>
    <row r="33" spans="1:21" ht="15" customHeight="1">
      <c r="A33"/>
      <c r="B33" s="396" t="s">
        <v>119</v>
      </c>
      <c r="C33" s="398">
        <f t="shared" ca="1" si="0"/>
        <v>43961</v>
      </c>
      <c r="D33" s="466"/>
      <c r="E33" s="401"/>
      <c r="F33" s="402"/>
      <c r="G33" s="401"/>
      <c r="H33" s="402"/>
      <c r="I33" s="401"/>
      <c r="J33" s="402"/>
      <c r="K33" s="409"/>
      <c r="L33" s="396"/>
    </row>
    <row r="34" spans="1:21" ht="15" customHeight="1" thickBot="1">
      <c r="A34"/>
      <c r="B34" s="397" t="s">
        <v>120</v>
      </c>
      <c r="C34" s="412">
        <f t="shared" ca="1" si="0"/>
        <v>43961</v>
      </c>
      <c r="D34" s="416"/>
      <c r="E34" s="405"/>
      <c r="F34" s="404"/>
      <c r="G34" s="405"/>
      <c r="H34" s="404"/>
      <c r="I34" s="405"/>
      <c r="J34" s="404"/>
      <c r="K34" s="410"/>
      <c r="L34" s="397"/>
    </row>
    <row r="35" spans="1:21" s="104" customFormat="1" ht="15" customHeight="1">
      <c r="A35"/>
      <c r="B35" s="396" t="s">
        <v>119</v>
      </c>
      <c r="C35" s="398">
        <f t="shared" ca="1" si="0"/>
        <v>43961</v>
      </c>
      <c r="D35" s="466"/>
      <c r="E35" s="401"/>
      <c r="F35" s="402"/>
      <c r="G35" s="401"/>
      <c r="H35" s="402"/>
      <c r="I35" s="401"/>
      <c r="J35" s="402"/>
      <c r="K35" s="409"/>
      <c r="L35" s="396"/>
      <c r="O35"/>
      <c r="Q35"/>
    </row>
    <row r="36" spans="1:21" ht="15" customHeight="1" thickBot="1">
      <c r="A36"/>
      <c r="B36" s="397" t="s">
        <v>120</v>
      </c>
      <c r="C36" s="412">
        <f t="shared" ca="1" si="0"/>
        <v>43961</v>
      </c>
      <c r="D36" s="416"/>
      <c r="E36" s="405"/>
      <c r="F36" s="404"/>
      <c r="G36" s="405"/>
      <c r="H36" s="404"/>
      <c r="I36" s="405"/>
      <c r="J36" s="404"/>
      <c r="K36" s="410"/>
      <c r="L36" s="397"/>
    </row>
    <row r="37" spans="1:21" ht="15" customHeight="1">
      <c r="A37"/>
      <c r="B37" s="396" t="s">
        <v>119</v>
      </c>
      <c r="C37" s="398">
        <f t="shared" ref="C37:C66" ca="1" si="1">OFFSET(DateSeries,D37,0,1,1)</f>
        <v>43961</v>
      </c>
      <c r="D37" s="466"/>
      <c r="E37" s="401"/>
      <c r="F37" s="402"/>
      <c r="G37" s="401"/>
      <c r="H37" s="402"/>
      <c r="I37" s="401"/>
      <c r="J37" s="402"/>
      <c r="K37" s="409"/>
      <c r="L37" s="396"/>
      <c r="O37" t="s">
        <v>279</v>
      </c>
    </row>
    <row r="38" spans="1:21" s="104" customFormat="1" ht="15" customHeight="1" thickBot="1">
      <c r="A38"/>
      <c r="B38" s="397" t="s">
        <v>120</v>
      </c>
      <c r="C38" s="412">
        <f t="shared" ca="1" si="1"/>
        <v>43961</v>
      </c>
      <c r="D38" s="416"/>
      <c r="E38" s="405"/>
      <c r="F38" s="404"/>
      <c r="G38" s="405"/>
      <c r="H38" s="404"/>
      <c r="I38" s="405"/>
      <c r="J38" s="404"/>
      <c r="K38" s="410"/>
      <c r="L38" s="397"/>
      <c r="O38"/>
      <c r="P38"/>
      <c r="Q38"/>
    </row>
    <row r="39" spans="1:21" ht="15" customHeight="1">
      <c r="A39"/>
      <c r="B39" s="396" t="s">
        <v>119</v>
      </c>
      <c r="C39" s="398">
        <f t="shared" ca="1" si="1"/>
        <v>43961</v>
      </c>
      <c r="D39" s="466"/>
      <c r="E39" s="401"/>
      <c r="F39" s="402"/>
      <c r="G39" s="401"/>
      <c r="H39" s="402"/>
      <c r="I39" s="401"/>
      <c r="J39" s="402"/>
      <c r="K39" s="409"/>
      <c r="L39" s="396"/>
      <c r="R39"/>
      <c r="S39"/>
      <c r="T39"/>
      <c r="U39"/>
    </row>
    <row r="40" spans="1:21" ht="15" customHeight="1" thickBot="1">
      <c r="A40"/>
      <c r="B40" s="397" t="s">
        <v>120</v>
      </c>
      <c r="C40" s="412">
        <f t="shared" ca="1" si="1"/>
        <v>43961</v>
      </c>
      <c r="D40" s="416"/>
      <c r="E40" s="405"/>
      <c r="F40" s="404"/>
      <c r="G40" s="405"/>
      <c r="H40" s="404"/>
      <c r="I40" s="405"/>
      <c r="J40" s="404"/>
      <c r="K40" s="410"/>
      <c r="L40" s="397"/>
      <c r="R40"/>
      <c r="S40"/>
      <c r="T40"/>
      <c r="U40"/>
    </row>
    <row r="41" spans="1:21" s="104" customFormat="1" ht="15" customHeight="1">
      <c r="A41"/>
      <c r="B41" s="396" t="s">
        <v>119</v>
      </c>
      <c r="C41" s="398">
        <f t="shared" ca="1" si="1"/>
        <v>43961</v>
      </c>
      <c r="D41" s="466"/>
      <c r="E41" s="401"/>
      <c r="F41" s="402"/>
      <c r="G41" s="401"/>
      <c r="H41" s="402"/>
      <c r="I41" s="401"/>
      <c r="J41" s="402"/>
      <c r="K41" s="409"/>
      <c r="L41" s="396"/>
      <c r="O41"/>
      <c r="P41"/>
      <c r="Q41"/>
      <c r="R41"/>
      <c r="S41"/>
      <c r="T41"/>
      <c r="U41"/>
    </row>
    <row r="42" spans="1:21" ht="15" customHeight="1" thickBot="1">
      <c r="A42"/>
      <c r="B42" s="397" t="s">
        <v>120</v>
      </c>
      <c r="C42" s="412">
        <f t="shared" ca="1" si="1"/>
        <v>43961</v>
      </c>
      <c r="D42" s="416"/>
      <c r="E42" s="405"/>
      <c r="F42" s="404"/>
      <c r="G42" s="405"/>
      <c r="H42" s="404"/>
      <c r="I42" s="405"/>
      <c r="J42" s="404"/>
      <c r="K42" s="410"/>
      <c r="L42" s="397"/>
      <c r="R42"/>
      <c r="S42"/>
      <c r="T42"/>
      <c r="U42"/>
    </row>
    <row r="43" spans="1:21" ht="15" customHeight="1">
      <c r="A43"/>
      <c r="B43" s="396" t="s">
        <v>119</v>
      </c>
      <c r="C43" s="398">
        <f t="shared" ca="1" si="1"/>
        <v>43961</v>
      </c>
      <c r="D43" s="466"/>
      <c r="E43" s="401"/>
      <c r="F43" s="402"/>
      <c r="G43" s="401"/>
      <c r="H43" s="402"/>
      <c r="I43" s="401"/>
      <c r="J43" s="402"/>
      <c r="K43" s="409"/>
      <c r="L43" s="396"/>
    </row>
    <row r="44" spans="1:21" s="104" customFormat="1" ht="15" customHeight="1" thickBot="1">
      <c r="A44"/>
      <c r="B44" s="395" t="s">
        <v>120</v>
      </c>
      <c r="C44" s="412">
        <f t="shared" ca="1" si="1"/>
        <v>43961</v>
      </c>
      <c r="D44" s="416"/>
      <c r="E44" s="405"/>
      <c r="F44" s="404"/>
      <c r="G44" s="405"/>
      <c r="H44" s="404"/>
      <c r="I44" s="405"/>
      <c r="J44" s="404"/>
      <c r="K44" s="410"/>
      <c r="L44" s="397"/>
      <c r="M44" s="103"/>
      <c r="O44"/>
      <c r="P44"/>
      <c r="Q44"/>
    </row>
    <row r="45" spans="1:21" ht="15" customHeight="1">
      <c r="A45"/>
      <c r="B45" s="396" t="s">
        <v>119</v>
      </c>
      <c r="C45" s="398">
        <f t="shared" ca="1" si="1"/>
        <v>43961</v>
      </c>
      <c r="D45" s="466"/>
      <c r="E45" s="401"/>
      <c r="F45" s="402"/>
      <c r="G45" s="401"/>
      <c r="H45" s="402"/>
      <c r="I45" s="401"/>
      <c r="J45" s="402"/>
      <c r="K45" s="409"/>
      <c r="L45" s="396"/>
    </row>
    <row r="46" spans="1:21" s="104" customFormat="1" ht="15" customHeight="1" thickBot="1">
      <c r="A46"/>
      <c r="B46" s="397" t="s">
        <v>120</v>
      </c>
      <c r="C46" s="424">
        <f t="shared" ca="1" si="1"/>
        <v>43961</v>
      </c>
      <c r="D46" s="416"/>
      <c r="E46" s="405"/>
      <c r="F46" s="404"/>
      <c r="G46" s="405"/>
      <c r="H46" s="404"/>
      <c r="I46" s="405"/>
      <c r="J46" s="404"/>
      <c r="K46" s="410"/>
      <c r="L46" s="397"/>
      <c r="M46" s="103"/>
      <c r="O46"/>
      <c r="P46"/>
      <c r="Q46"/>
    </row>
    <row r="47" spans="1:21" ht="15" customHeight="1">
      <c r="A47"/>
      <c r="B47"/>
      <c r="C47" s="423"/>
      <c r="D47"/>
      <c r="E47"/>
      <c r="F47"/>
      <c r="G47"/>
      <c r="H47"/>
      <c r="I47"/>
      <c r="J47"/>
      <c r="K47"/>
      <c r="L47"/>
      <c r="M47" s="102"/>
      <c r="N47" s="102"/>
    </row>
    <row r="48" spans="1:21" s="454" customFormat="1" ht="40.049999999999997" customHeight="1" thickBot="1">
      <c r="A48" s="450"/>
      <c r="B48" s="462" t="s">
        <v>281</v>
      </c>
      <c r="C48" s="451"/>
      <c r="D48" s="451"/>
      <c r="E48" s="452"/>
      <c r="F48" s="452"/>
      <c r="G48" s="452"/>
      <c r="H48" s="452"/>
      <c r="I48" s="452"/>
      <c r="J48" s="452"/>
      <c r="K48" s="452"/>
      <c r="L48" s="452"/>
      <c r="M48" s="453"/>
      <c r="O48" s="450"/>
      <c r="P48" s="450"/>
      <c r="Q48" s="450"/>
    </row>
    <row r="49" spans="1:17" ht="15" customHeight="1">
      <c r="A49"/>
      <c r="B49" s="395" t="s">
        <v>119</v>
      </c>
      <c r="C49" s="398">
        <f t="shared" ca="1" si="1"/>
        <v>43961</v>
      </c>
      <c r="D49" s="466"/>
      <c r="E49" s="399"/>
      <c r="F49" s="407"/>
      <c r="G49" s="408"/>
      <c r="M49" t="s">
        <v>283</v>
      </c>
    </row>
    <row r="50" spans="1:17" s="104" customFormat="1" ht="15" customHeight="1" thickBot="1">
      <c r="A50"/>
      <c r="B50" s="397" t="s">
        <v>120</v>
      </c>
      <c r="C50" s="412">
        <f t="shared" ca="1" si="1"/>
        <v>43961</v>
      </c>
      <c r="D50" s="413"/>
      <c r="E50" s="405"/>
      <c r="F50" s="404"/>
      <c r="G50" s="405"/>
      <c r="H50" s="404"/>
      <c r="I50" s="405"/>
      <c r="J50" s="404"/>
      <c r="K50" s="410"/>
      <c r="L50" s="397"/>
      <c r="M50" t="s">
        <v>284</v>
      </c>
      <c r="O50"/>
      <c r="P50"/>
      <c r="Q50"/>
    </row>
    <row r="51" spans="1:17" ht="15" customHeight="1">
      <c r="A51"/>
      <c r="B51" s="396" t="s">
        <v>119</v>
      </c>
      <c r="C51" s="398">
        <f t="shared" ca="1" si="1"/>
        <v>43961</v>
      </c>
      <c r="D51" s="466"/>
      <c r="E51" s="399"/>
      <c r="F51" s="407"/>
      <c r="G51" s="408"/>
      <c r="M51" t="s">
        <v>287</v>
      </c>
    </row>
    <row r="52" spans="1:17" s="104" customFormat="1" ht="15" customHeight="1" thickBot="1">
      <c r="A52"/>
      <c r="B52" s="397" t="s">
        <v>120</v>
      </c>
      <c r="C52" s="412">
        <f t="shared" ca="1" si="1"/>
        <v>43961</v>
      </c>
      <c r="D52" s="413"/>
      <c r="E52" s="405"/>
      <c r="F52" s="404"/>
      <c r="G52" s="405"/>
      <c r="H52" s="404"/>
      <c r="I52" s="405"/>
      <c r="J52" s="404"/>
      <c r="K52" s="410"/>
      <c r="L52" s="397"/>
      <c r="M52" s="103"/>
      <c r="O52" t="s">
        <v>277</v>
      </c>
      <c r="P52"/>
      <c r="Q52"/>
    </row>
    <row r="53" spans="1:17" ht="15" customHeight="1">
      <c r="A53"/>
      <c r="B53" s="396" t="s">
        <v>119</v>
      </c>
      <c r="C53" s="398">
        <f t="shared" ca="1" si="1"/>
        <v>43961</v>
      </c>
      <c r="D53" s="466"/>
      <c r="E53" s="399"/>
      <c r="F53" s="407"/>
      <c r="G53" s="408"/>
    </row>
    <row r="54" spans="1:17" s="104" customFormat="1" ht="15" customHeight="1" thickBot="1">
      <c r="A54"/>
      <c r="B54" s="397" t="s">
        <v>120</v>
      </c>
      <c r="C54" s="412">
        <f t="shared" ca="1" si="1"/>
        <v>43961</v>
      </c>
      <c r="D54" s="413"/>
      <c r="E54" s="405"/>
      <c r="F54" s="404"/>
      <c r="G54" s="405"/>
      <c r="H54" s="404"/>
      <c r="I54" s="405"/>
      <c r="J54" s="404"/>
      <c r="K54" s="410"/>
      <c r="L54" s="397"/>
      <c r="M54" s="103"/>
      <c r="O54"/>
      <c r="P54"/>
      <c r="Q54"/>
    </row>
    <row r="55" spans="1:17" ht="15" customHeight="1">
      <c r="A55"/>
      <c r="B55" s="396" t="s">
        <v>119</v>
      </c>
      <c r="C55" s="398">
        <f t="shared" ca="1" si="1"/>
        <v>43961</v>
      </c>
      <c r="D55" s="466"/>
      <c r="E55" s="399"/>
      <c r="F55" s="407"/>
      <c r="G55" s="408"/>
    </row>
    <row r="56" spans="1:17" ht="15" customHeight="1" thickBot="1">
      <c r="A56"/>
      <c r="B56" s="397" t="s">
        <v>120</v>
      </c>
      <c r="C56" s="412">
        <f t="shared" ca="1" si="1"/>
        <v>43961</v>
      </c>
      <c r="D56" s="413"/>
      <c r="E56" s="405"/>
      <c r="F56" s="404"/>
      <c r="G56" s="405"/>
      <c r="H56" s="404"/>
      <c r="I56" s="405"/>
      <c r="J56" s="404"/>
      <c r="K56" s="410"/>
      <c r="L56" s="397"/>
    </row>
    <row r="57" spans="1:17" ht="15" customHeight="1">
      <c r="A57"/>
      <c r="B57" s="396" t="s">
        <v>119</v>
      </c>
      <c r="C57" s="398">
        <f t="shared" ca="1" si="1"/>
        <v>43961</v>
      </c>
      <c r="D57" s="466"/>
      <c r="E57" s="399"/>
      <c r="F57" s="407"/>
      <c r="G57" s="408"/>
    </row>
    <row r="58" spans="1:17" ht="15" customHeight="1" thickBot="1">
      <c r="A58"/>
      <c r="B58" s="397" t="s">
        <v>120</v>
      </c>
      <c r="C58" s="412">
        <f t="shared" ca="1" si="1"/>
        <v>43961</v>
      </c>
      <c r="D58" s="413"/>
      <c r="E58" s="405"/>
      <c r="F58" s="404"/>
      <c r="G58" s="405"/>
      <c r="H58" s="404"/>
      <c r="I58" s="405"/>
      <c r="J58" s="404"/>
      <c r="K58" s="410"/>
      <c r="L58" s="397"/>
    </row>
    <row r="59" spans="1:17" ht="15" customHeight="1">
      <c r="A59"/>
      <c r="B59" s="396" t="s">
        <v>119</v>
      </c>
      <c r="C59" s="398">
        <f t="shared" ca="1" si="1"/>
        <v>43961</v>
      </c>
      <c r="D59" s="466"/>
      <c r="E59" s="399"/>
      <c r="F59" s="407"/>
      <c r="G59" s="408"/>
    </row>
    <row r="60" spans="1:17" ht="15" customHeight="1" thickBot="1">
      <c r="A60"/>
      <c r="B60" s="397" t="s">
        <v>120</v>
      </c>
      <c r="C60" s="412">
        <f t="shared" ca="1" si="1"/>
        <v>43961</v>
      </c>
      <c r="D60" s="413"/>
      <c r="E60" s="405"/>
      <c r="F60" s="404"/>
      <c r="G60" s="405"/>
      <c r="H60" s="404"/>
      <c r="I60" s="405"/>
      <c r="J60" s="404"/>
      <c r="K60" s="410"/>
      <c r="L60" s="397"/>
    </row>
    <row r="61" spans="1:17" ht="15" customHeight="1">
      <c r="A61"/>
      <c r="B61" s="396" t="s">
        <v>119</v>
      </c>
      <c r="C61" s="398">
        <f t="shared" ca="1" si="1"/>
        <v>43961</v>
      </c>
      <c r="D61" s="466"/>
      <c r="E61" s="399"/>
      <c r="F61" s="407"/>
      <c r="G61" s="408"/>
    </row>
    <row r="62" spans="1:17" ht="15" customHeight="1" thickBot="1">
      <c r="A62"/>
      <c r="B62" s="397" t="s">
        <v>120</v>
      </c>
      <c r="C62" s="412">
        <f t="shared" ca="1" si="1"/>
        <v>43961</v>
      </c>
      <c r="D62" s="413"/>
      <c r="E62" s="405"/>
      <c r="F62" s="404"/>
      <c r="G62" s="405"/>
      <c r="H62" s="404"/>
      <c r="I62" s="405"/>
      <c r="J62" s="404"/>
      <c r="K62" s="410"/>
      <c r="L62" s="397"/>
    </row>
    <row r="63" spans="1:17">
      <c r="A63"/>
      <c r="B63" s="396" t="s">
        <v>119</v>
      </c>
      <c r="C63" s="398">
        <f t="shared" ca="1" si="1"/>
        <v>43961</v>
      </c>
      <c r="D63" s="466"/>
      <c r="E63" s="399"/>
      <c r="F63" s="407"/>
      <c r="G63" s="408"/>
    </row>
    <row r="64" spans="1:17" ht="16.2" thickBot="1">
      <c r="B64" s="397" t="s">
        <v>120</v>
      </c>
      <c r="C64" s="412">
        <f t="shared" ca="1" si="1"/>
        <v>43961</v>
      </c>
      <c r="D64" s="413"/>
      <c r="E64" s="405"/>
      <c r="F64" s="404"/>
      <c r="G64" s="405"/>
      <c r="H64" s="404"/>
      <c r="I64" s="405"/>
      <c r="J64" s="404"/>
      <c r="K64" s="410"/>
      <c r="L64" s="397"/>
    </row>
    <row r="65" spans="2:12">
      <c r="B65" s="396" t="s">
        <v>119</v>
      </c>
      <c r="C65" s="398">
        <f t="shared" ca="1" si="1"/>
        <v>43961</v>
      </c>
      <c r="D65" s="466"/>
      <c r="E65" s="399"/>
      <c r="F65" s="407"/>
      <c r="G65" s="408"/>
    </row>
    <row r="66" spans="2:12" ht="16.2" thickBot="1">
      <c r="B66" s="397" t="s">
        <v>120</v>
      </c>
      <c r="C66" s="412">
        <f t="shared" ca="1" si="1"/>
        <v>43961</v>
      </c>
      <c r="D66" s="413"/>
      <c r="E66" s="405"/>
      <c r="F66" s="404"/>
      <c r="G66" s="405"/>
      <c r="H66" s="404"/>
      <c r="I66" s="405"/>
      <c r="J66" s="404"/>
      <c r="K66" s="410"/>
      <c r="L66" s="397"/>
    </row>
  </sheetData>
  <sortState xmlns:xlrd2="http://schemas.microsoft.com/office/spreadsheetml/2017/richdata2" ref="AX6">
    <sortCondition ref="AX5"/>
  </sortState>
  <phoneticPr fontId="0" type="noConversion"/>
  <printOptions headings="1"/>
  <pageMargins left="0.75" right="0.75" top="1" bottom="1" header="0.5" footer="0.5"/>
  <pageSetup scale="45"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learAC">
                <anchor moveWithCells="1" sizeWithCells="1">
                  <from>
                    <xdr:col>2</xdr:col>
                    <xdr:colOff>205740</xdr:colOff>
                    <xdr:row>1</xdr:row>
                    <xdr:rowOff>91440</xdr:rowOff>
                  </from>
                  <to>
                    <xdr:col>4</xdr:col>
                    <xdr:colOff>83820</xdr:colOff>
                    <xdr:row>1</xdr:row>
                    <xdr:rowOff>449580</xdr:rowOff>
                  </to>
                </anchor>
              </controlPr>
            </control>
          </mc:Choice>
        </mc:AlternateContent>
        <mc:AlternateContent xmlns:mc="http://schemas.openxmlformats.org/markup-compatibility/2006">
          <mc:Choice Requires="x14">
            <control shapeId="5123" r:id="rId5" name="Button 3">
              <controlPr defaultSize="0" print="0" autoFill="0" autoPict="0" macro="[0]!ClearDCLines">
                <anchor moveWithCells="1" sizeWithCells="1">
                  <from>
                    <xdr:col>2</xdr:col>
                    <xdr:colOff>22860</xdr:colOff>
                    <xdr:row>23</xdr:row>
                    <xdr:rowOff>30480</xdr:rowOff>
                  </from>
                  <to>
                    <xdr:col>4</xdr:col>
                    <xdr:colOff>91440</xdr:colOff>
                    <xdr:row>23</xdr:row>
                    <xdr:rowOff>411480</xdr:rowOff>
                  </to>
                </anchor>
              </controlPr>
            </control>
          </mc:Choice>
        </mc:AlternateContent>
        <mc:AlternateContent xmlns:mc="http://schemas.openxmlformats.org/markup-compatibility/2006">
          <mc:Choice Requires="x14">
            <control shapeId="5124" r:id="rId6" name="Button 4">
              <controlPr defaultSize="0" print="0" autoFill="0" autoPict="0" macro="[0]!ClearRCLines">
                <anchor moveWithCells="1" sizeWithCells="1">
                  <from>
                    <xdr:col>2</xdr:col>
                    <xdr:colOff>53340</xdr:colOff>
                    <xdr:row>47</xdr:row>
                    <xdr:rowOff>53340</xdr:rowOff>
                  </from>
                  <to>
                    <xdr:col>4</xdr:col>
                    <xdr:colOff>91440</xdr:colOff>
                    <xdr:row>47</xdr:row>
                    <xdr:rowOff>434340</xdr:rowOff>
                  </to>
                </anchor>
              </controlPr>
            </control>
          </mc:Choice>
        </mc:AlternateContent>
        <mc:AlternateContent xmlns:mc="http://schemas.openxmlformats.org/markup-compatibility/2006">
          <mc:Choice Requires="x14">
            <control shapeId="5125" r:id="rId7" name="Button 5">
              <controlPr defaultSize="0" print="0" autoFill="0" autoPict="0" macro="[0]!ClrLocAC">
                <anchor moveWithCells="1" sizeWithCells="1">
                  <from>
                    <xdr:col>4</xdr:col>
                    <xdr:colOff>289560</xdr:colOff>
                    <xdr:row>1</xdr:row>
                    <xdr:rowOff>121920</xdr:rowOff>
                  </from>
                  <to>
                    <xdr:col>5</xdr:col>
                    <xdr:colOff>236220</xdr:colOff>
                    <xdr:row>1</xdr:row>
                    <xdr:rowOff>381000</xdr:rowOff>
                  </to>
                </anchor>
              </controlPr>
            </control>
          </mc:Choice>
        </mc:AlternateContent>
        <mc:AlternateContent xmlns:mc="http://schemas.openxmlformats.org/markup-compatibility/2006">
          <mc:Choice Requires="x14">
            <control shapeId="5126" r:id="rId8" name="Button 6">
              <controlPr defaultSize="0" print="0" autoFill="0" autoPict="0" macro="[0]!ClrLocAC">
                <anchor moveWithCells="1" sizeWithCells="1">
                  <from>
                    <xdr:col>4</xdr:col>
                    <xdr:colOff>312420</xdr:colOff>
                    <xdr:row>23</xdr:row>
                    <xdr:rowOff>83820</xdr:rowOff>
                  </from>
                  <to>
                    <xdr:col>5</xdr:col>
                    <xdr:colOff>579120</xdr:colOff>
                    <xdr:row>23</xdr:row>
                    <xdr:rowOff>365760</xdr:rowOff>
                  </to>
                </anchor>
              </controlPr>
            </control>
          </mc:Choice>
        </mc:AlternateContent>
        <mc:AlternateContent xmlns:mc="http://schemas.openxmlformats.org/markup-compatibility/2006">
          <mc:Choice Requires="x14">
            <control shapeId="5127" r:id="rId9" name="Button 7">
              <controlPr defaultSize="0" print="0" autoFill="0" autoPict="0" macro="[0]!ClrLocAC">
                <anchor moveWithCells="1" sizeWithCells="1">
                  <from>
                    <xdr:col>4</xdr:col>
                    <xdr:colOff>220980</xdr:colOff>
                    <xdr:row>47</xdr:row>
                    <xdr:rowOff>91440</xdr:rowOff>
                  </from>
                  <to>
                    <xdr:col>5</xdr:col>
                    <xdr:colOff>426720</xdr:colOff>
                    <xdr:row>47</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hases">
    <tabColor theme="9" tint="-0.249977111117893"/>
  </sheetPr>
  <dimension ref="A1:W179"/>
  <sheetViews>
    <sheetView workbookViewId="0">
      <pane ySplit="2" topLeftCell="A3" activePane="bottomLeft" state="frozenSplit"/>
      <selection pane="bottomLeft" activeCell="B3" sqref="B3:E3"/>
    </sheetView>
  </sheetViews>
  <sheetFormatPr defaultColWidth="11" defaultRowHeight="10.199999999999999"/>
  <cols>
    <col min="1" max="1" width="11.85546875" style="58" customWidth="1"/>
    <col min="2" max="2" width="11.85546875" style="59" customWidth="1"/>
    <col min="3" max="3" width="11.85546875" style="60" customWidth="1"/>
    <col min="4" max="4" width="11" style="60"/>
    <col min="5" max="5" width="59.28515625" style="61" customWidth="1"/>
    <col min="6" max="6" width="8.28515625" style="61" hidden="1" customWidth="1"/>
    <col min="7" max="7" width="11.7109375" style="62" hidden="1" customWidth="1"/>
    <col min="8" max="8" width="15.140625" style="62" hidden="1" customWidth="1"/>
    <col min="9" max="9" width="11" style="138" hidden="1" customWidth="1"/>
    <col min="10" max="23" width="11" style="64"/>
    <col min="24" max="16384" width="11" style="58"/>
  </cols>
  <sheetData>
    <row r="1" spans="1:23">
      <c r="A1" s="58" t="s">
        <v>132</v>
      </c>
      <c r="H1" s="62" t="s">
        <v>13</v>
      </c>
      <c r="I1" s="138">
        <f>COUNT(DataPtOffset)</f>
        <v>0</v>
      </c>
    </row>
    <row r="2" spans="1:23" s="67" customFormat="1" ht="42.9" customHeight="1">
      <c r="A2" s="209" t="s">
        <v>14</v>
      </c>
      <c r="B2" s="210" t="s">
        <v>53</v>
      </c>
      <c r="C2" s="211" t="s">
        <v>84</v>
      </c>
      <c r="D2" s="211" t="s">
        <v>75</v>
      </c>
      <c r="E2" s="212" t="s">
        <v>116</v>
      </c>
      <c r="F2" s="65"/>
      <c r="G2" s="53" t="s">
        <v>203</v>
      </c>
      <c r="H2" s="53" t="s">
        <v>204</v>
      </c>
      <c r="I2" s="138" t="s">
        <v>12</v>
      </c>
      <c r="J2" s="64"/>
      <c r="K2" s="64"/>
      <c r="L2" s="64"/>
      <c r="M2" s="64"/>
      <c r="N2" s="64"/>
      <c r="O2" s="66"/>
      <c r="P2" s="66"/>
      <c r="Q2" s="66"/>
      <c r="R2" s="66"/>
      <c r="S2" s="66"/>
      <c r="T2" s="66"/>
      <c r="U2" s="66"/>
      <c r="V2" s="66"/>
      <c r="W2" s="66"/>
    </row>
    <row r="3" spans="1:23" ht="14.1" customHeight="1">
      <c r="A3" s="311">
        <v>1</v>
      </c>
      <c r="B3" s="312"/>
      <c r="C3" s="311"/>
      <c r="D3" s="311"/>
      <c r="E3" s="312"/>
      <c r="F3" s="68">
        <v>1</v>
      </c>
      <c r="G3" s="53" t="e">
        <f ca="1">IF(OFFSET(Anchor,F3-1,0,1,1)="",NA(),INT((OFFSET(Anchor,F3-1,0,1,1)-SyncDate)/Offsetter)-0.5)</f>
        <v>#N/A</v>
      </c>
      <c r="H3" s="62" t="e">
        <f ca="1">IF(G3="",NA(),OFFSET(Anchor,F3-1,1,1,1))</f>
        <v>#N/A</v>
      </c>
      <c r="I3" s="138" t="e">
        <f>IF(B3&lt;&gt;"",INT((B3-SyncDate)/Offsetter),NA())</f>
        <v>#N/A</v>
      </c>
    </row>
    <row r="4" spans="1:23" ht="12" customHeight="1">
      <c r="A4" s="311">
        <v>2</v>
      </c>
      <c r="B4" s="312"/>
      <c r="C4" s="311"/>
      <c r="D4" s="311"/>
      <c r="E4" s="312"/>
      <c r="F4" s="61">
        <v>1</v>
      </c>
      <c r="G4" s="53" t="e">
        <f ca="1">IF(OFFSET(Anchor,F4-1,0,1,1)="",NA(),G3)</f>
        <v>#N/A</v>
      </c>
      <c r="H4" s="62" t="e">
        <f ca="1">IF(G4="",NA(),OFFSET(Anchor,F4-1,2,1,1))</f>
        <v>#N/A</v>
      </c>
      <c r="I4" s="138" t="e">
        <f t="shared" ref="I4:I27" si="0">IF(B4&lt;&gt;"",INT((B4-SyncDate)/Offsetter),NA())</f>
        <v>#N/A</v>
      </c>
    </row>
    <row r="5" spans="1:23" ht="12" customHeight="1">
      <c r="A5" s="311">
        <v>3</v>
      </c>
      <c r="B5" s="312"/>
      <c r="C5" s="311"/>
      <c r="D5" s="311"/>
      <c r="E5" s="312"/>
      <c r="F5" s="61">
        <v>1</v>
      </c>
      <c r="G5" s="53" t="e">
        <f ca="1">IF(OFFSET(Anchor,F5-1,0,1,1)="",NA(),G4+2)</f>
        <v>#N/A</v>
      </c>
      <c r="H5" s="62" t="e">
        <f ca="1">IF(G5="",NA(),H4)</f>
        <v>#N/A</v>
      </c>
      <c r="I5" s="138" t="e">
        <f t="shared" si="0"/>
        <v>#N/A</v>
      </c>
    </row>
    <row r="6" spans="1:23" ht="14.1" customHeight="1">
      <c r="A6" s="311">
        <v>4</v>
      </c>
      <c r="B6" s="312"/>
      <c r="C6" s="311"/>
      <c r="D6" s="311"/>
      <c r="E6" s="312"/>
      <c r="F6" s="61">
        <f>F5+1</f>
        <v>2</v>
      </c>
      <c r="G6" s="53" t="e">
        <f ca="1">IF(OFFSET(Anchor,F6-1,0,1,1)="",NA(),INT((OFFSET(Anchor,F6-1,0,1,1)-SyncDate)/Offsetter)-0.5)</f>
        <v>#N/A</v>
      </c>
      <c r="H6" s="62" t="e">
        <f ca="1">IF(G6="",NA(),OFFSET(Anchor,F6-1,1,1,1))</f>
        <v>#N/A</v>
      </c>
      <c r="I6" s="138" t="e">
        <f t="shared" si="0"/>
        <v>#N/A</v>
      </c>
    </row>
    <row r="7" spans="1:23" ht="12" customHeight="1">
      <c r="A7" s="311">
        <v>5</v>
      </c>
      <c r="B7" s="312"/>
      <c r="C7" s="311"/>
      <c r="D7" s="311"/>
      <c r="E7" s="312"/>
      <c r="F7" s="61">
        <f>F6</f>
        <v>2</v>
      </c>
      <c r="G7" s="53" t="e">
        <f ca="1">IF(OFFSET(Anchor,F7-1,0,1,1)="",NA(),G6)</f>
        <v>#N/A</v>
      </c>
      <c r="H7" s="62" t="e">
        <f ca="1">IF(G7="",NA(),OFFSET(Anchor,F7-1,2,1,1))</f>
        <v>#N/A</v>
      </c>
      <c r="I7" s="138" t="e">
        <f t="shared" si="0"/>
        <v>#N/A</v>
      </c>
    </row>
    <row r="8" spans="1:23" ht="12" customHeight="1">
      <c r="A8" s="311">
        <v>6</v>
      </c>
      <c r="B8" s="312"/>
      <c r="C8" s="311"/>
      <c r="D8" s="311"/>
      <c r="E8" s="312"/>
      <c r="F8" s="61">
        <f>F7</f>
        <v>2</v>
      </c>
      <c r="G8" s="53" t="e">
        <f ca="1">IF(OFFSET(Anchor,F8-1,0,1,1)="",NA(),G7+2)</f>
        <v>#N/A</v>
      </c>
      <c r="H8" s="62" t="e">
        <f ca="1">IF(G8="",NA(),H7)</f>
        <v>#N/A</v>
      </c>
      <c r="I8" s="138" t="e">
        <f t="shared" si="0"/>
        <v>#N/A</v>
      </c>
    </row>
    <row r="9" spans="1:23" ht="14.1" customHeight="1">
      <c r="A9" s="311">
        <v>7</v>
      </c>
      <c r="B9" s="312"/>
      <c r="C9" s="311"/>
      <c r="D9" s="311"/>
      <c r="E9" s="313"/>
      <c r="F9" s="61">
        <f>F8+1</f>
        <v>3</v>
      </c>
      <c r="G9" s="53" t="e">
        <f ca="1">IF(OFFSET(Anchor,F9-1,0,1,1)="",NA(),INT((OFFSET(Anchor,F9-1,0,1,1)-SyncDate)/Offsetter)-0.5)</f>
        <v>#N/A</v>
      </c>
      <c r="H9" s="62" t="e">
        <f ca="1">IF(G9="",NA(),OFFSET(Anchor,F9-1,1,1,1))</f>
        <v>#N/A</v>
      </c>
      <c r="I9" s="138" t="e">
        <f t="shared" si="0"/>
        <v>#N/A</v>
      </c>
    </row>
    <row r="10" spans="1:23" ht="12" customHeight="1">
      <c r="A10" s="311">
        <v>8</v>
      </c>
      <c r="B10" s="312"/>
      <c r="C10" s="311"/>
      <c r="D10" s="311"/>
      <c r="E10" s="313"/>
      <c r="F10" s="61">
        <f>F9</f>
        <v>3</v>
      </c>
      <c r="G10" s="53" t="e">
        <f ca="1">IF(OFFSET(Anchor,F10-1,0,1,1)="",NA(),G9)</f>
        <v>#N/A</v>
      </c>
      <c r="H10" s="62" t="e">
        <f ca="1">IF(G10="",NA(),OFFSET(Anchor,F10-1,2,1,1))</f>
        <v>#N/A</v>
      </c>
      <c r="I10" s="138" t="e">
        <f t="shared" si="0"/>
        <v>#N/A</v>
      </c>
    </row>
    <row r="11" spans="1:23" ht="12" customHeight="1">
      <c r="A11" s="311">
        <v>9</v>
      </c>
      <c r="B11" s="312"/>
      <c r="C11" s="311"/>
      <c r="D11" s="311"/>
      <c r="E11" s="313"/>
      <c r="F11" s="61">
        <f>F10</f>
        <v>3</v>
      </c>
      <c r="G11" s="53" t="e">
        <f ca="1">IF(OFFSET(Anchor,F11-1,0,1,1)="",NA(),G10+2)</f>
        <v>#N/A</v>
      </c>
      <c r="H11" s="62" t="e">
        <f ca="1">IF(G11="",NA(),H10)</f>
        <v>#N/A</v>
      </c>
      <c r="I11" s="138" t="e">
        <f t="shared" si="0"/>
        <v>#N/A</v>
      </c>
    </row>
    <row r="12" spans="1:23" ht="14.1" customHeight="1">
      <c r="A12" s="311">
        <v>10</v>
      </c>
      <c r="B12" s="312"/>
      <c r="C12" s="311"/>
      <c r="D12" s="311"/>
      <c r="E12" s="313"/>
      <c r="F12" s="61">
        <f>F11+1</f>
        <v>4</v>
      </c>
      <c r="G12" s="53" t="e">
        <f ca="1">IF(OFFSET(Anchor,F12-1,0,1,1)="",NA(),INT((OFFSET(Anchor,F12-1,0,1,1)-SyncDate)/Offsetter)-0.5)</f>
        <v>#N/A</v>
      </c>
      <c r="H12" s="62" t="e">
        <f ca="1">IF(G12="",NA(),OFFSET(Anchor,F12-1,1,1,1))</f>
        <v>#N/A</v>
      </c>
      <c r="I12" s="138" t="e">
        <f t="shared" si="0"/>
        <v>#N/A</v>
      </c>
    </row>
    <row r="13" spans="1:23" ht="12" customHeight="1">
      <c r="A13" s="311">
        <v>11</v>
      </c>
      <c r="B13" s="312"/>
      <c r="C13" s="311"/>
      <c r="D13" s="311"/>
      <c r="E13" s="313"/>
      <c r="F13" s="61">
        <f>F12</f>
        <v>4</v>
      </c>
      <c r="G13" s="53" t="e">
        <f ca="1">IF(OFFSET(Anchor,F13-1,0,1,1)="",NA(),G12)</f>
        <v>#N/A</v>
      </c>
      <c r="H13" s="62" t="e">
        <f ca="1">IF(G13="",NA(),OFFSET(Anchor,F13-1,2,1,1))</f>
        <v>#N/A</v>
      </c>
      <c r="I13" s="138" t="e">
        <f t="shared" si="0"/>
        <v>#N/A</v>
      </c>
    </row>
    <row r="14" spans="1:23" ht="12" customHeight="1">
      <c r="A14" s="311">
        <v>12</v>
      </c>
      <c r="B14" s="312"/>
      <c r="C14" s="311"/>
      <c r="D14" s="311"/>
      <c r="E14" s="313"/>
      <c r="F14" s="61">
        <f>F13</f>
        <v>4</v>
      </c>
      <c r="G14" s="53" t="e">
        <f ca="1">IF(OFFSET(Anchor,F14-1,0,1,1)="",NA(),G13+2)</f>
        <v>#N/A</v>
      </c>
      <c r="H14" s="62" t="e">
        <f ca="1">IF(G14="",NA(),H13)</f>
        <v>#N/A</v>
      </c>
      <c r="I14" s="138" t="e">
        <f t="shared" si="0"/>
        <v>#N/A</v>
      </c>
    </row>
    <row r="15" spans="1:23" ht="14.1" customHeight="1">
      <c r="A15" s="311">
        <v>13</v>
      </c>
      <c r="B15" s="312"/>
      <c r="C15" s="311"/>
      <c r="D15" s="311"/>
      <c r="E15" s="313"/>
      <c r="F15" s="61">
        <f>F14+1</f>
        <v>5</v>
      </c>
      <c r="G15" s="53" t="e">
        <f ca="1">IF(OFFSET(Anchor,F15-1,0,1,1)="",NA(),INT((OFFSET(Anchor,F15-1,0,1,1)-SyncDate)/Offsetter)-0.5)</f>
        <v>#N/A</v>
      </c>
      <c r="H15" s="62" t="e">
        <f ca="1">IF(G15="",NA(),OFFSET(Anchor,F15-1,1,1,1))</f>
        <v>#N/A</v>
      </c>
      <c r="I15" s="138" t="e">
        <f t="shared" si="0"/>
        <v>#N/A</v>
      </c>
    </row>
    <row r="16" spans="1:23" ht="12" customHeight="1">
      <c r="A16" s="311">
        <v>14</v>
      </c>
      <c r="B16" s="312"/>
      <c r="C16" s="311"/>
      <c r="D16" s="311"/>
      <c r="E16" s="313"/>
      <c r="F16" s="61">
        <f>F15</f>
        <v>5</v>
      </c>
      <c r="G16" s="53" t="e">
        <f ca="1">IF(OFFSET(Anchor,F16-1,0,1,1)="",NA(),G15)</f>
        <v>#N/A</v>
      </c>
      <c r="H16" s="62" t="e">
        <f ca="1">IF(G16="",NA(),OFFSET(Anchor,F16-1,2,1,1))</f>
        <v>#N/A</v>
      </c>
      <c r="I16" s="138" t="e">
        <f t="shared" si="0"/>
        <v>#N/A</v>
      </c>
    </row>
    <row r="17" spans="1:9" ht="12" customHeight="1">
      <c r="A17" s="311">
        <v>15</v>
      </c>
      <c r="B17" s="312"/>
      <c r="C17" s="311"/>
      <c r="D17" s="311"/>
      <c r="E17" s="313"/>
      <c r="F17" s="61">
        <f>F16</f>
        <v>5</v>
      </c>
      <c r="G17" s="53" t="e">
        <f ca="1">IF(OFFSET(Anchor,F17-1,0,1,1)="",NA(),G16+2)</f>
        <v>#N/A</v>
      </c>
      <c r="H17" s="62" t="e">
        <f ca="1">IF(G17="",NA(),H16)</f>
        <v>#N/A</v>
      </c>
      <c r="I17" s="138" t="e">
        <f t="shared" si="0"/>
        <v>#N/A</v>
      </c>
    </row>
    <row r="18" spans="1:9" ht="14.1" customHeight="1">
      <c r="A18" s="311">
        <v>16</v>
      </c>
      <c r="B18" s="312"/>
      <c r="C18" s="311"/>
      <c r="D18" s="311"/>
      <c r="E18" s="313"/>
      <c r="F18" s="61">
        <f>F17+1</f>
        <v>6</v>
      </c>
      <c r="G18" s="53" t="e">
        <f ca="1">IF(OFFSET(Anchor,F18-1,0,1,1)="",NA(),INT((OFFSET(Anchor,F18-1,0,1,1)-SyncDate)/Offsetter)-0.5)</f>
        <v>#N/A</v>
      </c>
      <c r="H18" s="62" t="e">
        <f ca="1">IF(G18="",NA(),OFFSET(Anchor,F18-1,1,1,1))</f>
        <v>#N/A</v>
      </c>
      <c r="I18" s="138" t="e">
        <f t="shared" si="0"/>
        <v>#N/A</v>
      </c>
    </row>
    <row r="19" spans="1:9" ht="12" customHeight="1">
      <c r="A19" s="311">
        <v>17</v>
      </c>
      <c r="B19" s="312"/>
      <c r="C19" s="311"/>
      <c r="D19" s="311"/>
      <c r="E19" s="313"/>
      <c r="F19" s="61">
        <f>F18</f>
        <v>6</v>
      </c>
      <c r="G19" s="53" t="e">
        <f ca="1">IF(OFFSET(Anchor,F19-1,0,1,1)="",NA(),G18)</f>
        <v>#N/A</v>
      </c>
      <c r="H19" s="62" t="e">
        <f ca="1">IF(G19="",NA(),OFFSET(Anchor,F19-1,2,1,1))</f>
        <v>#N/A</v>
      </c>
      <c r="I19" s="138" t="e">
        <f t="shared" si="0"/>
        <v>#N/A</v>
      </c>
    </row>
    <row r="20" spans="1:9" ht="12" customHeight="1">
      <c r="A20" s="311">
        <v>18</v>
      </c>
      <c r="B20" s="312"/>
      <c r="C20" s="311"/>
      <c r="D20" s="311"/>
      <c r="E20" s="313"/>
      <c r="F20" s="61">
        <f>F19</f>
        <v>6</v>
      </c>
      <c r="G20" s="53" t="e">
        <f ca="1">IF(OFFSET(Anchor,F20-1,0,1,1)="",NA(),G19+2)</f>
        <v>#N/A</v>
      </c>
      <c r="H20" s="62" t="e">
        <f ca="1">IF(G20="",NA(),H19)</f>
        <v>#N/A</v>
      </c>
      <c r="I20" s="138" t="e">
        <f t="shared" si="0"/>
        <v>#N/A</v>
      </c>
    </row>
    <row r="21" spans="1:9" ht="14.1" customHeight="1">
      <c r="A21" s="311">
        <v>19</v>
      </c>
      <c r="B21" s="312"/>
      <c r="C21" s="311"/>
      <c r="D21" s="311"/>
      <c r="E21" s="313"/>
      <c r="F21" s="61">
        <f>F20+1</f>
        <v>7</v>
      </c>
      <c r="G21" s="53" t="e">
        <f ca="1">IF(OFFSET(Anchor,F21-1,0,1,1)="",NA(),INT((OFFSET(Anchor,F21-1,0,1,1)-SyncDate)/Offsetter)-0.5)</f>
        <v>#N/A</v>
      </c>
      <c r="H21" s="62" t="e">
        <f ca="1">IF(G21="",NA(),OFFSET(Anchor,F21-1,1,1,1))</f>
        <v>#N/A</v>
      </c>
      <c r="I21" s="138" t="e">
        <f t="shared" si="0"/>
        <v>#N/A</v>
      </c>
    </row>
    <row r="22" spans="1:9" ht="12.75" customHeight="1">
      <c r="A22" s="311">
        <v>20</v>
      </c>
      <c r="B22" s="312"/>
      <c r="C22" s="311"/>
      <c r="D22" s="311"/>
      <c r="E22" s="313"/>
      <c r="F22" s="61">
        <f>F21</f>
        <v>7</v>
      </c>
      <c r="G22" s="53" t="e">
        <f ca="1">IF(OFFSET(Anchor,F22-1,0,1,1)="",NA(),G21)</f>
        <v>#N/A</v>
      </c>
      <c r="H22" s="62" t="e">
        <f ca="1">IF(G22="",NA(),OFFSET(Anchor,F22-1,2,1,1))</f>
        <v>#N/A</v>
      </c>
      <c r="I22" s="138" t="e">
        <f t="shared" si="0"/>
        <v>#N/A</v>
      </c>
    </row>
    <row r="23" spans="1:9" ht="12" customHeight="1">
      <c r="A23" s="311">
        <v>21</v>
      </c>
      <c r="B23" s="312"/>
      <c r="C23" s="311"/>
      <c r="D23" s="311"/>
      <c r="E23" s="313"/>
      <c r="F23" s="61">
        <f>F22</f>
        <v>7</v>
      </c>
      <c r="G23" s="53" t="e">
        <f ca="1">IF(OFFSET(Anchor,F23-1,0,1,1)="",NA(),G22+2)</f>
        <v>#N/A</v>
      </c>
      <c r="H23" s="62" t="e">
        <f ca="1">IF(G23="",NA(),H22)</f>
        <v>#N/A</v>
      </c>
      <c r="I23" s="138" t="e">
        <f t="shared" si="0"/>
        <v>#N/A</v>
      </c>
    </row>
    <row r="24" spans="1:9" ht="14.1" customHeight="1">
      <c r="A24" s="311">
        <v>22</v>
      </c>
      <c r="B24" s="312"/>
      <c r="C24" s="311"/>
      <c r="D24" s="311"/>
      <c r="E24" s="313"/>
      <c r="F24" s="61">
        <f>F23+1</f>
        <v>8</v>
      </c>
      <c r="G24" s="53" t="e">
        <f ca="1">IF(OFFSET(Anchor,F24-1,0,1,1)="",NA(),INT((OFFSET(Anchor,F24-1,0,1,1)-SyncDate)/Offsetter)-0.5)</f>
        <v>#N/A</v>
      </c>
      <c r="H24" s="62" t="e">
        <f ca="1">IF(G24="",NA(),OFFSET(Anchor,F24-1,1,1,1))</f>
        <v>#N/A</v>
      </c>
      <c r="I24" s="138" t="e">
        <f t="shared" si="0"/>
        <v>#N/A</v>
      </c>
    </row>
    <row r="25" spans="1:9" ht="12" customHeight="1">
      <c r="A25" s="311">
        <v>23</v>
      </c>
      <c r="B25" s="312"/>
      <c r="C25" s="311"/>
      <c r="D25" s="311"/>
      <c r="E25" s="313"/>
      <c r="F25" s="61">
        <f>F24</f>
        <v>8</v>
      </c>
      <c r="G25" s="53" t="e">
        <f ca="1">IF(OFFSET(Anchor,F25-1,0,1,1)="",NA(),G24)</f>
        <v>#N/A</v>
      </c>
      <c r="H25" s="62" t="e">
        <f ca="1">IF(G25="",NA(),OFFSET(Anchor,F25-1,2,1,1))</f>
        <v>#N/A</v>
      </c>
      <c r="I25" s="138" t="e">
        <f t="shared" si="0"/>
        <v>#N/A</v>
      </c>
    </row>
    <row r="26" spans="1:9" ht="12" customHeight="1">
      <c r="A26" s="311">
        <v>24</v>
      </c>
      <c r="B26" s="312"/>
      <c r="C26" s="311"/>
      <c r="D26" s="311"/>
      <c r="E26" s="313"/>
      <c r="F26" s="61">
        <f>F25</f>
        <v>8</v>
      </c>
      <c r="G26" s="53" t="e">
        <f ca="1">IF(OFFSET(Anchor,F26-1,0,1,1)="",NA(),G25+2)</f>
        <v>#N/A</v>
      </c>
      <c r="H26" s="62" t="e">
        <f ca="1">IF(G26="",NA(),H25)</f>
        <v>#N/A</v>
      </c>
      <c r="I26" s="138" t="e">
        <f t="shared" si="0"/>
        <v>#N/A</v>
      </c>
    </row>
    <row r="27" spans="1:9" ht="14.1" customHeight="1">
      <c r="A27" s="311">
        <v>25</v>
      </c>
      <c r="B27" s="312"/>
      <c r="C27" s="311"/>
      <c r="D27" s="311"/>
      <c r="E27" s="313"/>
      <c r="F27" s="61">
        <f>F26+1</f>
        <v>9</v>
      </c>
      <c r="G27" s="53" t="e">
        <f ca="1">IF(OFFSET(Anchor,F27-1,0,1,1)="",NA(),INT((OFFSET(Anchor,F27-1,0,1,1)-SyncDate)/Offsetter)-0.5)</f>
        <v>#N/A</v>
      </c>
      <c r="H27" s="62" t="e">
        <f ca="1">IF(G27="",NA(),OFFSET(Anchor,F27-1,1,1,1))</f>
        <v>#N/A</v>
      </c>
      <c r="I27" s="138" t="e">
        <f t="shared" si="0"/>
        <v>#N/A</v>
      </c>
    </row>
    <row r="28" spans="1:9" ht="12" customHeight="1">
      <c r="A28" s="69"/>
      <c r="B28" s="70"/>
      <c r="C28" s="71"/>
      <c r="D28" s="71"/>
      <c r="E28" s="72"/>
      <c r="F28" s="61">
        <f>F27</f>
        <v>9</v>
      </c>
      <c r="G28" s="53" t="e">
        <f ca="1">IF(OFFSET(Anchor,F28-1,0,1,1)="",NA(),G27)</f>
        <v>#N/A</v>
      </c>
      <c r="H28" s="62" t="e">
        <f ca="1">IF(G28="",NA(),OFFSET(Anchor,F28-1,2,1,1))</f>
        <v>#N/A</v>
      </c>
    </row>
    <row r="29" spans="1:9">
      <c r="A29" s="69"/>
      <c r="B29" s="70"/>
      <c r="C29" s="73"/>
      <c r="D29" s="73"/>
      <c r="E29" s="74"/>
      <c r="F29" s="61">
        <f>F28</f>
        <v>9</v>
      </c>
      <c r="G29" s="53" t="e">
        <f ca="1">IF(OFFSET(Anchor,F29-1,0,1,1)="",NA(),G28+2)</f>
        <v>#N/A</v>
      </c>
      <c r="H29" s="62" t="e">
        <f ca="1">IF(G29="",NA(),H28)</f>
        <v>#N/A</v>
      </c>
    </row>
    <row r="30" spans="1:9" ht="14.1" customHeight="1">
      <c r="A30" s="69"/>
      <c r="B30" s="70"/>
      <c r="C30" s="71"/>
      <c r="D30" s="71"/>
      <c r="E30" s="72"/>
      <c r="F30" s="61">
        <f>F29+1</f>
        <v>10</v>
      </c>
      <c r="G30" s="53" t="e">
        <f ca="1">IF(OFFSET(Anchor,F30-1,0,1,1)="",NA(),INT((OFFSET(Anchor,F30-1,0,1,1)-SyncDate)/Offsetter)-0.5)</f>
        <v>#N/A</v>
      </c>
      <c r="H30" s="62" t="e">
        <f ca="1">IF(G30="",NA(),OFFSET(Anchor,F30-1,1,1,1))</f>
        <v>#N/A</v>
      </c>
    </row>
    <row r="31" spans="1:9" ht="12" customHeight="1">
      <c r="A31" s="69"/>
      <c r="B31" s="70"/>
      <c r="C31" s="71"/>
      <c r="D31" s="71"/>
      <c r="E31" s="72"/>
      <c r="F31" s="61">
        <f>F30</f>
        <v>10</v>
      </c>
      <c r="G31" s="53" t="e">
        <f ca="1">IF(OFFSET(Anchor,F31-1,0,1,1)="",NA(),G30)</f>
        <v>#N/A</v>
      </c>
      <c r="H31" s="62" t="e">
        <f ca="1">IF(G31="",NA(),OFFSET(Anchor,F31-1,2,1,1))</f>
        <v>#N/A</v>
      </c>
    </row>
    <row r="32" spans="1:9" ht="12" customHeight="1">
      <c r="A32" s="69"/>
      <c r="B32" s="70"/>
      <c r="C32" s="75"/>
      <c r="D32" s="75"/>
      <c r="E32" s="76"/>
      <c r="F32" s="61">
        <f>F31</f>
        <v>10</v>
      </c>
      <c r="G32" s="53" t="e">
        <f ca="1">IF(OFFSET(Anchor,F32-1,0,1,1)="",NA(),G31+2)</f>
        <v>#N/A</v>
      </c>
      <c r="H32" s="62" t="e">
        <f ca="1">IF(G32="",NA(),H31)</f>
        <v>#N/A</v>
      </c>
    </row>
    <row r="33" spans="1:8" ht="14.1" customHeight="1">
      <c r="A33" s="63"/>
      <c r="B33" s="70"/>
      <c r="C33" s="75"/>
      <c r="D33" s="75"/>
      <c r="E33" s="76"/>
      <c r="F33" s="61">
        <f>F32+1</f>
        <v>11</v>
      </c>
      <c r="G33" s="53" t="e">
        <f ca="1">IF(OFFSET(Anchor,F33-1,0,1,1)="",NA(),INT((OFFSET(Anchor,F33-1,0,1,1)-SyncDate)/Offsetter)-0.5)</f>
        <v>#N/A</v>
      </c>
      <c r="H33" s="62" t="e">
        <f ca="1">IF(G33="",NA(),OFFSET(Anchor,F33-1,1,1,1))</f>
        <v>#N/A</v>
      </c>
    </row>
    <row r="34" spans="1:8" ht="12" customHeight="1">
      <c r="A34" s="63"/>
      <c r="B34" s="70"/>
      <c r="C34" s="75"/>
      <c r="D34" s="75"/>
      <c r="E34" s="76"/>
      <c r="F34" s="61">
        <f>F33</f>
        <v>11</v>
      </c>
      <c r="G34" s="53" t="e">
        <f ca="1">IF(OFFSET(Anchor,F34-1,0,1,1)="",NA(),G33)</f>
        <v>#N/A</v>
      </c>
      <c r="H34" s="62" t="e">
        <f ca="1">IF(G34="",NA(),OFFSET(Anchor,F34-1,2,1,1))</f>
        <v>#N/A</v>
      </c>
    </row>
    <row r="35" spans="1:8" ht="12" customHeight="1">
      <c r="A35" s="63"/>
      <c r="B35" s="70"/>
      <c r="C35" s="75"/>
      <c r="D35" s="75"/>
      <c r="E35" s="76"/>
      <c r="F35" s="61">
        <f>F34</f>
        <v>11</v>
      </c>
      <c r="G35" s="53" t="e">
        <f ca="1">IF(OFFSET(Anchor,F35-1,0,1,1)="",NA(),G34+2)</f>
        <v>#N/A</v>
      </c>
      <c r="H35" s="62" t="e">
        <f ca="1">IF(G35="",NA(),H34)</f>
        <v>#N/A</v>
      </c>
    </row>
    <row r="36" spans="1:8" ht="14.1" customHeight="1">
      <c r="A36" s="63"/>
      <c r="B36" s="70"/>
      <c r="C36" s="75"/>
      <c r="D36" s="75"/>
      <c r="E36" s="76"/>
      <c r="F36" s="61">
        <f>F35+1</f>
        <v>12</v>
      </c>
      <c r="G36" s="53" t="e">
        <f ca="1">IF(OFFSET(Anchor,F36-1,0,1,1)="",NA(),INT((OFFSET(Anchor,F36-1,0,1,1)-SyncDate)/Offsetter)-0.5)</f>
        <v>#N/A</v>
      </c>
      <c r="H36" s="62" t="e">
        <f ca="1">IF(G36="",NA(),OFFSET(Anchor,F36-1,1,1,1))</f>
        <v>#N/A</v>
      </c>
    </row>
    <row r="37" spans="1:8" ht="12" customHeight="1">
      <c r="A37" s="63"/>
      <c r="B37" s="70"/>
      <c r="C37" s="75"/>
      <c r="D37" s="75"/>
      <c r="E37" s="76"/>
      <c r="F37" s="61">
        <f>F36</f>
        <v>12</v>
      </c>
      <c r="G37" s="53" t="e">
        <f ca="1">IF(OFFSET(Anchor,F37-1,0,1,1)="",NA(),G36)</f>
        <v>#N/A</v>
      </c>
      <c r="H37" s="62" t="e">
        <f ca="1">IF(G37="",NA(),OFFSET(Anchor,F37-1,2,1,1))</f>
        <v>#N/A</v>
      </c>
    </row>
    <row r="38" spans="1:8" ht="12" customHeight="1">
      <c r="A38" s="63"/>
      <c r="B38" s="70"/>
      <c r="C38" s="75"/>
      <c r="D38" s="75"/>
      <c r="E38" s="76"/>
      <c r="F38" s="61">
        <f>F37</f>
        <v>12</v>
      </c>
      <c r="G38" s="53" t="e">
        <f ca="1">IF(OFFSET(Anchor,F38-1,0,1,1)="",NA(),G37+2)</f>
        <v>#N/A</v>
      </c>
      <c r="H38" s="62" t="e">
        <f ca="1">IF(G38="",NA(),H37)</f>
        <v>#N/A</v>
      </c>
    </row>
    <row r="39" spans="1:8" ht="14.1" customHeight="1">
      <c r="A39" s="63"/>
      <c r="B39" s="70"/>
      <c r="C39" s="75"/>
      <c r="D39" s="75"/>
      <c r="E39" s="76"/>
      <c r="F39" s="61">
        <f>F38+1</f>
        <v>13</v>
      </c>
      <c r="G39" s="53" t="e">
        <f ca="1">IF(OFFSET(Anchor,F39-1,0,1,1)="",NA(),INT((OFFSET(Anchor,F39-1,0,1,1)-SyncDate)/Offsetter)-0.5)</f>
        <v>#N/A</v>
      </c>
      <c r="H39" s="62" t="e">
        <f ca="1">IF(G39="",NA(),OFFSET(Anchor,F39-1,1,1,1))</f>
        <v>#N/A</v>
      </c>
    </row>
    <row r="40" spans="1:8" ht="12" customHeight="1">
      <c r="A40" s="63"/>
      <c r="B40" s="70"/>
      <c r="C40" s="75"/>
      <c r="D40" s="75"/>
      <c r="E40" s="76"/>
      <c r="F40" s="61">
        <f>F39</f>
        <v>13</v>
      </c>
      <c r="G40" s="53" t="e">
        <f ca="1">IF(OFFSET(Anchor,F40-1,0,1,1)="",NA(),G39)</f>
        <v>#N/A</v>
      </c>
      <c r="H40" s="62" t="e">
        <f ca="1">IF(G40="",NA(),OFFSET(Anchor,F40-1,2,1,1))</f>
        <v>#N/A</v>
      </c>
    </row>
    <row r="41" spans="1:8" ht="12" customHeight="1">
      <c r="A41" s="63"/>
      <c r="B41" s="70"/>
      <c r="C41" s="75"/>
      <c r="D41" s="75"/>
      <c r="E41" s="76"/>
      <c r="F41" s="61">
        <f>F40</f>
        <v>13</v>
      </c>
      <c r="G41" s="53" t="e">
        <f ca="1">IF(OFFSET(Anchor,F41-1,0,1,1)="",NA(),G40+2)</f>
        <v>#N/A</v>
      </c>
      <c r="H41" s="62" t="e">
        <f ca="1">IF(G41="",NA(),H40)</f>
        <v>#N/A</v>
      </c>
    </row>
    <row r="42" spans="1:8" ht="14.1" customHeight="1">
      <c r="A42" s="63"/>
      <c r="B42" s="70"/>
      <c r="C42" s="75"/>
      <c r="D42" s="75"/>
      <c r="E42" s="76"/>
      <c r="F42" s="61">
        <f>F41+1</f>
        <v>14</v>
      </c>
      <c r="G42" s="53" t="e">
        <f ca="1">IF(OFFSET(Anchor,F42-1,0,1,1)="",NA(),INT((OFFSET(Anchor,F42-1,0,1,1)-SyncDate)/Offsetter)-0.5)</f>
        <v>#N/A</v>
      </c>
      <c r="H42" s="62" t="e">
        <f ca="1">IF(G42="",NA(),OFFSET(Anchor,F42-1,1,1,1))</f>
        <v>#N/A</v>
      </c>
    </row>
    <row r="43" spans="1:8" ht="12" customHeight="1">
      <c r="A43" s="63"/>
      <c r="B43" s="70"/>
      <c r="C43" s="75"/>
      <c r="D43" s="75"/>
      <c r="E43" s="76"/>
      <c r="F43" s="61">
        <f>F42</f>
        <v>14</v>
      </c>
      <c r="G43" s="53" t="e">
        <f ca="1">IF(OFFSET(Anchor,F43-1,0,1,1)="",NA(),G42)</f>
        <v>#N/A</v>
      </c>
      <c r="H43" s="62" t="e">
        <f ca="1">IF(G43="",NA(),OFFSET(Anchor,F43-1,2,1,1))</f>
        <v>#N/A</v>
      </c>
    </row>
    <row r="44" spans="1:8" ht="12" customHeight="1">
      <c r="A44" s="63"/>
      <c r="B44" s="70"/>
      <c r="C44" s="75"/>
      <c r="D44" s="75"/>
      <c r="E44" s="76"/>
      <c r="F44" s="61">
        <f>F43</f>
        <v>14</v>
      </c>
      <c r="G44" s="53" t="e">
        <f ca="1">IF(OFFSET(Anchor,F44-1,0,1,1)="",NA(),G43+2)</f>
        <v>#N/A</v>
      </c>
      <c r="H44" s="62" t="e">
        <f ca="1">IF(G44="",NA(),H43)</f>
        <v>#N/A</v>
      </c>
    </row>
    <row r="45" spans="1:8" ht="14.1" customHeight="1">
      <c r="A45" s="63"/>
      <c r="B45" s="70"/>
      <c r="C45" s="75"/>
      <c r="D45" s="75"/>
      <c r="E45" s="76"/>
      <c r="F45" s="61">
        <f>F44+1</f>
        <v>15</v>
      </c>
      <c r="G45" s="53" t="e">
        <f ca="1">IF(OFFSET(Anchor,F45-1,0,1,1)="",NA(),INT((OFFSET(Anchor,F45-1,0,1,1)-SyncDate)/Offsetter)-0.5)</f>
        <v>#N/A</v>
      </c>
      <c r="H45" s="62" t="e">
        <f ca="1">IF(G45="",NA(),OFFSET(Anchor,F45-1,1,1,1))</f>
        <v>#N/A</v>
      </c>
    </row>
    <row r="46" spans="1:8" ht="12" customHeight="1">
      <c r="A46" s="63"/>
      <c r="B46" s="70"/>
      <c r="C46" s="75"/>
      <c r="D46" s="75"/>
      <c r="E46" s="76"/>
      <c r="F46" s="61">
        <f>F45</f>
        <v>15</v>
      </c>
      <c r="G46" s="53" t="e">
        <f ca="1">IF(OFFSET(Anchor,F46-1,0,1,1)="",NA(),G45)</f>
        <v>#N/A</v>
      </c>
      <c r="H46" s="62" t="e">
        <f ca="1">IF(G46="",NA(),OFFSET(Anchor,F46-1,2,1,1))</f>
        <v>#N/A</v>
      </c>
    </row>
    <row r="47" spans="1:8" ht="12" customHeight="1">
      <c r="A47" s="63"/>
      <c r="B47" s="70"/>
      <c r="C47" s="75"/>
      <c r="D47" s="75"/>
      <c r="E47" s="76"/>
      <c r="F47" s="61">
        <f>F46</f>
        <v>15</v>
      </c>
      <c r="G47" s="53" t="e">
        <f ca="1">IF(OFFSET(Anchor,F47-1,0,1,1)="",NA(),G46+2)</f>
        <v>#N/A</v>
      </c>
      <c r="H47" s="62" t="e">
        <f ca="1">IF(G47="",NA(),H46)</f>
        <v>#N/A</v>
      </c>
    </row>
    <row r="48" spans="1:8" ht="14.1" customHeight="1">
      <c r="A48" s="63"/>
      <c r="B48" s="70"/>
      <c r="C48" s="75"/>
      <c r="D48" s="75"/>
      <c r="E48" s="76"/>
      <c r="F48" s="61">
        <f>F47+1</f>
        <v>16</v>
      </c>
      <c r="G48" s="53" t="e">
        <f ca="1">IF(OFFSET(Anchor,F48-1,0,1,1)="",NA(),INT((OFFSET(Anchor,F48-1,0,1,1)-SyncDate)/Offsetter)-0.5)</f>
        <v>#N/A</v>
      </c>
      <c r="H48" s="62" t="e">
        <f ca="1">IF(G48="",NA(),OFFSET(Anchor,F48-1,1,1,1))</f>
        <v>#N/A</v>
      </c>
    </row>
    <row r="49" spans="1:8" ht="12" customHeight="1">
      <c r="A49" s="63"/>
      <c r="B49" s="70"/>
      <c r="C49" s="75"/>
      <c r="D49" s="75"/>
      <c r="E49" s="76"/>
      <c r="F49" s="61">
        <f>F48</f>
        <v>16</v>
      </c>
      <c r="G49" s="53" t="e">
        <f ca="1">IF(OFFSET(Anchor,F49-1,0,1,1)="",NA(),G48)</f>
        <v>#N/A</v>
      </c>
      <c r="H49" s="62" t="e">
        <f ca="1">IF(G49="",NA(),OFFSET(Anchor,F49-1,2,1,1))</f>
        <v>#N/A</v>
      </c>
    </row>
    <row r="50" spans="1:8" ht="12" customHeight="1">
      <c r="A50" s="63"/>
      <c r="B50" s="70"/>
      <c r="C50" s="75"/>
      <c r="D50" s="75"/>
      <c r="E50" s="76"/>
      <c r="F50" s="61">
        <f>F49</f>
        <v>16</v>
      </c>
      <c r="G50" s="53" t="e">
        <f ca="1">IF(OFFSET(Anchor,F50-1,0,1,1)="",NA(),G49+2)</f>
        <v>#N/A</v>
      </c>
      <c r="H50" s="62" t="e">
        <f ca="1">IF(G50="",NA(),H49)</f>
        <v>#N/A</v>
      </c>
    </row>
    <row r="51" spans="1:8" ht="14.1" customHeight="1">
      <c r="A51" s="63"/>
      <c r="B51" s="70"/>
      <c r="C51" s="75"/>
      <c r="D51" s="75"/>
      <c r="E51" s="76"/>
      <c r="F51" s="61">
        <f>F50+1</f>
        <v>17</v>
      </c>
      <c r="G51" s="53" t="e">
        <f ca="1">IF(OFFSET(Anchor,F51-1,0,1,1)="",NA(),INT((OFFSET(Anchor,F51-1,0,1,1)-SyncDate)/Offsetter)-0.5)</f>
        <v>#N/A</v>
      </c>
      <c r="H51" s="62" t="e">
        <f ca="1">IF(G51="",NA(),OFFSET(Anchor,F51-1,1,1,1))</f>
        <v>#N/A</v>
      </c>
    </row>
    <row r="52" spans="1:8" ht="12" customHeight="1">
      <c r="A52" s="63"/>
      <c r="B52" s="70"/>
      <c r="C52" s="75"/>
      <c r="D52" s="75"/>
      <c r="E52" s="76"/>
      <c r="F52" s="61">
        <f>F51</f>
        <v>17</v>
      </c>
      <c r="G52" s="53" t="e">
        <f ca="1">IF(OFFSET(Anchor,F52-1,0,1,1)="",NA(),G51)</f>
        <v>#N/A</v>
      </c>
      <c r="H52" s="62" t="e">
        <f ca="1">IF(G52="",NA(),OFFSET(Anchor,F52-1,2,1,1))</f>
        <v>#N/A</v>
      </c>
    </row>
    <row r="53" spans="1:8" ht="12" customHeight="1">
      <c r="A53" s="63"/>
      <c r="B53" s="70"/>
      <c r="C53" s="75"/>
      <c r="D53" s="75"/>
      <c r="E53" s="76"/>
      <c r="F53" s="61">
        <f>F52</f>
        <v>17</v>
      </c>
      <c r="G53" s="53" t="e">
        <f ca="1">IF(OFFSET(Anchor,F53-1,0,1,1)="",NA(),G52+2)</f>
        <v>#N/A</v>
      </c>
      <c r="H53" s="62" t="e">
        <f ca="1">IF(G53="",NA(),H52)</f>
        <v>#N/A</v>
      </c>
    </row>
    <row r="54" spans="1:8" ht="14.1" customHeight="1">
      <c r="A54" s="63"/>
      <c r="B54" s="70"/>
      <c r="C54" s="75"/>
      <c r="D54" s="75"/>
      <c r="E54" s="76"/>
      <c r="F54" s="61">
        <f>F53+1</f>
        <v>18</v>
      </c>
      <c r="G54" s="53" t="e">
        <f ca="1">IF(OFFSET(Anchor,F54-1,0,1,1)="",NA(),INT((OFFSET(Anchor,F54-1,0,1,1)-SyncDate)/Offsetter)-0.5)</f>
        <v>#N/A</v>
      </c>
      <c r="H54" s="62" t="e">
        <f ca="1">IF(G54="",NA(),OFFSET(Anchor,F54-1,1,1,1))</f>
        <v>#N/A</v>
      </c>
    </row>
    <row r="55" spans="1:8" ht="12" customHeight="1">
      <c r="A55" s="63"/>
      <c r="B55" s="70"/>
      <c r="C55" s="75"/>
      <c r="D55" s="75"/>
      <c r="E55" s="76"/>
      <c r="F55" s="61">
        <f>F54</f>
        <v>18</v>
      </c>
      <c r="G55" s="53" t="e">
        <f ca="1">IF(OFFSET(Anchor,F55-1,0,1,1)="",NA(),G54)</f>
        <v>#N/A</v>
      </c>
      <c r="H55" s="62" t="e">
        <f ca="1">IF(G55="",NA(),OFFSET(Anchor,F55-1,2,1,1))</f>
        <v>#N/A</v>
      </c>
    </row>
    <row r="56" spans="1:8" ht="12" customHeight="1">
      <c r="A56" s="63"/>
      <c r="B56" s="70"/>
      <c r="C56" s="75"/>
      <c r="D56" s="75"/>
      <c r="E56" s="76"/>
      <c r="F56" s="61">
        <f>F55</f>
        <v>18</v>
      </c>
      <c r="G56" s="53" t="e">
        <f ca="1">IF(OFFSET(Anchor,F56-1,0,1,1)="",NA(),G55+2)</f>
        <v>#N/A</v>
      </c>
      <c r="H56" s="62" t="e">
        <f ca="1">IF(G56="",NA(),H55)</f>
        <v>#N/A</v>
      </c>
    </row>
    <row r="57" spans="1:8" ht="14.1" customHeight="1">
      <c r="A57" s="63"/>
      <c r="B57" s="70"/>
      <c r="C57" s="75"/>
      <c r="D57" s="75"/>
      <c r="E57" s="76"/>
      <c r="F57" s="61">
        <f>F56+1</f>
        <v>19</v>
      </c>
      <c r="G57" s="53" t="e">
        <f ca="1">IF(OFFSET(Anchor,F57-1,0,1,1)="",NA(),INT((OFFSET(Anchor,F57-1,0,1,1)-SyncDate)/Offsetter)-0.5)</f>
        <v>#N/A</v>
      </c>
      <c r="H57" s="62" t="e">
        <f ca="1">IF(G57="",NA(),OFFSET(Anchor,F57-1,1,1,1))</f>
        <v>#N/A</v>
      </c>
    </row>
    <row r="58" spans="1:8" ht="12" customHeight="1">
      <c r="A58" s="63"/>
      <c r="B58" s="70"/>
      <c r="C58" s="75"/>
      <c r="D58" s="75"/>
      <c r="E58" s="76"/>
      <c r="F58" s="61">
        <f>F57</f>
        <v>19</v>
      </c>
      <c r="G58" s="53" t="e">
        <f ca="1">IF(OFFSET(Anchor,F58-1,0,1,1)="",NA(),G57)</f>
        <v>#N/A</v>
      </c>
      <c r="H58" s="62" t="e">
        <f ca="1">IF(G58="",NA(),OFFSET(Anchor,F58-1,2,1,1))</f>
        <v>#N/A</v>
      </c>
    </row>
    <row r="59" spans="1:8" ht="12" customHeight="1">
      <c r="A59" s="63"/>
      <c r="B59" s="70"/>
      <c r="C59" s="75"/>
      <c r="D59" s="75"/>
      <c r="E59" s="76"/>
      <c r="F59" s="61">
        <f>F58</f>
        <v>19</v>
      </c>
      <c r="G59" s="53" t="e">
        <f ca="1">IF(OFFSET(Anchor,F59-1,0,1,1)="",NA(),G58+2)</f>
        <v>#N/A</v>
      </c>
      <c r="H59" s="62" t="e">
        <f ca="1">IF(G59="",NA(),H58)</f>
        <v>#N/A</v>
      </c>
    </row>
    <row r="60" spans="1:8" ht="14.1" customHeight="1">
      <c r="A60" s="63"/>
      <c r="B60" s="70"/>
      <c r="C60" s="75"/>
      <c r="D60" s="75"/>
      <c r="E60" s="76"/>
      <c r="F60" s="61">
        <f>F59+1</f>
        <v>20</v>
      </c>
      <c r="G60" s="53" t="e">
        <f ca="1">IF(OFFSET(Anchor,F60-1,0,1,1)="",NA(),INT((OFFSET(Anchor,F60-1,0,1,1)-SyncDate)/Offsetter)-0.5)</f>
        <v>#N/A</v>
      </c>
      <c r="H60" s="62" t="e">
        <f ca="1">IF(G60="",NA(),OFFSET(Anchor,F60-1,1,1,1))</f>
        <v>#N/A</v>
      </c>
    </row>
    <row r="61" spans="1:8">
      <c r="A61" s="63"/>
      <c r="B61" s="70"/>
      <c r="C61" s="75"/>
      <c r="D61" s="75"/>
      <c r="E61" s="76"/>
      <c r="F61" s="61">
        <f>F60</f>
        <v>20</v>
      </c>
      <c r="G61" s="53" t="e">
        <f ca="1">IF(OFFSET(Anchor,F61-1,0,1,1)="",NA(),G60)</f>
        <v>#N/A</v>
      </c>
      <c r="H61" s="62" t="e">
        <f ca="1">IF(G61="",NA(),OFFSET(Anchor,F61-1,2,1,1))</f>
        <v>#N/A</v>
      </c>
    </row>
    <row r="62" spans="1:8">
      <c r="A62" s="63"/>
      <c r="B62" s="70"/>
      <c r="C62" s="75"/>
      <c r="D62" s="75"/>
      <c r="E62" s="76"/>
      <c r="F62" s="61">
        <f>F61</f>
        <v>20</v>
      </c>
      <c r="G62" s="53" t="e">
        <f ca="1">IF(OFFSET(Anchor,F62-1,0,1,1)="",NA(),G61+2)</f>
        <v>#N/A</v>
      </c>
      <c r="H62" s="62" t="e">
        <f ca="1">IF(G62="",NA(),H61)</f>
        <v>#N/A</v>
      </c>
    </row>
    <row r="63" spans="1:8" ht="14.1" customHeight="1">
      <c r="A63" s="63"/>
      <c r="B63" s="70"/>
      <c r="C63" s="75"/>
      <c r="D63" s="75"/>
      <c r="E63" s="76"/>
      <c r="F63" s="61">
        <f>F62+1</f>
        <v>21</v>
      </c>
      <c r="G63" s="53" t="e">
        <f ca="1">IF(OFFSET(Anchor,F63-1,0,1,1)="",NA(),INT((OFFSET(Anchor,F63-1,0,1,1)-SyncDate)/Offsetter)-0.5)</f>
        <v>#N/A</v>
      </c>
      <c r="H63" s="62" t="e">
        <f ca="1">IF(G63="",NA(),OFFSET(Anchor,F63-1,1,1,1))</f>
        <v>#N/A</v>
      </c>
    </row>
    <row r="64" spans="1:8">
      <c r="A64" s="63"/>
      <c r="B64" s="70"/>
      <c r="C64" s="75"/>
      <c r="D64" s="75"/>
      <c r="E64" s="76"/>
      <c r="F64" s="61">
        <f>F63</f>
        <v>21</v>
      </c>
      <c r="G64" s="53" t="e">
        <f ca="1">IF(OFFSET(Anchor,F64-1,0,1,1)="",NA(),G63)</f>
        <v>#N/A</v>
      </c>
      <c r="H64" s="62" t="e">
        <f ca="1">IF(G64="",NA(),OFFSET(Anchor,F64-1,2,1,1))</f>
        <v>#N/A</v>
      </c>
    </row>
    <row r="65" spans="1:8">
      <c r="A65" s="63"/>
      <c r="B65" s="70"/>
      <c r="C65" s="75"/>
      <c r="D65" s="75"/>
      <c r="E65" s="76"/>
      <c r="F65" s="61">
        <f>F64</f>
        <v>21</v>
      </c>
      <c r="G65" s="53" t="e">
        <f ca="1">IF(OFFSET(Anchor,F65-1,0,1,1)="",NA(),G64+2)</f>
        <v>#N/A</v>
      </c>
      <c r="H65" s="62" t="e">
        <f ca="1">IF(G65="",NA(),H64)</f>
        <v>#N/A</v>
      </c>
    </row>
    <row r="66" spans="1:8" ht="14.1" customHeight="1">
      <c r="A66" s="63"/>
      <c r="B66" s="70"/>
      <c r="C66" s="75"/>
      <c r="D66" s="75"/>
      <c r="E66" s="76"/>
      <c r="F66" s="61">
        <f>F65+1</f>
        <v>22</v>
      </c>
      <c r="G66" s="53" t="e">
        <f ca="1">IF(OFFSET(Anchor,F66-1,0,1,1)="",NA(),INT((OFFSET(Anchor,F66-1,0,1,1)-SyncDate)/Offsetter)-0.5)</f>
        <v>#N/A</v>
      </c>
      <c r="H66" s="62" t="e">
        <f ca="1">IF(G66="",NA(),OFFSET(Anchor,F66-1,1,1,1))</f>
        <v>#N/A</v>
      </c>
    </row>
    <row r="67" spans="1:8">
      <c r="A67" s="63"/>
      <c r="B67" s="70"/>
      <c r="C67" s="75"/>
      <c r="D67" s="75"/>
      <c r="E67" s="76"/>
      <c r="F67" s="61">
        <f>F66</f>
        <v>22</v>
      </c>
      <c r="G67" s="53" t="e">
        <f ca="1">IF(OFFSET(Anchor,F67-1,0,1,1)="",NA(),G66)</f>
        <v>#N/A</v>
      </c>
      <c r="H67" s="62" t="e">
        <f ca="1">IF(G67="",NA(),OFFSET(Anchor,F67-1,2,1,1))</f>
        <v>#N/A</v>
      </c>
    </row>
    <row r="68" spans="1:8">
      <c r="A68" s="63"/>
      <c r="B68" s="70"/>
      <c r="C68" s="75"/>
      <c r="D68" s="75"/>
      <c r="E68" s="76"/>
      <c r="F68" s="61">
        <f>F67</f>
        <v>22</v>
      </c>
      <c r="G68" s="53" t="e">
        <f ca="1">IF(OFFSET(Anchor,F68-1,0,1,1)="",NA(),G67+2)</f>
        <v>#N/A</v>
      </c>
      <c r="H68" s="62" t="e">
        <f ca="1">IF(G68="",NA(),H67)</f>
        <v>#N/A</v>
      </c>
    </row>
    <row r="69" spans="1:8" ht="14.1" customHeight="1">
      <c r="A69" s="63"/>
      <c r="B69" s="70"/>
      <c r="C69" s="75"/>
      <c r="D69" s="75"/>
      <c r="E69" s="76"/>
      <c r="F69" s="61">
        <f>F68+1</f>
        <v>23</v>
      </c>
      <c r="G69" s="53" t="e">
        <f ca="1">IF(OFFSET(Anchor,F69-1,0,1,1)="",NA(),INT((OFFSET(Anchor,F69-1,0,1,1)-SyncDate)/Offsetter)-0.5)</f>
        <v>#N/A</v>
      </c>
      <c r="H69" s="62" t="e">
        <f ca="1">IF(G69="",NA(),OFFSET(Anchor,F69-1,1,1,1))</f>
        <v>#N/A</v>
      </c>
    </row>
    <row r="70" spans="1:8" ht="12" customHeight="1">
      <c r="A70" s="63"/>
      <c r="B70" s="70"/>
      <c r="C70" s="75"/>
      <c r="D70" s="75"/>
      <c r="E70" s="76"/>
      <c r="F70" s="61">
        <f>F69</f>
        <v>23</v>
      </c>
      <c r="G70" s="53" t="e">
        <f ca="1">IF(OFFSET(Anchor,F70-1,0,1,1)="",NA(),G69)</f>
        <v>#N/A</v>
      </c>
      <c r="H70" s="62" t="e">
        <f ca="1">IF(G70="",NA(),OFFSET(Anchor,F70-1,2,1,1))</f>
        <v>#N/A</v>
      </c>
    </row>
    <row r="71" spans="1:8">
      <c r="A71" s="63"/>
      <c r="B71" s="70"/>
      <c r="C71" s="75"/>
      <c r="D71" s="75"/>
      <c r="E71" s="76"/>
      <c r="F71" s="61">
        <f>F70</f>
        <v>23</v>
      </c>
      <c r="G71" s="53" t="e">
        <f ca="1">IF(OFFSET(Anchor,F71-1,0,1,1)="",NA(),G70+2)</f>
        <v>#N/A</v>
      </c>
      <c r="H71" s="62" t="e">
        <f ca="1">IF(G71="",NA(),H70)</f>
        <v>#N/A</v>
      </c>
    </row>
    <row r="72" spans="1:8" ht="14.1" customHeight="1">
      <c r="F72" s="61">
        <f>F71+1</f>
        <v>24</v>
      </c>
      <c r="G72" s="53" t="e">
        <f ca="1">IF(OFFSET(Anchor,F72-1,0,1,1)="",NA(),INT((OFFSET(Anchor,F72-1,0,1,1)-SyncDate)/Offsetter)-0.5)</f>
        <v>#N/A</v>
      </c>
      <c r="H72" s="62" t="e">
        <f ca="1">IF(G72="",NA(),OFFSET(Anchor,F72-1,1,1,1))</f>
        <v>#N/A</v>
      </c>
    </row>
    <row r="73" spans="1:8">
      <c r="F73" s="61">
        <f>F72</f>
        <v>24</v>
      </c>
      <c r="G73" s="53" t="e">
        <f ca="1">IF(OFFSET(Anchor,F73-1,0,1,1)="",NA(),G72)</f>
        <v>#N/A</v>
      </c>
      <c r="H73" s="62" t="e">
        <f ca="1">IF(G73="",NA(),OFFSET(Anchor,F73-1,2,1,1))</f>
        <v>#N/A</v>
      </c>
    </row>
    <row r="74" spans="1:8">
      <c r="F74" s="61">
        <f>F73</f>
        <v>24</v>
      </c>
      <c r="G74" s="53" t="e">
        <f ca="1">IF(OFFSET(Anchor,F74-1,0,1,1)="",NA(),G73+2)</f>
        <v>#N/A</v>
      </c>
      <c r="H74" s="62" t="e">
        <f ca="1">IF(G74="",NA(),H73)</f>
        <v>#N/A</v>
      </c>
    </row>
    <row r="75" spans="1:8" ht="14.1" customHeight="1">
      <c r="F75" s="61">
        <f>F74+1</f>
        <v>25</v>
      </c>
      <c r="G75" s="53" t="e">
        <f ca="1">IF(OFFSET(Anchor,F75-1,0,1,1)="",NA(),INT((OFFSET(Anchor,F75-1,0,1,1)-SyncDate)/Offsetter)-0.5)</f>
        <v>#N/A</v>
      </c>
      <c r="H75" s="62" t="e">
        <f ca="1">IF(G75="",NA(),OFFSET(Anchor,F75-1,1,1,1))</f>
        <v>#N/A</v>
      </c>
    </row>
    <row r="76" spans="1:8">
      <c r="F76" s="61">
        <f>F75</f>
        <v>25</v>
      </c>
      <c r="G76" s="53" t="e">
        <f ca="1">IF(OFFSET(Anchor,F76-1,0,1,1)="",NA(),G75)</f>
        <v>#N/A</v>
      </c>
      <c r="H76" s="62" t="e">
        <f ca="1">IF(G76="",NA(),OFFSET(Anchor,F76-1,2,1,1))</f>
        <v>#N/A</v>
      </c>
    </row>
    <row r="77" spans="1:8">
      <c r="F77" s="61">
        <f>F76</f>
        <v>25</v>
      </c>
      <c r="G77" s="53" t="e">
        <f ca="1">IF(OFFSET(Anchor,F77-1,0,1,1)="",NA(),G76+2)</f>
        <v>#N/A</v>
      </c>
      <c r="H77" s="62" t="e">
        <f ca="1">IF(G77="",NA(),H76)</f>
        <v>#N/A</v>
      </c>
    </row>
    <row r="78" spans="1:8" ht="14.1" customHeight="1">
      <c r="G78" s="53"/>
      <c r="H78" s="53"/>
    </row>
    <row r="79" spans="1:8">
      <c r="G79" s="53"/>
      <c r="H79" s="53"/>
    </row>
    <row r="80" spans="1:8">
      <c r="G80" s="53"/>
      <c r="H80" s="53"/>
    </row>
    <row r="81" spans="7:8" ht="14.1" customHeight="1">
      <c r="G81" s="53"/>
      <c r="H81" s="53"/>
    </row>
    <row r="82" spans="7:8">
      <c r="G82" s="53"/>
      <c r="H82" s="53"/>
    </row>
    <row r="83" spans="7:8">
      <c r="G83" s="53"/>
      <c r="H83" s="53"/>
    </row>
    <row r="84" spans="7:8" ht="14.1" customHeight="1">
      <c r="G84" s="53"/>
      <c r="H84" s="53"/>
    </row>
    <row r="85" spans="7:8">
      <c r="G85" s="53"/>
      <c r="H85" s="53"/>
    </row>
    <row r="86" spans="7:8">
      <c r="G86" s="53"/>
      <c r="H86" s="53"/>
    </row>
    <row r="87" spans="7:8" ht="14.1" customHeight="1">
      <c r="G87" s="53"/>
      <c r="H87" s="53"/>
    </row>
    <row r="88" spans="7:8">
      <c r="G88" s="53"/>
    </row>
    <row r="89" spans="7:8">
      <c r="G89" s="53"/>
    </row>
    <row r="90" spans="7:8" ht="14.1" customHeight="1">
      <c r="G90" s="53"/>
    </row>
    <row r="91" spans="7:8">
      <c r="G91" s="53"/>
    </row>
    <row r="92" spans="7:8">
      <c r="G92" s="53"/>
    </row>
    <row r="93" spans="7:8" ht="14.1" customHeight="1">
      <c r="G93" s="53"/>
    </row>
    <row r="94" spans="7:8">
      <c r="G94" s="53"/>
    </row>
    <row r="95" spans="7:8">
      <c r="G95" s="53"/>
    </row>
    <row r="96" spans="7:8" ht="14.1" customHeight="1">
      <c r="G96" s="53"/>
    </row>
    <row r="97" spans="7:7">
      <c r="G97" s="53"/>
    </row>
    <row r="98" spans="7:7">
      <c r="G98" s="53"/>
    </row>
    <row r="99" spans="7:7" ht="14.1" customHeight="1">
      <c r="G99" s="53"/>
    </row>
    <row r="100" spans="7:7">
      <c r="G100" s="53"/>
    </row>
    <row r="101" spans="7:7">
      <c r="G101" s="53"/>
    </row>
    <row r="102" spans="7:7" ht="14.1" customHeight="1">
      <c r="G102" s="53"/>
    </row>
    <row r="103" spans="7:7">
      <c r="G103" s="53"/>
    </row>
    <row r="104" spans="7:7">
      <c r="G104" s="53"/>
    </row>
    <row r="105" spans="7:7" ht="14.1" customHeight="1">
      <c r="G105" s="53"/>
    </row>
    <row r="106" spans="7:7">
      <c r="G106" s="53"/>
    </row>
    <row r="107" spans="7:7">
      <c r="G107" s="53"/>
    </row>
    <row r="108" spans="7:7" ht="14.1" customHeight="1">
      <c r="G108" s="53"/>
    </row>
    <row r="109" spans="7:7">
      <c r="G109" s="53"/>
    </row>
    <row r="110" spans="7:7">
      <c r="G110" s="53"/>
    </row>
    <row r="111" spans="7:7" ht="14.1" customHeight="1">
      <c r="G111" s="53"/>
    </row>
    <row r="112" spans="7:7">
      <c r="G112" s="53"/>
    </row>
    <row r="113" spans="7:7">
      <c r="G113" s="53"/>
    </row>
    <row r="114" spans="7:7" ht="14.1" customHeight="1">
      <c r="G114" s="53"/>
    </row>
    <row r="115" spans="7:7">
      <c r="G115" s="53"/>
    </row>
    <row r="116" spans="7:7">
      <c r="G116" s="53"/>
    </row>
    <row r="117" spans="7:7" ht="14.1" customHeight="1">
      <c r="G117" s="53"/>
    </row>
    <row r="118" spans="7:7">
      <c r="G118" s="53"/>
    </row>
    <row r="119" spans="7:7">
      <c r="G119" s="53"/>
    </row>
    <row r="120" spans="7:7" ht="14.1" customHeight="1">
      <c r="G120" s="53"/>
    </row>
    <row r="121" spans="7:7">
      <c r="G121" s="53"/>
    </row>
    <row r="122" spans="7:7">
      <c r="G122" s="53"/>
    </row>
    <row r="123" spans="7:7" ht="14.1" customHeight="1">
      <c r="G123" s="53"/>
    </row>
    <row r="124" spans="7:7">
      <c r="G124" s="53"/>
    </row>
    <row r="125" spans="7:7">
      <c r="G125" s="53"/>
    </row>
    <row r="126" spans="7:7" ht="14.1" customHeight="1">
      <c r="G126" s="53"/>
    </row>
    <row r="127" spans="7:7">
      <c r="G127" s="53"/>
    </row>
    <row r="128" spans="7:7">
      <c r="G128" s="53"/>
    </row>
    <row r="129" spans="7:7" ht="14.1" customHeight="1">
      <c r="G129" s="53"/>
    </row>
    <row r="130" spans="7:7">
      <c r="G130" s="53"/>
    </row>
    <row r="131" spans="7:7">
      <c r="G131" s="53"/>
    </row>
    <row r="132" spans="7:7" ht="14.1" customHeight="1">
      <c r="G132" s="53"/>
    </row>
    <row r="133" spans="7:7">
      <c r="G133" s="53"/>
    </row>
    <row r="134" spans="7:7">
      <c r="G134" s="53"/>
    </row>
    <row r="135" spans="7:7" ht="14.1" customHeight="1">
      <c r="G135" s="53"/>
    </row>
    <row r="136" spans="7:7">
      <c r="G136" s="53"/>
    </row>
    <row r="137" spans="7:7">
      <c r="G137" s="53"/>
    </row>
    <row r="138" spans="7:7" ht="14.1" customHeight="1">
      <c r="G138" s="53"/>
    </row>
    <row r="139" spans="7:7">
      <c r="G139" s="53"/>
    </row>
    <row r="140" spans="7:7">
      <c r="G140" s="53"/>
    </row>
    <row r="141" spans="7:7" ht="14.1" customHeight="1">
      <c r="G141" s="53"/>
    </row>
    <row r="142" spans="7:7">
      <c r="G142" s="53"/>
    </row>
    <row r="143" spans="7:7">
      <c r="G143" s="53"/>
    </row>
    <row r="144" spans="7:7" ht="14.1" customHeight="1">
      <c r="G144" s="53"/>
    </row>
    <row r="145" spans="7:7">
      <c r="G145" s="53"/>
    </row>
    <row r="146" spans="7:7">
      <c r="G146" s="53"/>
    </row>
    <row r="147" spans="7:7" ht="14.1" customHeight="1">
      <c r="G147" s="53"/>
    </row>
    <row r="148" spans="7:7">
      <c r="G148" s="53"/>
    </row>
    <row r="149" spans="7:7">
      <c r="G149" s="53"/>
    </row>
    <row r="150" spans="7:7" ht="14.1" customHeight="1">
      <c r="G150" s="53"/>
    </row>
    <row r="151" spans="7:7">
      <c r="G151" s="53"/>
    </row>
    <row r="152" spans="7:7">
      <c r="G152" s="53"/>
    </row>
    <row r="153" spans="7:7">
      <c r="G153" s="53"/>
    </row>
    <row r="154" spans="7:7">
      <c r="G154" s="53"/>
    </row>
    <row r="155" spans="7:7">
      <c r="G155" s="53"/>
    </row>
    <row r="156" spans="7:7">
      <c r="G156" s="53"/>
    </row>
    <row r="157" spans="7:7">
      <c r="G157" s="53"/>
    </row>
    <row r="158" spans="7:7">
      <c r="G158" s="53"/>
    </row>
    <row r="159" spans="7:7">
      <c r="G159" s="53"/>
    </row>
    <row r="160" spans="7:7">
      <c r="G160" s="53"/>
    </row>
    <row r="161" spans="1:23" s="24" customFormat="1">
      <c r="A161" s="58"/>
      <c r="B161" s="59"/>
      <c r="C161" s="60"/>
      <c r="D161" s="60"/>
      <c r="E161" s="61"/>
      <c r="F161" s="61"/>
      <c r="G161" s="53"/>
      <c r="H161" s="62"/>
      <c r="I161" s="138"/>
      <c r="J161" s="64"/>
      <c r="K161" s="64"/>
      <c r="L161" s="64"/>
      <c r="M161" s="64"/>
      <c r="N161" s="64"/>
      <c r="O161" s="64"/>
      <c r="P161" s="64"/>
      <c r="Q161" s="64"/>
      <c r="R161" s="64"/>
      <c r="S161" s="64"/>
      <c r="T161" s="64"/>
      <c r="U161" s="64"/>
      <c r="V161" s="64"/>
      <c r="W161" s="64"/>
    </row>
    <row r="162" spans="1:23" s="24" customFormat="1">
      <c r="A162" s="58"/>
      <c r="B162" s="59"/>
      <c r="C162" s="60"/>
      <c r="D162" s="60"/>
      <c r="E162" s="61"/>
      <c r="F162" s="61"/>
      <c r="G162" s="53"/>
      <c r="H162" s="62"/>
      <c r="I162" s="138"/>
      <c r="J162" s="64"/>
      <c r="K162" s="64"/>
      <c r="L162" s="64"/>
      <c r="M162" s="64"/>
      <c r="N162" s="64"/>
      <c r="O162" s="64"/>
      <c r="P162" s="64"/>
      <c r="Q162" s="64"/>
      <c r="R162" s="64"/>
      <c r="S162" s="64"/>
      <c r="T162" s="64"/>
      <c r="U162" s="64"/>
      <c r="V162" s="64"/>
      <c r="W162" s="64"/>
    </row>
    <row r="163" spans="1:23" s="24" customFormat="1">
      <c r="A163" s="58"/>
      <c r="B163" s="59"/>
      <c r="C163" s="60"/>
      <c r="D163" s="60"/>
      <c r="E163" s="61"/>
      <c r="F163" s="61"/>
      <c r="G163" s="53"/>
      <c r="H163" s="62"/>
      <c r="I163" s="138"/>
      <c r="J163" s="64"/>
      <c r="K163" s="64"/>
      <c r="L163" s="64"/>
      <c r="M163" s="64"/>
      <c r="N163" s="64"/>
      <c r="O163" s="64"/>
      <c r="P163" s="64"/>
      <c r="Q163" s="64"/>
      <c r="R163" s="64"/>
      <c r="S163" s="64"/>
      <c r="T163" s="64"/>
      <c r="U163" s="64"/>
      <c r="V163" s="64"/>
      <c r="W163" s="64"/>
    </row>
    <row r="164" spans="1:23">
      <c r="G164" s="53"/>
    </row>
    <row r="165" spans="1:23">
      <c r="G165" s="53"/>
    </row>
    <row r="166" spans="1:23">
      <c r="G166" s="53"/>
    </row>
    <row r="167" spans="1:23">
      <c r="G167" s="53"/>
    </row>
    <row r="168" spans="1:23">
      <c r="G168" s="53"/>
    </row>
    <row r="169" spans="1:23">
      <c r="G169" s="53"/>
    </row>
    <row r="170" spans="1:23">
      <c r="G170" s="53"/>
    </row>
    <row r="171" spans="1:23">
      <c r="G171" s="53"/>
    </row>
    <row r="172" spans="1:23">
      <c r="G172" s="53"/>
    </row>
    <row r="173" spans="1:23">
      <c r="G173" s="53"/>
    </row>
    <row r="174" spans="1:23">
      <c r="G174" s="53"/>
    </row>
    <row r="175" spans="1:23">
      <c r="G175" s="53"/>
    </row>
    <row r="176" spans="1:23">
      <c r="G176" s="53"/>
    </row>
    <row r="177" spans="7:7">
      <c r="G177" s="53"/>
    </row>
    <row r="178" spans="7:7">
      <c r="G178" s="53"/>
    </row>
    <row r="179" spans="7:7">
      <c r="G179" s="53"/>
    </row>
  </sheetData>
  <phoneticPr fontId="0" type="noConversion"/>
  <conditionalFormatting sqref="B3:E3 E9">
    <cfRule type="expression" dxfId="1" priority="3" stopIfTrue="1">
      <formula>($A3/2)-INT($A3/2)=0</formula>
    </cfRule>
  </conditionalFormatting>
  <conditionalFormatting sqref="E7">
    <cfRule type="expression" dxfId="0" priority="1" stopIfTrue="1">
      <formula>($A7/2)-INT($A7/2)=0</formula>
    </cfRule>
  </conditionalFormatting>
  <printOptions horizontalCentered="1"/>
  <pageMargins left="0.75" right="0.75" top="1" bottom="1" header="0.5" footer="0.5"/>
  <pageSetup orientation="landscape" horizontalDpi="4294967292" verticalDpi="4294967292" r:id="rId1"/>
  <headerFooter alignWithMargins="0">
    <oddFooter>&amp;L&amp;D&amp;C&amp;"Charcoal,Bold"&amp;F — Phase Descriptions &amp; Comments&amp;R&amp;P of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Aim">
    <tabColor theme="8" tint="0.59999389629810485"/>
  </sheetPr>
  <dimension ref="A1:P961"/>
  <sheetViews>
    <sheetView workbookViewId="0">
      <pane ySplit="2" topLeftCell="A3" activePane="bottomLeft" state="frozenSplit"/>
      <selection pane="bottomLeft" activeCell="D16" sqref="D16"/>
    </sheetView>
  </sheetViews>
  <sheetFormatPr defaultColWidth="11" defaultRowHeight="11.4"/>
  <cols>
    <col min="1" max="1" width="10.85546875" style="2" customWidth="1"/>
    <col min="2" max="2" width="11.85546875" style="2" customWidth="1"/>
    <col min="3" max="3" width="11.85546875" style="8" customWidth="1"/>
    <col min="4" max="4" width="11.85546875" style="2" customWidth="1"/>
    <col min="5" max="5" width="11" style="2"/>
    <col min="6" max="6" width="70.7109375" style="2" customWidth="1"/>
    <col min="7" max="8" width="11" style="9" customWidth="1"/>
    <col min="9" max="9" width="9.85546875" style="2" customWidth="1"/>
    <col min="10" max="10" width="10.28515625" style="13" customWidth="1"/>
    <col min="11" max="11" width="13.140625" style="10" customWidth="1"/>
    <col min="12" max="12" width="4.28515625" style="10" customWidth="1"/>
    <col min="13" max="13" width="4.28515625" style="2" customWidth="1"/>
    <col min="14" max="15" width="11" style="2"/>
    <col min="16" max="16" width="11" style="17"/>
    <col min="17" max="16384" width="11" style="2"/>
  </cols>
  <sheetData>
    <row r="1" spans="1:16" ht="69.75" customHeight="1">
      <c r="A1" s="12" t="s">
        <v>87</v>
      </c>
      <c r="B1" s="500" t="s">
        <v>27</v>
      </c>
      <c r="C1" s="501"/>
      <c r="D1" s="501"/>
      <c r="E1" s="501"/>
      <c r="F1" s="501"/>
      <c r="G1" s="501"/>
      <c r="H1" s="501"/>
      <c r="I1" s="501"/>
    </row>
    <row r="2" spans="1:16" s="1" customFormat="1" ht="36" customHeight="1">
      <c r="A2" s="19" t="s">
        <v>77</v>
      </c>
      <c r="B2" s="19" t="s">
        <v>80</v>
      </c>
      <c r="C2" s="19" t="s">
        <v>118</v>
      </c>
      <c r="D2" s="19" t="s">
        <v>29</v>
      </c>
      <c r="E2" s="19" t="s">
        <v>21</v>
      </c>
      <c r="F2" s="20" t="s">
        <v>108</v>
      </c>
      <c r="G2" s="11" t="s">
        <v>96</v>
      </c>
      <c r="H2" s="11" t="s">
        <v>95</v>
      </c>
      <c r="I2" s="11"/>
      <c r="J2" s="1" t="s">
        <v>97</v>
      </c>
      <c r="K2" s="18" t="s">
        <v>98</v>
      </c>
    </row>
    <row r="3" spans="1:16" ht="14.1" customHeight="1">
      <c r="A3" s="4">
        <v>1</v>
      </c>
      <c r="B3" s="5"/>
      <c r="C3" s="371"/>
      <c r="D3" s="372"/>
      <c r="E3" s="14"/>
      <c r="F3" s="6"/>
      <c r="G3" s="13" t="e">
        <f>IF(B3="",NA(),INT((B3-SyncDate)/Offsetter)-0.5)</f>
        <v>#N/A</v>
      </c>
      <c r="H3" s="10">
        <f>C3</f>
        <v>0</v>
      </c>
      <c r="I3" s="132" t="s">
        <v>187</v>
      </c>
      <c r="J3" s="10" t="e">
        <f>G3</f>
        <v>#N/A</v>
      </c>
      <c r="K3" s="9" t="str">
        <f>IF(B3="","",IF(D3&gt;0,D3,ZeroCount*E3))</f>
        <v/>
      </c>
      <c r="L3" s="133" t="s">
        <v>188</v>
      </c>
      <c r="P3" s="2"/>
    </row>
    <row r="4" spans="1:16" ht="14.1" customHeight="1">
      <c r="A4" s="4">
        <v>2</v>
      </c>
      <c r="B4" s="5"/>
      <c r="C4" s="371"/>
      <c r="D4" s="372"/>
      <c r="E4" s="14"/>
      <c r="F4" s="6"/>
      <c r="G4" s="13" t="e">
        <f>IF(B4="",NA(),INT((B4-SyncDate)/Offsetter)-0.5)</f>
        <v>#N/A</v>
      </c>
      <c r="H4" s="10">
        <f>C4</f>
        <v>0</v>
      </c>
      <c r="I4" s="132" t="s">
        <v>187</v>
      </c>
      <c r="J4" s="10" t="e">
        <f>G4</f>
        <v>#N/A</v>
      </c>
      <c r="K4" s="9" t="str">
        <f>IF(B4="","",IF(D4&gt;0,D4,ZeroCount*E4))</f>
        <v/>
      </c>
      <c r="L4" s="133" t="s">
        <v>188</v>
      </c>
      <c r="P4" s="2"/>
    </row>
    <row r="5" spans="1:16" ht="14.1" customHeight="1">
      <c r="A5" s="4">
        <v>3</v>
      </c>
      <c r="B5" s="5"/>
      <c r="C5" s="371"/>
      <c r="D5" s="372"/>
      <c r="E5" s="14"/>
      <c r="F5" s="6"/>
      <c r="G5" s="13" t="e">
        <f>IF(B5="",NA(),INT((B5-SyncDate)/Offsetter)-0.5)</f>
        <v>#N/A</v>
      </c>
      <c r="H5" s="10">
        <f>C5</f>
        <v>0</v>
      </c>
      <c r="I5" s="132" t="s">
        <v>187</v>
      </c>
      <c r="J5" s="10" t="e">
        <f>G5</f>
        <v>#N/A</v>
      </c>
      <c r="K5" s="9" t="str">
        <f>IF(B5="","",IF(D5&gt;0,D5,ZeroCount*E5))</f>
        <v/>
      </c>
      <c r="L5" s="133" t="s">
        <v>188</v>
      </c>
      <c r="P5" s="2"/>
    </row>
    <row r="6" spans="1:16" ht="14.1" customHeight="1">
      <c r="A6" s="4">
        <v>4</v>
      </c>
      <c r="B6" s="5"/>
      <c r="C6" s="371"/>
      <c r="D6" s="372"/>
      <c r="E6" s="14"/>
      <c r="F6" s="6"/>
      <c r="G6" s="13" t="e">
        <f>IF(B6="",NA(),INT((B6-SyncDate)/Offsetter)-0.5)</f>
        <v>#N/A</v>
      </c>
      <c r="H6" s="10">
        <f>C6</f>
        <v>0</v>
      </c>
      <c r="I6" s="132" t="s">
        <v>187</v>
      </c>
      <c r="J6" s="10" t="e">
        <f>G6</f>
        <v>#N/A</v>
      </c>
      <c r="K6" s="9" t="str">
        <f>IF(B6="","",IF(D6&gt;0,D6,ZeroCount*E6))</f>
        <v/>
      </c>
      <c r="L6" s="133" t="s">
        <v>188</v>
      </c>
      <c r="P6" s="2"/>
    </row>
    <row r="7" spans="1:16" ht="14.1" customHeight="1">
      <c r="A7" s="4">
        <v>5</v>
      </c>
      <c r="B7" s="5"/>
      <c r="C7" s="371"/>
      <c r="D7" s="372"/>
      <c r="E7" s="14"/>
      <c r="F7" s="6"/>
      <c r="G7" s="13" t="e">
        <f>IF(B7="",NA(),INT((B7-SyncDate)/Offsetter)-0.5)</f>
        <v>#N/A</v>
      </c>
      <c r="H7" s="10">
        <f>C7</f>
        <v>0</v>
      </c>
      <c r="I7" s="132" t="s">
        <v>187</v>
      </c>
      <c r="J7" s="10" t="e">
        <f>G7</f>
        <v>#N/A</v>
      </c>
      <c r="K7" s="9" t="str">
        <f>IF(B7="","",IF(D7&gt;0,D7,ZeroCount*E7))</f>
        <v/>
      </c>
      <c r="L7" s="133" t="s">
        <v>188</v>
      </c>
      <c r="M7"/>
      <c r="N7"/>
      <c r="O7"/>
      <c r="P7"/>
    </row>
    <row r="8" spans="1:16" ht="10.199999999999999">
      <c r="C8"/>
      <c r="M8"/>
      <c r="N8"/>
      <c r="O8"/>
      <c r="P8"/>
    </row>
    <row r="9" spans="1:16" ht="10.199999999999999">
      <c r="C9"/>
      <c r="M9"/>
      <c r="N9"/>
      <c r="O9"/>
      <c r="P9"/>
    </row>
    <row r="10" spans="1:16" ht="10.199999999999999">
      <c r="C10"/>
      <c r="M10"/>
      <c r="N10"/>
      <c r="O10"/>
      <c r="P10"/>
    </row>
    <row r="11" spans="1:16" ht="10.199999999999999">
      <c r="C11"/>
      <c r="M11"/>
      <c r="N11"/>
      <c r="O11"/>
      <c r="P11"/>
    </row>
    <row r="12" spans="1:16" ht="10.199999999999999">
      <c r="C12"/>
      <c r="M12"/>
      <c r="N12"/>
      <c r="O12"/>
      <c r="P12"/>
    </row>
    <row r="13" spans="1:16">
      <c r="C13"/>
      <c r="H13" s="15"/>
      <c r="M13"/>
      <c r="N13"/>
      <c r="O13"/>
      <c r="P13"/>
    </row>
    <row r="14" spans="1:16">
      <c r="C14"/>
      <c r="H14" s="15"/>
      <c r="M14"/>
      <c r="N14"/>
      <c r="O14"/>
      <c r="P14"/>
    </row>
    <row r="15" spans="1:16">
      <c r="C15"/>
      <c r="H15" s="15"/>
      <c r="M15"/>
      <c r="N15"/>
      <c r="O15"/>
      <c r="P15"/>
    </row>
    <row r="16" spans="1:16">
      <c r="C16"/>
      <c r="H16" s="15"/>
      <c r="M16"/>
      <c r="N16"/>
      <c r="O16"/>
      <c r="P16"/>
    </row>
    <row r="17" spans="3:16">
      <c r="C17"/>
      <c r="H17" s="15"/>
      <c r="M17"/>
      <c r="N17"/>
      <c r="O17"/>
      <c r="P17"/>
    </row>
    <row r="18" spans="3:16">
      <c r="C18"/>
      <c r="H18" s="15"/>
      <c r="M18"/>
      <c r="N18"/>
      <c r="O18"/>
      <c r="P18"/>
    </row>
    <row r="19" spans="3:16">
      <c r="C19"/>
      <c r="H19" s="15"/>
      <c r="M19"/>
      <c r="N19"/>
      <c r="O19"/>
      <c r="P19"/>
    </row>
    <row r="20" spans="3:16">
      <c r="C20"/>
      <c r="H20" s="15"/>
      <c r="M20"/>
      <c r="N20"/>
      <c r="O20"/>
      <c r="P20"/>
    </row>
    <row r="21" spans="3:16">
      <c r="C21"/>
      <c r="H21" s="15"/>
      <c r="M21"/>
      <c r="N21"/>
      <c r="O21"/>
      <c r="P21"/>
    </row>
    <row r="22" spans="3:16">
      <c r="C22"/>
      <c r="H22" s="15"/>
      <c r="M22"/>
      <c r="N22"/>
      <c r="O22"/>
      <c r="P22"/>
    </row>
    <row r="23" spans="3:16">
      <c r="C23"/>
      <c r="H23" s="15"/>
      <c r="M23"/>
      <c r="N23"/>
      <c r="O23"/>
      <c r="P23"/>
    </row>
    <row r="24" spans="3:16">
      <c r="C24"/>
      <c r="H24" s="15"/>
      <c r="M24"/>
      <c r="N24"/>
      <c r="O24"/>
      <c r="P24"/>
    </row>
    <row r="25" spans="3:16">
      <c r="C25"/>
      <c r="H25" s="15"/>
      <c r="M25"/>
      <c r="N25"/>
      <c r="O25"/>
      <c r="P25"/>
    </row>
    <row r="26" spans="3:16">
      <c r="C26"/>
      <c r="H26" s="15"/>
      <c r="M26"/>
      <c r="N26"/>
      <c r="O26"/>
      <c r="P26"/>
    </row>
    <row r="27" spans="3:16">
      <c r="C27"/>
      <c r="H27" s="15"/>
      <c r="M27"/>
      <c r="N27"/>
      <c r="O27"/>
      <c r="P27"/>
    </row>
    <row r="28" spans="3:16">
      <c r="C28"/>
      <c r="H28" s="15"/>
      <c r="M28"/>
      <c r="N28"/>
      <c r="O28"/>
      <c r="P28"/>
    </row>
    <row r="29" spans="3:16">
      <c r="C29"/>
      <c r="H29" s="15"/>
      <c r="M29"/>
      <c r="N29"/>
      <c r="O29"/>
      <c r="P29"/>
    </row>
    <row r="30" spans="3:16">
      <c r="C30"/>
      <c r="H30" s="15"/>
      <c r="M30"/>
      <c r="N30"/>
      <c r="O30"/>
      <c r="P30"/>
    </row>
    <row r="31" spans="3:16">
      <c r="C31"/>
      <c r="H31" s="15"/>
      <c r="M31"/>
      <c r="N31"/>
      <c r="O31"/>
      <c r="P31"/>
    </row>
    <row r="32" spans="3:16">
      <c r="C32"/>
      <c r="H32" s="15"/>
      <c r="M32"/>
      <c r="N32"/>
      <c r="O32"/>
      <c r="P32"/>
    </row>
    <row r="33" spans="3:16">
      <c r="C33"/>
      <c r="H33" s="15"/>
      <c r="M33"/>
      <c r="N33"/>
      <c r="O33"/>
      <c r="P33"/>
    </row>
    <row r="34" spans="3:16">
      <c r="C34"/>
      <c r="H34" s="15"/>
      <c r="M34"/>
      <c r="N34"/>
      <c r="O34"/>
      <c r="P34"/>
    </row>
    <row r="35" spans="3:16">
      <c r="C35"/>
      <c r="H35" s="15"/>
      <c r="M35"/>
      <c r="N35"/>
      <c r="O35"/>
      <c r="P35"/>
    </row>
    <row r="36" spans="3:16">
      <c r="C36"/>
      <c r="H36" s="15"/>
      <c r="M36"/>
      <c r="N36"/>
      <c r="O36"/>
      <c r="P36"/>
    </row>
    <row r="37" spans="3:16">
      <c r="C37"/>
      <c r="H37" s="15"/>
      <c r="M37"/>
      <c r="N37"/>
      <c r="O37"/>
      <c r="P37"/>
    </row>
    <row r="38" spans="3:16">
      <c r="C38"/>
      <c r="H38" s="15"/>
      <c r="M38"/>
      <c r="N38"/>
      <c r="O38"/>
      <c r="P38"/>
    </row>
    <row r="39" spans="3:16">
      <c r="C39"/>
      <c r="H39" s="15"/>
      <c r="M39"/>
      <c r="N39"/>
      <c r="O39"/>
      <c r="P39"/>
    </row>
    <row r="40" spans="3:16">
      <c r="C40"/>
      <c r="H40" s="15"/>
      <c r="M40"/>
      <c r="N40"/>
      <c r="O40"/>
      <c r="P40"/>
    </row>
    <row r="41" spans="3:16" ht="10.199999999999999">
      <c r="C41"/>
      <c r="M41"/>
      <c r="N41"/>
      <c r="O41"/>
      <c r="P41"/>
    </row>
    <row r="42" spans="3:16" ht="10.199999999999999">
      <c r="C42"/>
      <c r="M42"/>
      <c r="N42"/>
      <c r="O42"/>
      <c r="P42"/>
    </row>
    <row r="43" spans="3:16" ht="10.199999999999999">
      <c r="C43"/>
      <c r="M43"/>
      <c r="N43"/>
      <c r="O43"/>
      <c r="P43"/>
    </row>
    <row r="44" spans="3:16" ht="10.199999999999999">
      <c r="C44"/>
      <c r="M44"/>
      <c r="N44"/>
      <c r="O44"/>
      <c r="P44"/>
    </row>
    <row r="45" spans="3:16" ht="10.199999999999999">
      <c r="C45"/>
      <c r="M45"/>
      <c r="N45"/>
      <c r="O45"/>
      <c r="P45"/>
    </row>
    <row r="46" spans="3:16" ht="10.199999999999999">
      <c r="C46"/>
      <c r="M46"/>
      <c r="N46"/>
      <c r="O46"/>
      <c r="P46"/>
    </row>
    <row r="47" spans="3:16" ht="10.199999999999999">
      <c r="C47"/>
      <c r="M47"/>
      <c r="N47"/>
      <c r="O47"/>
      <c r="P47"/>
    </row>
    <row r="48" spans="3:16" ht="10.199999999999999">
      <c r="C48"/>
      <c r="M48"/>
      <c r="N48"/>
      <c r="O48"/>
      <c r="P48"/>
    </row>
    <row r="49" spans="3:16" ht="10.199999999999999">
      <c r="C49"/>
      <c r="M49"/>
      <c r="N49"/>
      <c r="O49"/>
      <c r="P49"/>
    </row>
    <row r="50" spans="3:16" ht="10.199999999999999">
      <c r="C50"/>
      <c r="M50"/>
      <c r="N50"/>
      <c r="O50"/>
      <c r="P50"/>
    </row>
    <row r="51" spans="3:16" ht="10.199999999999999">
      <c r="C51"/>
      <c r="M51"/>
      <c r="N51"/>
      <c r="O51"/>
      <c r="P51"/>
    </row>
    <row r="52" spans="3:16" ht="10.199999999999999">
      <c r="C52"/>
      <c r="M52"/>
      <c r="N52"/>
      <c r="O52"/>
      <c r="P52"/>
    </row>
    <row r="53" spans="3:16" ht="10.199999999999999">
      <c r="C53"/>
      <c r="M53"/>
      <c r="N53"/>
      <c r="O53"/>
      <c r="P53"/>
    </row>
    <row r="54" spans="3:16" ht="10.199999999999999">
      <c r="C54"/>
      <c r="M54"/>
      <c r="N54"/>
      <c r="O54"/>
      <c r="P54"/>
    </row>
    <row r="55" spans="3:16" ht="10.199999999999999">
      <c r="C55"/>
      <c r="M55"/>
      <c r="N55"/>
      <c r="O55"/>
      <c r="P55"/>
    </row>
    <row r="56" spans="3:16" ht="10.199999999999999">
      <c r="C56"/>
      <c r="M56"/>
      <c r="N56"/>
      <c r="O56"/>
      <c r="P56"/>
    </row>
    <row r="57" spans="3:16" ht="10.199999999999999">
      <c r="C57"/>
      <c r="M57"/>
      <c r="N57"/>
      <c r="O57"/>
      <c r="P57"/>
    </row>
    <row r="58" spans="3:16" ht="10.199999999999999">
      <c r="C58"/>
      <c r="M58"/>
      <c r="N58"/>
      <c r="O58"/>
      <c r="P58"/>
    </row>
    <row r="59" spans="3:16" ht="10.199999999999999">
      <c r="C59"/>
      <c r="M59"/>
      <c r="N59"/>
      <c r="O59"/>
      <c r="P59"/>
    </row>
    <row r="60" spans="3:16" ht="10.199999999999999">
      <c r="C60"/>
      <c r="M60"/>
      <c r="N60"/>
      <c r="O60"/>
      <c r="P60"/>
    </row>
    <row r="61" spans="3:16" ht="10.199999999999999">
      <c r="C61"/>
      <c r="M61"/>
      <c r="N61"/>
      <c r="O61"/>
      <c r="P61"/>
    </row>
    <row r="62" spans="3:16" ht="10.199999999999999">
      <c r="C62"/>
      <c r="M62"/>
      <c r="N62"/>
      <c r="O62"/>
      <c r="P62"/>
    </row>
    <row r="63" spans="3:16" ht="10.199999999999999">
      <c r="C63"/>
      <c r="M63"/>
      <c r="N63"/>
      <c r="O63"/>
      <c r="P63"/>
    </row>
    <row r="64" spans="3:16" ht="10.199999999999999">
      <c r="C64"/>
      <c r="M64"/>
      <c r="N64"/>
      <c r="O64"/>
      <c r="P64"/>
    </row>
    <row r="65" spans="3:16" ht="10.199999999999999">
      <c r="C65"/>
      <c r="M65"/>
      <c r="N65"/>
      <c r="O65"/>
      <c r="P65"/>
    </row>
    <row r="66" spans="3:16" ht="10.199999999999999">
      <c r="C66"/>
      <c r="M66"/>
      <c r="N66"/>
      <c r="O66"/>
      <c r="P66"/>
    </row>
    <row r="67" spans="3:16" ht="10.199999999999999">
      <c r="C67"/>
      <c r="M67"/>
      <c r="N67"/>
      <c r="O67"/>
      <c r="P67"/>
    </row>
    <row r="68" spans="3:16" ht="10.199999999999999">
      <c r="C68"/>
      <c r="M68"/>
      <c r="N68"/>
      <c r="O68"/>
      <c r="P68"/>
    </row>
    <row r="69" spans="3:16" ht="10.199999999999999">
      <c r="C69"/>
      <c r="M69"/>
      <c r="N69"/>
      <c r="O69"/>
      <c r="P69"/>
    </row>
    <row r="70" spans="3:16" ht="10.199999999999999">
      <c r="C70"/>
      <c r="M70"/>
      <c r="N70"/>
      <c r="O70"/>
      <c r="P70"/>
    </row>
    <row r="71" spans="3:16" ht="10.199999999999999">
      <c r="C71"/>
      <c r="M71"/>
      <c r="N71"/>
      <c r="O71"/>
      <c r="P71"/>
    </row>
    <row r="72" spans="3:16" ht="10.199999999999999">
      <c r="C72"/>
      <c r="M72"/>
      <c r="N72"/>
      <c r="O72"/>
      <c r="P72"/>
    </row>
    <row r="73" spans="3:16" ht="10.199999999999999">
      <c r="C73"/>
      <c r="M73"/>
      <c r="N73"/>
      <c r="O73"/>
      <c r="P73"/>
    </row>
    <row r="74" spans="3:16" ht="10.199999999999999">
      <c r="C74"/>
      <c r="M74"/>
      <c r="N74"/>
      <c r="O74"/>
      <c r="P74"/>
    </row>
    <row r="75" spans="3:16" ht="10.199999999999999">
      <c r="C75"/>
      <c r="M75"/>
      <c r="N75"/>
      <c r="O75"/>
      <c r="P75"/>
    </row>
    <row r="76" spans="3:16" ht="10.199999999999999">
      <c r="C76"/>
      <c r="M76"/>
      <c r="N76"/>
      <c r="O76"/>
      <c r="P76"/>
    </row>
    <row r="77" spans="3:16" ht="10.199999999999999">
      <c r="C77"/>
      <c r="M77"/>
      <c r="N77"/>
      <c r="O77"/>
      <c r="P77"/>
    </row>
    <row r="78" spans="3:16" ht="10.199999999999999">
      <c r="C78"/>
      <c r="M78"/>
      <c r="N78"/>
      <c r="O78"/>
      <c r="P78"/>
    </row>
    <row r="79" spans="3:16" ht="10.199999999999999">
      <c r="C79"/>
      <c r="M79"/>
      <c r="N79"/>
      <c r="O79"/>
      <c r="P79"/>
    </row>
    <row r="80" spans="3:16" ht="10.199999999999999">
      <c r="C80"/>
      <c r="M80"/>
      <c r="N80"/>
      <c r="O80"/>
      <c r="P80"/>
    </row>
    <row r="81" spans="3:16" ht="10.199999999999999">
      <c r="C81"/>
      <c r="M81"/>
      <c r="N81"/>
      <c r="O81"/>
      <c r="P81"/>
    </row>
    <row r="82" spans="3:16" ht="10.199999999999999">
      <c r="C82"/>
      <c r="M82"/>
      <c r="N82"/>
      <c r="O82"/>
      <c r="P82"/>
    </row>
    <row r="83" spans="3:16" ht="10.199999999999999">
      <c r="C83"/>
      <c r="M83"/>
      <c r="N83"/>
      <c r="O83"/>
      <c r="P83"/>
    </row>
    <row r="84" spans="3:16" ht="10.199999999999999">
      <c r="C84"/>
      <c r="M84"/>
      <c r="N84"/>
      <c r="O84"/>
      <c r="P84"/>
    </row>
    <row r="85" spans="3:16" ht="10.199999999999999">
      <c r="C85"/>
      <c r="M85"/>
      <c r="N85"/>
      <c r="O85"/>
      <c r="P85"/>
    </row>
    <row r="86" spans="3:16" ht="10.199999999999999">
      <c r="C86"/>
      <c r="M86"/>
      <c r="N86"/>
      <c r="O86"/>
      <c r="P86"/>
    </row>
    <row r="87" spans="3:16" ht="10.199999999999999">
      <c r="C87"/>
      <c r="M87"/>
      <c r="N87"/>
      <c r="O87"/>
      <c r="P87"/>
    </row>
    <row r="88" spans="3:16" ht="10.199999999999999">
      <c r="C88"/>
      <c r="M88"/>
      <c r="N88"/>
      <c r="O88"/>
      <c r="P88"/>
    </row>
    <row r="89" spans="3:16" ht="10.199999999999999">
      <c r="C89"/>
      <c r="M89"/>
      <c r="N89"/>
      <c r="O89"/>
      <c r="P89"/>
    </row>
    <row r="90" spans="3:16" ht="10.199999999999999">
      <c r="C90"/>
      <c r="M90"/>
      <c r="N90"/>
      <c r="O90"/>
      <c r="P90"/>
    </row>
    <row r="91" spans="3:16" ht="10.199999999999999">
      <c r="C91"/>
      <c r="M91"/>
      <c r="N91"/>
      <c r="O91"/>
      <c r="P91"/>
    </row>
    <row r="92" spans="3:16" ht="10.199999999999999">
      <c r="C92"/>
      <c r="M92"/>
      <c r="N92"/>
      <c r="O92"/>
      <c r="P92"/>
    </row>
    <row r="93" spans="3:16" ht="10.199999999999999">
      <c r="C93"/>
      <c r="M93"/>
      <c r="N93"/>
      <c r="O93"/>
      <c r="P93"/>
    </row>
    <row r="94" spans="3:16" ht="10.199999999999999">
      <c r="C94"/>
      <c r="M94"/>
      <c r="N94"/>
      <c r="O94"/>
      <c r="P94"/>
    </row>
    <row r="95" spans="3:16" ht="10.199999999999999">
      <c r="C95"/>
      <c r="M95"/>
      <c r="N95"/>
      <c r="O95"/>
      <c r="P95"/>
    </row>
    <row r="96" spans="3:16" ht="10.199999999999999">
      <c r="C96"/>
      <c r="M96"/>
      <c r="N96"/>
      <c r="O96"/>
      <c r="P96"/>
    </row>
    <row r="97" spans="3:16" ht="10.199999999999999">
      <c r="C97"/>
      <c r="M97"/>
      <c r="N97"/>
      <c r="O97"/>
      <c r="P97"/>
    </row>
    <row r="98" spans="3:16" ht="10.199999999999999">
      <c r="C98"/>
      <c r="M98"/>
      <c r="N98"/>
      <c r="O98"/>
      <c r="P98"/>
    </row>
    <row r="99" spans="3:16" ht="10.199999999999999">
      <c r="C99"/>
      <c r="M99"/>
      <c r="N99"/>
      <c r="O99"/>
      <c r="P99"/>
    </row>
    <row r="100" spans="3:16" ht="10.199999999999999">
      <c r="C100"/>
      <c r="M100"/>
      <c r="N100"/>
      <c r="O100"/>
      <c r="P100"/>
    </row>
    <row r="101" spans="3:16" ht="10.199999999999999">
      <c r="C101"/>
      <c r="M101"/>
      <c r="N101"/>
      <c r="O101"/>
      <c r="P101"/>
    </row>
    <row r="102" spans="3:16" ht="10.199999999999999">
      <c r="C102"/>
      <c r="M102"/>
      <c r="N102"/>
      <c r="O102"/>
      <c r="P102"/>
    </row>
    <row r="103" spans="3:16" ht="10.199999999999999">
      <c r="C103"/>
      <c r="M103"/>
      <c r="N103"/>
      <c r="O103"/>
      <c r="P103"/>
    </row>
    <row r="104" spans="3:16" ht="10.199999999999999">
      <c r="C104"/>
      <c r="M104"/>
      <c r="N104"/>
      <c r="O104"/>
      <c r="P104"/>
    </row>
    <row r="105" spans="3:16" ht="10.199999999999999">
      <c r="C105"/>
      <c r="M105"/>
      <c r="N105"/>
      <c r="O105"/>
      <c r="P105"/>
    </row>
    <row r="106" spans="3:16" ht="10.199999999999999">
      <c r="C106"/>
      <c r="M106"/>
      <c r="N106"/>
      <c r="O106"/>
      <c r="P106"/>
    </row>
    <row r="107" spans="3:16" ht="10.199999999999999">
      <c r="C107"/>
      <c r="M107"/>
      <c r="N107"/>
      <c r="O107"/>
      <c r="P107"/>
    </row>
    <row r="108" spans="3:16" ht="10.199999999999999">
      <c r="C108"/>
      <c r="M108"/>
      <c r="N108"/>
      <c r="O108"/>
      <c r="P108"/>
    </row>
    <row r="109" spans="3:16" ht="10.199999999999999">
      <c r="C109"/>
      <c r="M109"/>
      <c r="N109"/>
      <c r="O109"/>
      <c r="P109"/>
    </row>
    <row r="110" spans="3:16" ht="10.199999999999999">
      <c r="C110"/>
      <c r="M110"/>
      <c r="N110"/>
      <c r="O110"/>
      <c r="P110"/>
    </row>
    <row r="111" spans="3:16" ht="10.199999999999999">
      <c r="C111"/>
      <c r="M111"/>
      <c r="N111"/>
      <c r="O111"/>
      <c r="P111"/>
    </row>
    <row r="112" spans="3:16" ht="10.199999999999999">
      <c r="C112"/>
      <c r="M112"/>
      <c r="N112"/>
      <c r="O112"/>
      <c r="P112"/>
    </row>
    <row r="113" spans="3:16" ht="10.199999999999999">
      <c r="C113"/>
      <c r="M113"/>
      <c r="N113"/>
      <c r="O113"/>
      <c r="P113"/>
    </row>
    <row r="114" spans="3:16" ht="10.199999999999999">
      <c r="C114"/>
      <c r="M114"/>
      <c r="N114"/>
      <c r="O114"/>
      <c r="P114"/>
    </row>
    <row r="115" spans="3:16" ht="10.199999999999999">
      <c r="C115"/>
      <c r="M115"/>
      <c r="N115"/>
      <c r="O115"/>
      <c r="P115"/>
    </row>
    <row r="116" spans="3:16" ht="10.199999999999999">
      <c r="C116"/>
      <c r="M116"/>
      <c r="N116"/>
      <c r="O116"/>
      <c r="P116"/>
    </row>
    <row r="117" spans="3:16" ht="10.199999999999999">
      <c r="C117"/>
      <c r="M117"/>
      <c r="N117"/>
      <c r="O117"/>
      <c r="P117"/>
    </row>
    <row r="118" spans="3:16" ht="10.199999999999999">
      <c r="C118"/>
      <c r="M118"/>
      <c r="N118"/>
      <c r="O118"/>
      <c r="P118"/>
    </row>
    <row r="119" spans="3:16" ht="10.199999999999999">
      <c r="C119"/>
      <c r="M119"/>
      <c r="N119"/>
      <c r="O119"/>
      <c r="P119"/>
    </row>
    <row r="120" spans="3:16" ht="10.199999999999999">
      <c r="C120"/>
      <c r="M120"/>
      <c r="N120"/>
      <c r="O120"/>
      <c r="P120"/>
    </row>
    <row r="121" spans="3:16" ht="10.199999999999999">
      <c r="C121"/>
      <c r="M121"/>
      <c r="N121"/>
      <c r="O121"/>
      <c r="P121"/>
    </row>
    <row r="122" spans="3:16" ht="10.199999999999999">
      <c r="C122"/>
      <c r="M122"/>
      <c r="N122"/>
      <c r="O122"/>
      <c r="P122"/>
    </row>
    <row r="123" spans="3:16" ht="10.199999999999999">
      <c r="C123"/>
      <c r="M123"/>
      <c r="N123"/>
      <c r="O123"/>
      <c r="P123"/>
    </row>
    <row r="124" spans="3:16" ht="10.199999999999999">
      <c r="C124"/>
      <c r="M124"/>
      <c r="N124"/>
      <c r="O124"/>
      <c r="P124"/>
    </row>
    <row r="125" spans="3:16" ht="10.199999999999999">
      <c r="C125"/>
      <c r="M125"/>
      <c r="N125"/>
      <c r="O125"/>
      <c r="P125"/>
    </row>
    <row r="126" spans="3:16" ht="10.199999999999999">
      <c r="C126"/>
      <c r="M126"/>
      <c r="N126"/>
      <c r="O126"/>
      <c r="P126"/>
    </row>
    <row r="127" spans="3:16" ht="10.199999999999999">
      <c r="C127"/>
      <c r="M127"/>
      <c r="N127"/>
      <c r="O127"/>
      <c r="P127"/>
    </row>
    <row r="128" spans="3:16" ht="10.199999999999999">
      <c r="C128"/>
      <c r="M128"/>
      <c r="N128"/>
      <c r="O128"/>
      <c r="P128"/>
    </row>
    <row r="129" spans="3:16" ht="10.199999999999999">
      <c r="C129"/>
      <c r="M129"/>
      <c r="N129"/>
      <c r="O129"/>
      <c r="P129"/>
    </row>
    <row r="130" spans="3:16" ht="10.199999999999999">
      <c r="C130"/>
      <c r="M130"/>
      <c r="N130"/>
      <c r="O130"/>
      <c r="P130"/>
    </row>
    <row r="131" spans="3:16" ht="10.199999999999999">
      <c r="C131"/>
      <c r="M131"/>
      <c r="N131"/>
      <c r="O131"/>
      <c r="P131"/>
    </row>
    <row r="132" spans="3:16" ht="10.199999999999999">
      <c r="C132"/>
      <c r="M132"/>
      <c r="N132"/>
      <c r="O132"/>
      <c r="P132"/>
    </row>
    <row r="133" spans="3:16" ht="10.199999999999999">
      <c r="C133"/>
      <c r="M133"/>
      <c r="N133"/>
      <c r="O133"/>
      <c r="P133"/>
    </row>
    <row r="134" spans="3:16" ht="10.199999999999999">
      <c r="C134"/>
      <c r="M134"/>
      <c r="N134"/>
      <c r="O134"/>
      <c r="P134"/>
    </row>
    <row r="135" spans="3:16" ht="10.199999999999999">
      <c r="C135"/>
      <c r="M135"/>
      <c r="N135"/>
      <c r="O135"/>
      <c r="P135"/>
    </row>
    <row r="136" spans="3:16" ht="10.199999999999999">
      <c r="C136"/>
      <c r="M136"/>
      <c r="N136"/>
      <c r="O136"/>
      <c r="P136"/>
    </row>
    <row r="137" spans="3:16" ht="10.199999999999999">
      <c r="C137"/>
      <c r="M137"/>
      <c r="N137"/>
      <c r="O137"/>
      <c r="P137"/>
    </row>
    <row r="138" spans="3:16" ht="10.199999999999999">
      <c r="C138"/>
      <c r="M138"/>
      <c r="N138"/>
      <c r="O138"/>
      <c r="P138"/>
    </row>
    <row r="139" spans="3:16" ht="10.199999999999999">
      <c r="C139"/>
      <c r="M139"/>
      <c r="N139"/>
      <c r="O139"/>
      <c r="P139"/>
    </row>
    <row r="140" spans="3:16" ht="10.199999999999999">
      <c r="C140"/>
      <c r="M140"/>
      <c r="N140"/>
      <c r="O140"/>
      <c r="P140"/>
    </row>
    <row r="141" spans="3:16" ht="10.199999999999999">
      <c r="C141"/>
      <c r="M141"/>
      <c r="N141"/>
      <c r="O141"/>
      <c r="P141"/>
    </row>
    <row r="142" spans="3:16" ht="10.199999999999999">
      <c r="C142"/>
      <c r="M142"/>
      <c r="N142"/>
      <c r="O142"/>
      <c r="P142"/>
    </row>
    <row r="143" spans="3:16" ht="10.199999999999999">
      <c r="C143"/>
      <c r="M143"/>
      <c r="N143"/>
      <c r="O143"/>
      <c r="P143"/>
    </row>
    <row r="144" spans="3:16" ht="10.199999999999999">
      <c r="C144"/>
      <c r="M144"/>
      <c r="N144"/>
      <c r="O144"/>
      <c r="P144"/>
    </row>
    <row r="145" spans="3:16" ht="10.199999999999999">
      <c r="C145"/>
      <c r="M145"/>
      <c r="N145"/>
      <c r="O145"/>
      <c r="P145"/>
    </row>
    <row r="146" spans="3:16" ht="10.199999999999999">
      <c r="C146"/>
      <c r="M146"/>
      <c r="N146"/>
      <c r="O146"/>
      <c r="P146"/>
    </row>
    <row r="147" spans="3:16" ht="10.199999999999999">
      <c r="C147"/>
      <c r="M147"/>
      <c r="N147"/>
      <c r="O147"/>
      <c r="P147"/>
    </row>
    <row r="148" spans="3:16" ht="10.199999999999999">
      <c r="C148"/>
      <c r="M148"/>
      <c r="N148"/>
      <c r="O148"/>
      <c r="P148"/>
    </row>
    <row r="149" spans="3:16" ht="10.199999999999999">
      <c r="C149"/>
      <c r="M149"/>
      <c r="N149"/>
      <c r="O149"/>
      <c r="P149"/>
    </row>
    <row r="150" spans="3:16" ht="10.199999999999999">
      <c r="C150"/>
      <c r="M150"/>
      <c r="N150"/>
      <c r="O150"/>
      <c r="P150"/>
    </row>
    <row r="151" spans="3:16" ht="10.199999999999999">
      <c r="C151"/>
      <c r="M151"/>
      <c r="N151"/>
      <c r="O151"/>
      <c r="P151"/>
    </row>
    <row r="152" spans="3:16" ht="10.199999999999999">
      <c r="C152"/>
      <c r="M152"/>
      <c r="N152"/>
      <c r="O152"/>
      <c r="P152"/>
    </row>
    <row r="153" spans="3:16" ht="10.199999999999999">
      <c r="C153"/>
      <c r="M153"/>
      <c r="N153"/>
      <c r="O153"/>
      <c r="P153"/>
    </row>
    <row r="154" spans="3:16" ht="10.199999999999999">
      <c r="C154"/>
      <c r="M154"/>
      <c r="N154"/>
      <c r="O154"/>
      <c r="P154"/>
    </row>
    <row r="155" spans="3:16" ht="10.199999999999999">
      <c r="C155"/>
      <c r="M155"/>
      <c r="N155"/>
      <c r="O155"/>
      <c r="P155"/>
    </row>
    <row r="156" spans="3:16" ht="10.199999999999999">
      <c r="C156"/>
      <c r="M156"/>
      <c r="N156"/>
      <c r="O156"/>
      <c r="P156"/>
    </row>
    <row r="157" spans="3:16" ht="10.199999999999999">
      <c r="C157"/>
      <c r="M157"/>
      <c r="N157"/>
      <c r="O157"/>
      <c r="P157"/>
    </row>
    <row r="158" spans="3:16" ht="10.199999999999999">
      <c r="C158"/>
      <c r="M158"/>
      <c r="N158"/>
      <c r="O158"/>
      <c r="P158"/>
    </row>
    <row r="159" spans="3:16" ht="10.199999999999999">
      <c r="C159"/>
      <c r="M159"/>
      <c r="N159"/>
      <c r="O159"/>
      <c r="P159"/>
    </row>
    <row r="160" spans="3:16" ht="10.199999999999999">
      <c r="C160"/>
      <c r="M160"/>
      <c r="N160"/>
      <c r="O160"/>
      <c r="P160"/>
    </row>
    <row r="161" spans="3:16" ht="10.199999999999999">
      <c r="C161"/>
      <c r="M161"/>
      <c r="N161"/>
      <c r="O161"/>
      <c r="P161"/>
    </row>
    <row r="162" spans="3:16" ht="10.199999999999999">
      <c r="C162"/>
      <c r="M162"/>
      <c r="N162"/>
      <c r="O162"/>
      <c r="P162"/>
    </row>
    <row r="163" spans="3:16" ht="10.199999999999999">
      <c r="C163"/>
      <c r="M163"/>
      <c r="N163"/>
      <c r="O163"/>
      <c r="P163"/>
    </row>
    <row r="164" spans="3:16" ht="10.199999999999999">
      <c r="C164"/>
      <c r="M164"/>
      <c r="N164"/>
      <c r="O164"/>
      <c r="P164"/>
    </row>
    <row r="165" spans="3:16" ht="10.199999999999999">
      <c r="C165"/>
      <c r="M165"/>
      <c r="N165"/>
      <c r="O165"/>
      <c r="P165"/>
    </row>
    <row r="166" spans="3:16" ht="10.199999999999999">
      <c r="C166"/>
      <c r="M166"/>
      <c r="N166"/>
      <c r="O166"/>
      <c r="P166"/>
    </row>
    <row r="167" spans="3:16" ht="10.199999999999999">
      <c r="C167"/>
      <c r="M167"/>
      <c r="N167"/>
      <c r="O167"/>
      <c r="P167"/>
    </row>
    <row r="168" spans="3:16" ht="10.199999999999999">
      <c r="C168"/>
      <c r="M168"/>
      <c r="N168"/>
      <c r="O168"/>
      <c r="P168"/>
    </row>
    <row r="169" spans="3:16" ht="10.199999999999999">
      <c r="C169"/>
      <c r="M169"/>
      <c r="N169"/>
      <c r="O169"/>
      <c r="P169"/>
    </row>
    <row r="170" spans="3:16" ht="10.199999999999999">
      <c r="C170"/>
      <c r="M170"/>
      <c r="N170"/>
      <c r="O170"/>
      <c r="P170"/>
    </row>
    <row r="171" spans="3:16" ht="10.199999999999999">
      <c r="C171"/>
      <c r="M171"/>
      <c r="N171"/>
      <c r="O171"/>
      <c r="P171"/>
    </row>
    <row r="172" spans="3:16" ht="10.199999999999999">
      <c r="C172"/>
      <c r="M172"/>
      <c r="N172"/>
      <c r="O172"/>
      <c r="P172"/>
    </row>
    <row r="173" spans="3:16" ht="10.199999999999999">
      <c r="C173"/>
      <c r="M173"/>
      <c r="N173"/>
      <c r="O173"/>
      <c r="P173"/>
    </row>
    <row r="174" spans="3:16" ht="10.199999999999999">
      <c r="C174"/>
      <c r="M174"/>
      <c r="N174"/>
      <c r="O174"/>
      <c r="P174"/>
    </row>
    <row r="175" spans="3:16" ht="10.199999999999999">
      <c r="C175"/>
      <c r="M175"/>
      <c r="N175"/>
      <c r="O175"/>
      <c r="P175"/>
    </row>
    <row r="176" spans="3:16" ht="10.199999999999999">
      <c r="C176"/>
      <c r="M176"/>
      <c r="N176"/>
      <c r="O176"/>
      <c r="P176"/>
    </row>
    <row r="177" spans="3:16" ht="10.199999999999999">
      <c r="C177"/>
      <c r="M177"/>
      <c r="N177"/>
      <c r="O177"/>
      <c r="P177"/>
    </row>
    <row r="178" spans="3:16" ht="10.199999999999999">
      <c r="C178"/>
      <c r="M178"/>
      <c r="N178"/>
      <c r="O178"/>
      <c r="P178"/>
    </row>
    <row r="179" spans="3:16" ht="10.199999999999999">
      <c r="C179"/>
      <c r="M179"/>
      <c r="N179"/>
      <c r="O179"/>
      <c r="P179"/>
    </row>
    <row r="180" spans="3:16" ht="10.199999999999999">
      <c r="C180"/>
      <c r="M180"/>
      <c r="N180"/>
      <c r="O180"/>
      <c r="P180"/>
    </row>
    <row r="181" spans="3:16" ht="10.199999999999999">
      <c r="C181"/>
      <c r="M181"/>
      <c r="N181"/>
      <c r="O181"/>
      <c r="P181"/>
    </row>
    <row r="182" spans="3:16" ht="10.199999999999999">
      <c r="C182"/>
      <c r="M182"/>
      <c r="N182"/>
      <c r="O182"/>
      <c r="P182"/>
    </row>
    <row r="183" spans="3:16" ht="10.199999999999999">
      <c r="C183"/>
      <c r="M183"/>
      <c r="N183"/>
      <c r="O183"/>
      <c r="P183"/>
    </row>
    <row r="184" spans="3:16" ht="10.199999999999999">
      <c r="C184"/>
      <c r="M184"/>
      <c r="N184"/>
      <c r="O184"/>
      <c r="P184"/>
    </row>
    <row r="185" spans="3:16" ht="10.199999999999999">
      <c r="C185"/>
      <c r="M185"/>
      <c r="N185"/>
      <c r="O185"/>
      <c r="P185"/>
    </row>
    <row r="186" spans="3:16" ht="10.199999999999999">
      <c r="C186"/>
      <c r="M186"/>
      <c r="N186"/>
      <c r="O186"/>
      <c r="P186"/>
    </row>
    <row r="187" spans="3:16" ht="10.199999999999999">
      <c r="C187"/>
      <c r="M187"/>
      <c r="N187"/>
      <c r="O187"/>
      <c r="P187"/>
    </row>
    <row r="188" spans="3:16" ht="10.199999999999999">
      <c r="C188"/>
      <c r="M188"/>
      <c r="N188"/>
      <c r="O188"/>
      <c r="P188"/>
    </row>
    <row r="189" spans="3:16" ht="10.199999999999999">
      <c r="C189"/>
      <c r="M189"/>
      <c r="N189"/>
      <c r="O189"/>
      <c r="P189"/>
    </row>
    <row r="190" spans="3:16" ht="10.199999999999999">
      <c r="C190"/>
      <c r="M190"/>
      <c r="N190"/>
      <c r="O190"/>
      <c r="P190"/>
    </row>
    <row r="191" spans="3:16" ht="10.199999999999999">
      <c r="C191"/>
      <c r="M191"/>
      <c r="N191"/>
      <c r="O191"/>
      <c r="P191"/>
    </row>
    <row r="192" spans="3:16" ht="10.199999999999999">
      <c r="C192"/>
      <c r="M192"/>
      <c r="N192"/>
      <c r="O192"/>
      <c r="P192"/>
    </row>
    <row r="193" spans="3:16" ht="10.199999999999999">
      <c r="C193"/>
      <c r="M193"/>
      <c r="N193"/>
      <c r="O193"/>
      <c r="P193"/>
    </row>
    <row r="194" spans="3:16" ht="10.199999999999999">
      <c r="C194"/>
      <c r="M194"/>
      <c r="N194"/>
      <c r="O194"/>
      <c r="P194"/>
    </row>
    <row r="195" spans="3:16" ht="10.199999999999999">
      <c r="C195"/>
      <c r="M195"/>
      <c r="N195"/>
      <c r="O195"/>
      <c r="P195"/>
    </row>
    <row r="196" spans="3:16" ht="10.199999999999999">
      <c r="C196"/>
      <c r="M196"/>
      <c r="N196"/>
      <c r="O196"/>
      <c r="P196"/>
    </row>
    <row r="197" spans="3:16" ht="10.199999999999999">
      <c r="C197"/>
      <c r="M197"/>
      <c r="N197"/>
      <c r="O197"/>
      <c r="P197"/>
    </row>
    <row r="198" spans="3:16" ht="10.199999999999999">
      <c r="C198"/>
      <c r="M198"/>
      <c r="N198"/>
      <c r="O198"/>
      <c r="P198"/>
    </row>
    <row r="199" spans="3:16" ht="10.199999999999999">
      <c r="C199"/>
      <c r="M199"/>
      <c r="N199"/>
      <c r="O199"/>
      <c r="P199"/>
    </row>
    <row r="200" spans="3:16" ht="10.199999999999999">
      <c r="C200"/>
      <c r="M200"/>
      <c r="N200"/>
      <c r="O200"/>
      <c r="P200"/>
    </row>
    <row r="201" spans="3:16" ht="10.199999999999999">
      <c r="C201"/>
      <c r="M201"/>
      <c r="N201"/>
      <c r="O201"/>
      <c r="P201"/>
    </row>
    <row r="202" spans="3:16" ht="10.199999999999999">
      <c r="C202"/>
      <c r="M202"/>
      <c r="N202"/>
      <c r="O202"/>
      <c r="P202"/>
    </row>
    <row r="203" spans="3:16" ht="10.199999999999999">
      <c r="C203"/>
      <c r="M203"/>
      <c r="N203"/>
      <c r="O203"/>
      <c r="P203"/>
    </row>
    <row r="204" spans="3:16" ht="10.199999999999999">
      <c r="C204"/>
      <c r="M204"/>
      <c r="N204"/>
      <c r="O204"/>
      <c r="P204"/>
    </row>
    <row r="205" spans="3:16" ht="10.199999999999999">
      <c r="C205"/>
      <c r="M205"/>
      <c r="N205"/>
      <c r="O205"/>
      <c r="P205"/>
    </row>
    <row r="206" spans="3:16" ht="10.199999999999999">
      <c r="C206"/>
      <c r="M206"/>
      <c r="N206"/>
      <c r="O206"/>
      <c r="P206"/>
    </row>
    <row r="207" spans="3:16" ht="10.199999999999999">
      <c r="C207"/>
      <c r="M207"/>
      <c r="N207"/>
      <c r="O207"/>
      <c r="P207"/>
    </row>
    <row r="208" spans="3:16" ht="10.199999999999999">
      <c r="C208"/>
      <c r="M208"/>
      <c r="N208"/>
      <c r="O208"/>
      <c r="P208"/>
    </row>
    <row r="209" spans="3:16" ht="10.199999999999999">
      <c r="C209"/>
      <c r="M209"/>
      <c r="N209"/>
      <c r="O209"/>
      <c r="P209"/>
    </row>
    <row r="210" spans="3:16" ht="10.199999999999999">
      <c r="C210"/>
      <c r="M210"/>
      <c r="N210"/>
      <c r="O210"/>
      <c r="P210"/>
    </row>
    <row r="211" spans="3:16" ht="10.199999999999999">
      <c r="C211"/>
      <c r="M211"/>
      <c r="N211"/>
      <c r="O211"/>
      <c r="P211"/>
    </row>
    <row r="212" spans="3:16" ht="10.199999999999999">
      <c r="C212"/>
      <c r="M212"/>
      <c r="N212"/>
      <c r="O212"/>
      <c r="P212"/>
    </row>
    <row r="213" spans="3:16" ht="10.199999999999999">
      <c r="C213"/>
      <c r="M213"/>
      <c r="N213"/>
      <c r="O213"/>
      <c r="P213"/>
    </row>
    <row r="214" spans="3:16" ht="10.199999999999999">
      <c r="C214"/>
      <c r="M214"/>
      <c r="N214"/>
      <c r="O214"/>
      <c r="P214"/>
    </row>
    <row r="215" spans="3:16" ht="10.199999999999999">
      <c r="C215"/>
      <c r="M215"/>
      <c r="N215"/>
      <c r="O215"/>
      <c r="P215"/>
    </row>
    <row r="216" spans="3:16" ht="10.199999999999999">
      <c r="C216"/>
      <c r="M216"/>
      <c r="N216"/>
      <c r="O216"/>
      <c r="P216"/>
    </row>
    <row r="217" spans="3:16" ht="10.199999999999999">
      <c r="C217"/>
      <c r="M217"/>
      <c r="N217"/>
      <c r="O217"/>
      <c r="P217"/>
    </row>
    <row r="218" spans="3:16" ht="10.199999999999999">
      <c r="C218"/>
      <c r="M218"/>
      <c r="N218"/>
      <c r="O218"/>
      <c r="P218"/>
    </row>
    <row r="219" spans="3:16" ht="10.199999999999999">
      <c r="C219"/>
      <c r="M219"/>
      <c r="N219"/>
      <c r="O219"/>
      <c r="P219"/>
    </row>
    <row r="220" spans="3:16" ht="10.199999999999999">
      <c r="C220"/>
      <c r="M220"/>
      <c r="N220"/>
      <c r="O220"/>
      <c r="P220"/>
    </row>
    <row r="221" spans="3:16" ht="10.199999999999999">
      <c r="C221"/>
      <c r="M221"/>
      <c r="N221"/>
      <c r="O221"/>
      <c r="P221"/>
    </row>
    <row r="222" spans="3:16" ht="10.199999999999999">
      <c r="C222"/>
      <c r="M222"/>
      <c r="N222"/>
      <c r="O222"/>
      <c r="P222"/>
    </row>
    <row r="223" spans="3:16" ht="10.199999999999999">
      <c r="C223"/>
      <c r="M223"/>
      <c r="N223"/>
      <c r="O223"/>
      <c r="P223"/>
    </row>
    <row r="224" spans="3:16" ht="10.199999999999999">
      <c r="C224"/>
      <c r="M224"/>
      <c r="N224"/>
      <c r="O224"/>
      <c r="P224"/>
    </row>
    <row r="225" spans="3:16" ht="10.199999999999999">
      <c r="C225"/>
      <c r="M225"/>
      <c r="N225"/>
      <c r="O225"/>
      <c r="P225"/>
    </row>
    <row r="226" spans="3:16" ht="10.199999999999999">
      <c r="C226"/>
      <c r="M226"/>
      <c r="N226"/>
      <c r="O226"/>
      <c r="P226"/>
    </row>
    <row r="227" spans="3:16" ht="10.199999999999999">
      <c r="C227"/>
      <c r="M227"/>
      <c r="N227"/>
      <c r="O227"/>
      <c r="P227"/>
    </row>
    <row r="228" spans="3:16" ht="10.199999999999999">
      <c r="C228"/>
      <c r="M228"/>
      <c r="N228"/>
      <c r="O228"/>
      <c r="P228"/>
    </row>
    <row r="229" spans="3:16" ht="10.199999999999999">
      <c r="C229"/>
      <c r="M229"/>
      <c r="N229"/>
      <c r="O229"/>
      <c r="P229"/>
    </row>
    <row r="230" spans="3:16" ht="10.199999999999999">
      <c r="C230"/>
      <c r="M230"/>
      <c r="N230"/>
      <c r="O230"/>
      <c r="P230"/>
    </row>
    <row r="231" spans="3:16" ht="10.199999999999999">
      <c r="C231"/>
      <c r="M231"/>
      <c r="N231"/>
      <c r="O231"/>
      <c r="P231"/>
    </row>
    <row r="232" spans="3:16" ht="10.199999999999999">
      <c r="C232"/>
      <c r="M232"/>
      <c r="N232"/>
      <c r="O232"/>
      <c r="P232"/>
    </row>
    <row r="233" spans="3:16" ht="10.199999999999999">
      <c r="C233"/>
      <c r="M233"/>
      <c r="N233"/>
      <c r="O233"/>
      <c r="P233"/>
    </row>
    <row r="234" spans="3:16" ht="10.199999999999999">
      <c r="C234"/>
      <c r="M234"/>
      <c r="N234"/>
      <c r="O234"/>
      <c r="P234"/>
    </row>
    <row r="235" spans="3:16" ht="10.199999999999999">
      <c r="C235"/>
      <c r="M235"/>
      <c r="N235"/>
      <c r="O235"/>
      <c r="P235"/>
    </row>
    <row r="236" spans="3:16" ht="10.199999999999999">
      <c r="C236"/>
      <c r="M236"/>
      <c r="N236"/>
      <c r="O236"/>
      <c r="P236"/>
    </row>
    <row r="237" spans="3:16" ht="10.199999999999999">
      <c r="C237"/>
      <c r="M237"/>
      <c r="N237"/>
      <c r="O237"/>
      <c r="P237"/>
    </row>
    <row r="238" spans="3:16" ht="10.199999999999999">
      <c r="C238"/>
      <c r="M238"/>
      <c r="N238"/>
      <c r="O238"/>
      <c r="P238"/>
    </row>
    <row r="239" spans="3:16" ht="10.199999999999999">
      <c r="C239"/>
      <c r="M239"/>
      <c r="N239"/>
      <c r="O239"/>
      <c r="P239"/>
    </row>
    <row r="240" spans="3:16" ht="10.199999999999999">
      <c r="C240"/>
      <c r="M240"/>
      <c r="N240"/>
      <c r="O240"/>
      <c r="P240"/>
    </row>
    <row r="241" spans="3:16" ht="10.199999999999999">
      <c r="C241"/>
      <c r="M241"/>
      <c r="N241"/>
      <c r="O241"/>
      <c r="P241"/>
    </row>
    <row r="242" spans="3:16" ht="10.199999999999999">
      <c r="C242"/>
      <c r="M242"/>
      <c r="N242"/>
      <c r="O242"/>
      <c r="P242"/>
    </row>
    <row r="243" spans="3:16" ht="10.199999999999999">
      <c r="C243"/>
      <c r="M243"/>
      <c r="N243"/>
      <c r="O243"/>
      <c r="P243"/>
    </row>
    <row r="244" spans="3:16" ht="10.199999999999999">
      <c r="C244"/>
      <c r="M244"/>
      <c r="N244"/>
      <c r="O244"/>
      <c r="P244"/>
    </row>
    <row r="245" spans="3:16" ht="10.199999999999999">
      <c r="C245"/>
      <c r="M245"/>
      <c r="N245"/>
      <c r="O245"/>
      <c r="P245"/>
    </row>
    <row r="246" spans="3:16" ht="10.199999999999999">
      <c r="C246"/>
      <c r="M246"/>
      <c r="N246"/>
      <c r="O246"/>
      <c r="P246"/>
    </row>
    <row r="247" spans="3:16" ht="10.199999999999999">
      <c r="C247"/>
      <c r="M247"/>
      <c r="N247"/>
      <c r="O247"/>
      <c r="P247"/>
    </row>
    <row r="248" spans="3:16" ht="10.199999999999999">
      <c r="C248"/>
      <c r="M248"/>
      <c r="N248"/>
      <c r="O248"/>
      <c r="P248"/>
    </row>
    <row r="249" spans="3:16" ht="10.199999999999999">
      <c r="C249"/>
      <c r="M249"/>
      <c r="N249"/>
      <c r="O249"/>
      <c r="P249"/>
    </row>
    <row r="250" spans="3:16" ht="10.199999999999999">
      <c r="C250"/>
      <c r="M250"/>
      <c r="N250"/>
      <c r="O250"/>
      <c r="P250"/>
    </row>
    <row r="251" spans="3:16" ht="10.199999999999999">
      <c r="C251"/>
      <c r="M251"/>
      <c r="N251"/>
      <c r="O251"/>
      <c r="P251"/>
    </row>
    <row r="252" spans="3:16" ht="10.199999999999999">
      <c r="C252"/>
      <c r="M252"/>
      <c r="N252"/>
      <c r="O252"/>
      <c r="P252"/>
    </row>
    <row r="253" spans="3:16" ht="10.199999999999999">
      <c r="C253"/>
      <c r="M253"/>
      <c r="N253"/>
      <c r="O253"/>
      <c r="P253"/>
    </row>
    <row r="254" spans="3:16" ht="10.199999999999999">
      <c r="C254"/>
      <c r="M254"/>
      <c r="N254"/>
      <c r="O254"/>
      <c r="P254"/>
    </row>
    <row r="255" spans="3:16" ht="10.199999999999999">
      <c r="C255"/>
      <c r="M255"/>
      <c r="N255"/>
      <c r="O255"/>
      <c r="P255"/>
    </row>
    <row r="256" spans="3:16" ht="10.199999999999999">
      <c r="C256"/>
      <c r="M256"/>
      <c r="N256"/>
      <c r="O256"/>
      <c r="P256"/>
    </row>
    <row r="257" spans="3:16" ht="10.199999999999999">
      <c r="C257"/>
      <c r="M257"/>
      <c r="N257"/>
      <c r="O257"/>
      <c r="P257"/>
    </row>
    <row r="258" spans="3:16" ht="10.199999999999999">
      <c r="C258"/>
      <c r="M258"/>
      <c r="N258"/>
      <c r="O258"/>
      <c r="P258"/>
    </row>
    <row r="259" spans="3:16" ht="10.199999999999999">
      <c r="C259"/>
      <c r="M259"/>
      <c r="N259"/>
      <c r="O259"/>
      <c r="P259"/>
    </row>
    <row r="260" spans="3:16" ht="10.199999999999999">
      <c r="C260"/>
      <c r="M260"/>
      <c r="N260"/>
      <c r="O260"/>
      <c r="P260"/>
    </row>
    <row r="261" spans="3:16" ht="10.199999999999999">
      <c r="C261"/>
      <c r="M261"/>
      <c r="N261"/>
      <c r="O261"/>
      <c r="P261"/>
    </row>
    <row r="262" spans="3:16" ht="10.199999999999999">
      <c r="C262"/>
      <c r="M262"/>
      <c r="N262"/>
      <c r="O262"/>
      <c r="P262"/>
    </row>
    <row r="263" spans="3:16" ht="10.199999999999999">
      <c r="C263"/>
      <c r="M263"/>
      <c r="N263"/>
      <c r="O263"/>
      <c r="P263"/>
    </row>
    <row r="264" spans="3:16" ht="10.199999999999999">
      <c r="C264"/>
      <c r="M264"/>
      <c r="N264"/>
      <c r="O264"/>
      <c r="P264"/>
    </row>
    <row r="265" spans="3:16" ht="10.199999999999999">
      <c r="C265"/>
      <c r="M265"/>
      <c r="N265"/>
      <c r="O265"/>
      <c r="P265"/>
    </row>
    <row r="266" spans="3:16" ht="10.199999999999999">
      <c r="C266"/>
      <c r="M266"/>
      <c r="N266"/>
      <c r="O266"/>
      <c r="P266"/>
    </row>
    <row r="267" spans="3:16" ht="10.199999999999999">
      <c r="C267"/>
      <c r="M267"/>
      <c r="N267"/>
      <c r="O267"/>
      <c r="P267"/>
    </row>
    <row r="268" spans="3:16" ht="10.199999999999999">
      <c r="C268"/>
      <c r="M268"/>
      <c r="N268"/>
      <c r="O268"/>
      <c r="P268"/>
    </row>
    <row r="269" spans="3:16" ht="10.199999999999999">
      <c r="C269"/>
      <c r="M269"/>
      <c r="N269"/>
      <c r="O269"/>
      <c r="P269"/>
    </row>
    <row r="270" spans="3:16" ht="10.199999999999999">
      <c r="C270"/>
      <c r="M270"/>
      <c r="N270"/>
      <c r="O270"/>
      <c r="P270"/>
    </row>
    <row r="271" spans="3:16" ht="10.199999999999999">
      <c r="C271"/>
      <c r="M271"/>
      <c r="N271"/>
      <c r="O271"/>
      <c r="P271"/>
    </row>
    <row r="272" spans="3:16" ht="10.199999999999999">
      <c r="C272"/>
      <c r="M272"/>
      <c r="N272"/>
      <c r="O272"/>
      <c r="P272"/>
    </row>
    <row r="273" spans="3:16" ht="10.199999999999999">
      <c r="C273"/>
      <c r="M273"/>
      <c r="N273"/>
      <c r="O273"/>
      <c r="P273"/>
    </row>
    <row r="274" spans="3:16" ht="10.199999999999999">
      <c r="C274"/>
      <c r="M274"/>
      <c r="N274"/>
      <c r="O274"/>
      <c r="P274"/>
    </row>
    <row r="275" spans="3:16" ht="10.199999999999999">
      <c r="C275"/>
      <c r="M275"/>
      <c r="N275"/>
      <c r="O275"/>
      <c r="P275"/>
    </row>
    <row r="276" spans="3:16" ht="10.199999999999999">
      <c r="C276"/>
      <c r="M276"/>
      <c r="N276"/>
      <c r="O276"/>
      <c r="P276"/>
    </row>
    <row r="277" spans="3:16" ht="10.199999999999999">
      <c r="C277"/>
      <c r="M277"/>
      <c r="N277"/>
      <c r="O277"/>
      <c r="P277"/>
    </row>
    <row r="278" spans="3:16" ht="10.199999999999999">
      <c r="C278"/>
      <c r="M278"/>
      <c r="N278"/>
      <c r="O278"/>
      <c r="P278"/>
    </row>
    <row r="279" spans="3:16" ht="10.199999999999999">
      <c r="C279"/>
      <c r="M279"/>
      <c r="N279"/>
      <c r="O279"/>
      <c r="P279"/>
    </row>
    <row r="280" spans="3:16" ht="10.199999999999999">
      <c r="C280"/>
      <c r="M280"/>
      <c r="N280"/>
      <c r="O280"/>
      <c r="P280"/>
    </row>
    <row r="281" spans="3:16" ht="10.199999999999999">
      <c r="C281"/>
      <c r="M281"/>
      <c r="N281"/>
      <c r="O281"/>
      <c r="P281"/>
    </row>
    <row r="282" spans="3:16" ht="10.199999999999999">
      <c r="C282"/>
      <c r="M282"/>
      <c r="N282"/>
      <c r="O282"/>
      <c r="P282"/>
    </row>
    <row r="283" spans="3:16" ht="10.199999999999999">
      <c r="C283"/>
      <c r="M283"/>
      <c r="N283"/>
      <c r="O283"/>
      <c r="P283"/>
    </row>
    <row r="284" spans="3:16" ht="10.199999999999999">
      <c r="C284"/>
      <c r="M284"/>
      <c r="N284"/>
      <c r="O284"/>
      <c r="P284"/>
    </row>
    <row r="285" spans="3:16" ht="10.199999999999999">
      <c r="C285"/>
      <c r="M285"/>
      <c r="N285"/>
      <c r="O285"/>
      <c r="P285"/>
    </row>
    <row r="286" spans="3:16" ht="10.199999999999999">
      <c r="C286"/>
      <c r="M286"/>
      <c r="N286"/>
      <c r="O286"/>
      <c r="P286"/>
    </row>
    <row r="287" spans="3:16" ht="10.199999999999999">
      <c r="C287"/>
      <c r="M287"/>
      <c r="N287"/>
      <c r="O287"/>
      <c r="P287"/>
    </row>
    <row r="288" spans="3:16" ht="10.199999999999999">
      <c r="C288"/>
      <c r="M288"/>
      <c r="N288"/>
      <c r="O288"/>
      <c r="P288"/>
    </row>
    <row r="289" spans="3:16" ht="10.199999999999999">
      <c r="C289"/>
      <c r="M289"/>
      <c r="N289"/>
      <c r="O289"/>
      <c r="P289"/>
    </row>
    <row r="290" spans="3:16" ht="10.199999999999999">
      <c r="C290"/>
      <c r="M290"/>
      <c r="N290"/>
      <c r="O290"/>
      <c r="P290"/>
    </row>
    <row r="291" spans="3:16" ht="10.199999999999999">
      <c r="C291"/>
      <c r="M291"/>
      <c r="N291"/>
      <c r="O291"/>
      <c r="P291"/>
    </row>
    <row r="292" spans="3:16" ht="10.199999999999999">
      <c r="C292"/>
      <c r="M292"/>
      <c r="N292"/>
      <c r="O292"/>
      <c r="P292"/>
    </row>
    <row r="293" spans="3:16" ht="10.199999999999999">
      <c r="C293"/>
      <c r="M293"/>
      <c r="N293"/>
      <c r="O293"/>
      <c r="P293"/>
    </row>
    <row r="294" spans="3:16" ht="10.199999999999999">
      <c r="C294"/>
      <c r="M294"/>
      <c r="N294"/>
      <c r="O294"/>
      <c r="P294"/>
    </row>
    <row r="295" spans="3:16" ht="10.199999999999999">
      <c r="C295"/>
      <c r="M295"/>
      <c r="N295"/>
      <c r="O295"/>
      <c r="P295"/>
    </row>
    <row r="296" spans="3:16" ht="10.199999999999999">
      <c r="C296"/>
      <c r="M296"/>
      <c r="N296"/>
      <c r="O296"/>
      <c r="P296"/>
    </row>
    <row r="297" spans="3:16" ht="10.199999999999999">
      <c r="C297"/>
      <c r="M297"/>
      <c r="N297"/>
      <c r="O297"/>
      <c r="P297"/>
    </row>
    <row r="298" spans="3:16" ht="10.199999999999999">
      <c r="C298"/>
      <c r="M298"/>
      <c r="N298"/>
      <c r="O298"/>
      <c r="P298"/>
    </row>
    <row r="299" spans="3:16" ht="10.199999999999999">
      <c r="C299"/>
      <c r="M299"/>
      <c r="N299"/>
      <c r="O299"/>
      <c r="P299"/>
    </row>
    <row r="300" spans="3:16" ht="10.199999999999999">
      <c r="C300"/>
      <c r="M300"/>
      <c r="N300"/>
      <c r="O300"/>
      <c r="P300"/>
    </row>
    <row r="301" spans="3:16" ht="10.199999999999999">
      <c r="C301"/>
      <c r="M301"/>
      <c r="N301"/>
      <c r="O301"/>
      <c r="P301"/>
    </row>
    <row r="302" spans="3:16" ht="10.199999999999999">
      <c r="C302"/>
      <c r="M302"/>
      <c r="N302"/>
      <c r="O302"/>
      <c r="P302"/>
    </row>
    <row r="303" spans="3:16" ht="10.199999999999999">
      <c r="C303"/>
      <c r="M303"/>
      <c r="N303"/>
      <c r="O303"/>
      <c r="P303"/>
    </row>
    <row r="304" spans="3:16" ht="10.199999999999999">
      <c r="C304"/>
      <c r="M304"/>
      <c r="N304"/>
      <c r="O304"/>
      <c r="P304"/>
    </row>
    <row r="305" spans="3:16" ht="10.199999999999999">
      <c r="C305"/>
      <c r="M305"/>
      <c r="N305"/>
      <c r="O305"/>
      <c r="P305"/>
    </row>
    <row r="306" spans="3:16" ht="10.199999999999999">
      <c r="C306"/>
      <c r="M306"/>
      <c r="N306"/>
      <c r="O306"/>
      <c r="P306"/>
    </row>
    <row r="307" spans="3:16" ht="10.199999999999999">
      <c r="C307"/>
      <c r="M307"/>
      <c r="N307"/>
      <c r="O307"/>
      <c r="P307"/>
    </row>
    <row r="308" spans="3:16" ht="10.199999999999999">
      <c r="C308"/>
      <c r="M308"/>
      <c r="N308"/>
      <c r="O308"/>
      <c r="P308"/>
    </row>
    <row r="309" spans="3:16" ht="10.199999999999999">
      <c r="C309"/>
      <c r="M309"/>
      <c r="N309"/>
      <c r="O309"/>
      <c r="P309"/>
    </row>
    <row r="310" spans="3:16" ht="10.199999999999999">
      <c r="C310"/>
      <c r="M310"/>
      <c r="N310"/>
      <c r="O310"/>
      <c r="P310"/>
    </row>
    <row r="311" spans="3:16" ht="10.199999999999999">
      <c r="C311"/>
      <c r="M311"/>
      <c r="N311"/>
      <c r="O311"/>
      <c r="P311"/>
    </row>
    <row r="312" spans="3:16" ht="10.199999999999999">
      <c r="C312"/>
      <c r="M312"/>
      <c r="N312"/>
      <c r="O312"/>
      <c r="P312"/>
    </row>
    <row r="313" spans="3:16" ht="10.199999999999999">
      <c r="C313"/>
      <c r="M313"/>
      <c r="N313"/>
      <c r="O313"/>
      <c r="P313"/>
    </row>
    <row r="314" spans="3:16" ht="10.199999999999999">
      <c r="C314"/>
      <c r="M314"/>
      <c r="N314"/>
      <c r="O314"/>
      <c r="P314"/>
    </row>
    <row r="315" spans="3:16" ht="10.199999999999999">
      <c r="C315"/>
      <c r="M315"/>
      <c r="N315"/>
      <c r="O315"/>
      <c r="P315"/>
    </row>
    <row r="316" spans="3:16" ht="10.199999999999999">
      <c r="C316"/>
      <c r="M316"/>
      <c r="N316"/>
      <c r="O316"/>
      <c r="P316"/>
    </row>
    <row r="317" spans="3:16" ht="10.199999999999999">
      <c r="C317"/>
      <c r="M317"/>
      <c r="N317"/>
      <c r="O317"/>
      <c r="P317"/>
    </row>
    <row r="318" spans="3:16" ht="10.199999999999999">
      <c r="C318"/>
      <c r="M318"/>
      <c r="N318"/>
      <c r="O318"/>
      <c r="P318"/>
    </row>
    <row r="319" spans="3:16" ht="10.199999999999999">
      <c r="C319"/>
      <c r="M319"/>
      <c r="N319"/>
      <c r="O319"/>
      <c r="P319"/>
    </row>
    <row r="320" spans="3:16" ht="10.199999999999999">
      <c r="C320"/>
      <c r="M320"/>
      <c r="N320"/>
      <c r="O320"/>
      <c r="P320"/>
    </row>
    <row r="321" spans="3:16" ht="10.199999999999999">
      <c r="C321"/>
      <c r="M321"/>
      <c r="N321"/>
      <c r="O321"/>
      <c r="P321"/>
    </row>
    <row r="322" spans="3:16" ht="10.199999999999999">
      <c r="C322"/>
      <c r="M322"/>
      <c r="N322"/>
      <c r="O322"/>
      <c r="P322"/>
    </row>
    <row r="323" spans="3:16" ht="10.199999999999999">
      <c r="C323"/>
      <c r="M323"/>
      <c r="N323"/>
      <c r="O323"/>
      <c r="P323"/>
    </row>
    <row r="324" spans="3:16" ht="10.199999999999999">
      <c r="C324"/>
      <c r="M324"/>
      <c r="N324"/>
      <c r="O324"/>
      <c r="P324"/>
    </row>
    <row r="325" spans="3:16" ht="10.199999999999999">
      <c r="C325"/>
      <c r="M325"/>
      <c r="N325"/>
      <c r="O325"/>
      <c r="P325"/>
    </row>
    <row r="326" spans="3:16" ht="10.199999999999999">
      <c r="C326"/>
      <c r="M326"/>
      <c r="N326"/>
      <c r="O326"/>
      <c r="P326"/>
    </row>
    <row r="327" spans="3:16" ht="10.199999999999999">
      <c r="C327"/>
      <c r="M327"/>
      <c r="N327"/>
      <c r="O327"/>
      <c r="P327"/>
    </row>
    <row r="328" spans="3:16" ht="10.199999999999999">
      <c r="C328"/>
      <c r="M328"/>
      <c r="N328"/>
      <c r="O328"/>
      <c r="P328"/>
    </row>
    <row r="329" spans="3:16" ht="10.199999999999999">
      <c r="C329"/>
      <c r="M329"/>
      <c r="N329"/>
      <c r="O329"/>
      <c r="P329"/>
    </row>
    <row r="330" spans="3:16" ht="10.199999999999999">
      <c r="C330"/>
      <c r="M330"/>
      <c r="N330"/>
      <c r="O330"/>
      <c r="P330"/>
    </row>
    <row r="331" spans="3:16" ht="10.199999999999999">
      <c r="C331"/>
      <c r="M331"/>
      <c r="N331"/>
      <c r="O331"/>
      <c r="P331"/>
    </row>
    <row r="332" spans="3:16" ht="10.199999999999999">
      <c r="C332"/>
      <c r="M332"/>
      <c r="N332"/>
      <c r="O332"/>
      <c r="P332"/>
    </row>
    <row r="333" spans="3:16" ht="10.199999999999999">
      <c r="C333"/>
      <c r="M333"/>
      <c r="N333"/>
      <c r="O333"/>
      <c r="P333"/>
    </row>
    <row r="334" spans="3:16" ht="10.199999999999999">
      <c r="C334"/>
      <c r="M334"/>
      <c r="N334"/>
      <c r="O334"/>
      <c r="P334"/>
    </row>
    <row r="335" spans="3:16" ht="10.199999999999999">
      <c r="C335"/>
      <c r="M335"/>
      <c r="N335"/>
      <c r="O335"/>
      <c r="P335"/>
    </row>
    <row r="336" spans="3:16" ht="10.199999999999999">
      <c r="C336"/>
      <c r="M336"/>
      <c r="N336"/>
      <c r="O336"/>
      <c r="P336"/>
    </row>
    <row r="337" spans="3:16" ht="10.199999999999999">
      <c r="C337"/>
      <c r="M337"/>
      <c r="N337"/>
      <c r="O337"/>
      <c r="P337"/>
    </row>
    <row r="338" spans="3:16" ht="10.199999999999999">
      <c r="C338"/>
      <c r="M338"/>
      <c r="N338"/>
      <c r="O338"/>
      <c r="P338"/>
    </row>
    <row r="339" spans="3:16" ht="10.199999999999999">
      <c r="C339"/>
      <c r="M339"/>
      <c r="N339"/>
      <c r="O339"/>
      <c r="P339"/>
    </row>
    <row r="340" spans="3:16" ht="10.199999999999999">
      <c r="C340"/>
      <c r="M340"/>
      <c r="N340"/>
      <c r="O340"/>
      <c r="P340"/>
    </row>
    <row r="341" spans="3:16" ht="10.199999999999999">
      <c r="C341"/>
      <c r="M341"/>
      <c r="N341"/>
      <c r="O341"/>
      <c r="P341"/>
    </row>
    <row r="342" spans="3:16" ht="10.199999999999999">
      <c r="C342"/>
      <c r="M342"/>
      <c r="N342"/>
      <c r="O342"/>
      <c r="P342"/>
    </row>
    <row r="343" spans="3:16" ht="10.199999999999999">
      <c r="C343"/>
      <c r="M343"/>
      <c r="N343"/>
      <c r="O343"/>
      <c r="P343"/>
    </row>
    <row r="344" spans="3:16" ht="10.199999999999999">
      <c r="C344"/>
      <c r="M344"/>
      <c r="N344"/>
      <c r="O344"/>
      <c r="P344"/>
    </row>
    <row r="345" spans="3:16" ht="10.199999999999999">
      <c r="C345"/>
      <c r="M345"/>
      <c r="N345"/>
      <c r="O345"/>
      <c r="P345"/>
    </row>
    <row r="346" spans="3:16" ht="10.199999999999999">
      <c r="C346"/>
      <c r="M346"/>
      <c r="N346"/>
      <c r="O346"/>
      <c r="P346"/>
    </row>
    <row r="347" spans="3:16" ht="10.199999999999999">
      <c r="C347"/>
      <c r="M347"/>
      <c r="N347"/>
      <c r="O347"/>
      <c r="P347"/>
    </row>
    <row r="348" spans="3:16" ht="10.199999999999999">
      <c r="C348"/>
      <c r="M348"/>
      <c r="N348"/>
      <c r="O348"/>
      <c r="P348"/>
    </row>
    <row r="349" spans="3:16" ht="10.199999999999999">
      <c r="C349"/>
      <c r="M349"/>
      <c r="N349"/>
      <c r="O349"/>
      <c r="P349"/>
    </row>
    <row r="350" spans="3:16" ht="10.199999999999999">
      <c r="C350"/>
      <c r="M350"/>
      <c r="N350"/>
      <c r="O350"/>
      <c r="P350"/>
    </row>
    <row r="351" spans="3:16" ht="10.199999999999999">
      <c r="C351"/>
      <c r="M351"/>
      <c r="N351"/>
      <c r="O351"/>
      <c r="P351"/>
    </row>
    <row r="352" spans="3:16" ht="10.199999999999999">
      <c r="C352"/>
      <c r="M352"/>
      <c r="N352"/>
      <c r="O352"/>
      <c r="P352"/>
    </row>
    <row r="353" spans="3:16" ht="10.199999999999999">
      <c r="C353"/>
      <c r="M353"/>
      <c r="N353"/>
      <c r="O353"/>
      <c r="P353"/>
    </row>
    <row r="354" spans="3:16" ht="10.199999999999999">
      <c r="C354"/>
      <c r="M354"/>
      <c r="N354"/>
      <c r="O354"/>
      <c r="P354"/>
    </row>
    <row r="355" spans="3:16" ht="10.199999999999999">
      <c r="C355"/>
      <c r="M355"/>
      <c r="N355"/>
      <c r="O355"/>
      <c r="P355"/>
    </row>
    <row r="356" spans="3:16" ht="10.199999999999999">
      <c r="C356"/>
      <c r="M356"/>
      <c r="N356"/>
      <c r="O356"/>
      <c r="P356"/>
    </row>
    <row r="357" spans="3:16" ht="10.199999999999999">
      <c r="C357"/>
      <c r="M357"/>
      <c r="N357"/>
      <c r="O357"/>
      <c r="P357"/>
    </row>
    <row r="358" spans="3:16" ht="10.199999999999999">
      <c r="C358"/>
      <c r="M358"/>
      <c r="N358"/>
      <c r="O358"/>
      <c r="P358"/>
    </row>
    <row r="359" spans="3:16" ht="10.199999999999999">
      <c r="C359"/>
      <c r="M359"/>
      <c r="N359"/>
      <c r="O359"/>
      <c r="P359"/>
    </row>
    <row r="360" spans="3:16" ht="10.199999999999999">
      <c r="C360"/>
      <c r="M360"/>
      <c r="N360"/>
      <c r="O360"/>
      <c r="P360"/>
    </row>
    <row r="361" spans="3:16" ht="10.199999999999999">
      <c r="C361"/>
      <c r="M361"/>
      <c r="N361"/>
      <c r="O361"/>
      <c r="P361"/>
    </row>
    <row r="362" spans="3:16" ht="10.199999999999999">
      <c r="C362"/>
      <c r="M362"/>
      <c r="N362"/>
      <c r="O362"/>
      <c r="P362"/>
    </row>
    <row r="363" spans="3:16" ht="10.199999999999999">
      <c r="C363"/>
      <c r="M363"/>
      <c r="N363"/>
      <c r="O363"/>
      <c r="P363"/>
    </row>
    <row r="364" spans="3:16" ht="10.199999999999999">
      <c r="C364"/>
      <c r="M364"/>
      <c r="N364"/>
      <c r="O364"/>
      <c r="P364"/>
    </row>
    <row r="365" spans="3:16" ht="10.199999999999999">
      <c r="C365"/>
      <c r="M365"/>
      <c r="N365"/>
      <c r="O365"/>
      <c r="P365"/>
    </row>
    <row r="366" spans="3:16" ht="10.199999999999999">
      <c r="C366"/>
      <c r="M366"/>
      <c r="N366"/>
      <c r="O366"/>
      <c r="P366"/>
    </row>
    <row r="367" spans="3:16" ht="10.199999999999999">
      <c r="C367"/>
      <c r="M367"/>
      <c r="N367"/>
      <c r="O367"/>
      <c r="P367"/>
    </row>
    <row r="368" spans="3:16" ht="10.199999999999999">
      <c r="C368"/>
      <c r="M368"/>
      <c r="N368"/>
      <c r="O368"/>
      <c r="P368"/>
    </row>
    <row r="369" spans="3:16" ht="10.199999999999999">
      <c r="C369"/>
      <c r="M369"/>
      <c r="N369"/>
      <c r="O369"/>
      <c r="P369"/>
    </row>
    <row r="370" spans="3:16" ht="10.199999999999999">
      <c r="C370"/>
      <c r="M370"/>
      <c r="N370"/>
      <c r="O370"/>
      <c r="P370"/>
    </row>
    <row r="371" spans="3:16" ht="10.199999999999999">
      <c r="C371"/>
      <c r="M371"/>
      <c r="N371"/>
      <c r="O371"/>
      <c r="P371"/>
    </row>
    <row r="372" spans="3:16" ht="10.199999999999999">
      <c r="C372"/>
      <c r="M372"/>
      <c r="N372"/>
      <c r="O372"/>
      <c r="P372"/>
    </row>
    <row r="373" spans="3:16" ht="10.199999999999999">
      <c r="C373"/>
      <c r="M373"/>
      <c r="N373"/>
      <c r="O373"/>
      <c r="P373"/>
    </row>
    <row r="374" spans="3:16" ht="10.199999999999999">
      <c r="C374"/>
      <c r="M374"/>
      <c r="N374"/>
      <c r="O374"/>
      <c r="P374"/>
    </row>
    <row r="375" spans="3:16" ht="10.199999999999999">
      <c r="C375"/>
      <c r="M375"/>
      <c r="N375"/>
      <c r="O375"/>
      <c r="P375"/>
    </row>
    <row r="376" spans="3:16" ht="10.199999999999999">
      <c r="C376"/>
      <c r="M376"/>
      <c r="N376"/>
      <c r="O376"/>
      <c r="P376"/>
    </row>
    <row r="377" spans="3:16" ht="10.199999999999999">
      <c r="C377"/>
      <c r="M377"/>
      <c r="N377"/>
      <c r="O377"/>
      <c r="P377"/>
    </row>
    <row r="378" spans="3:16" ht="10.199999999999999">
      <c r="C378"/>
      <c r="M378"/>
      <c r="N378"/>
      <c r="O378"/>
      <c r="P378"/>
    </row>
    <row r="379" spans="3:16" ht="10.199999999999999">
      <c r="C379"/>
      <c r="M379"/>
      <c r="N379"/>
      <c r="O379"/>
      <c r="P379"/>
    </row>
    <row r="380" spans="3:16" ht="10.199999999999999">
      <c r="C380"/>
      <c r="M380"/>
      <c r="N380"/>
      <c r="O380"/>
      <c r="P380"/>
    </row>
    <row r="381" spans="3:16" ht="10.199999999999999">
      <c r="C381"/>
      <c r="M381"/>
      <c r="N381"/>
      <c r="O381"/>
      <c r="P381"/>
    </row>
    <row r="382" spans="3:16" ht="10.199999999999999">
      <c r="C382"/>
      <c r="M382"/>
      <c r="N382"/>
      <c r="O382"/>
      <c r="P382"/>
    </row>
    <row r="383" spans="3:16" ht="10.199999999999999">
      <c r="C383"/>
      <c r="M383"/>
      <c r="N383"/>
      <c r="O383"/>
      <c r="P383"/>
    </row>
    <row r="384" spans="3:16" ht="10.199999999999999">
      <c r="C384"/>
      <c r="M384"/>
      <c r="N384"/>
      <c r="O384"/>
      <c r="P384"/>
    </row>
    <row r="385" spans="3:16" ht="10.199999999999999">
      <c r="C385"/>
      <c r="M385"/>
      <c r="N385"/>
      <c r="O385"/>
      <c r="P385"/>
    </row>
    <row r="386" spans="3:16" ht="10.199999999999999">
      <c r="C386"/>
      <c r="M386"/>
      <c r="N386"/>
      <c r="O386"/>
      <c r="P386"/>
    </row>
    <row r="387" spans="3:16" ht="10.199999999999999">
      <c r="C387"/>
      <c r="M387"/>
      <c r="N387"/>
      <c r="O387"/>
      <c r="P387"/>
    </row>
    <row r="388" spans="3:16" ht="10.199999999999999">
      <c r="C388"/>
      <c r="M388"/>
      <c r="N388"/>
      <c r="O388"/>
      <c r="P388"/>
    </row>
    <row r="389" spans="3:16" ht="10.199999999999999">
      <c r="C389"/>
      <c r="M389"/>
      <c r="N389"/>
      <c r="O389"/>
      <c r="P389"/>
    </row>
    <row r="390" spans="3:16" ht="10.199999999999999">
      <c r="C390"/>
      <c r="M390"/>
      <c r="N390"/>
      <c r="O390"/>
      <c r="P390"/>
    </row>
    <row r="391" spans="3:16" ht="10.199999999999999">
      <c r="C391"/>
      <c r="M391"/>
      <c r="N391"/>
      <c r="O391"/>
      <c r="P391"/>
    </row>
    <row r="392" spans="3:16" ht="10.199999999999999">
      <c r="C392"/>
      <c r="M392"/>
      <c r="N392"/>
      <c r="O392"/>
      <c r="P392"/>
    </row>
    <row r="393" spans="3:16" ht="10.199999999999999">
      <c r="C393"/>
      <c r="M393"/>
      <c r="N393"/>
      <c r="O393"/>
      <c r="P393"/>
    </row>
    <row r="394" spans="3:16" ht="10.199999999999999">
      <c r="C394"/>
      <c r="M394"/>
      <c r="N394"/>
      <c r="O394"/>
      <c r="P394"/>
    </row>
    <row r="395" spans="3:16" ht="10.199999999999999">
      <c r="C395"/>
      <c r="M395"/>
      <c r="N395"/>
      <c r="O395"/>
      <c r="P395"/>
    </row>
    <row r="396" spans="3:16" ht="10.199999999999999">
      <c r="C396"/>
      <c r="M396"/>
      <c r="N396"/>
      <c r="O396"/>
      <c r="P396"/>
    </row>
    <row r="397" spans="3:16" ht="10.199999999999999">
      <c r="C397"/>
      <c r="M397"/>
      <c r="N397"/>
      <c r="O397"/>
      <c r="P397"/>
    </row>
    <row r="398" spans="3:16" ht="10.199999999999999">
      <c r="C398"/>
      <c r="M398"/>
      <c r="N398"/>
      <c r="O398"/>
      <c r="P398"/>
    </row>
    <row r="399" spans="3:16" ht="10.199999999999999">
      <c r="C399"/>
      <c r="M399"/>
      <c r="N399"/>
      <c r="O399"/>
      <c r="P399"/>
    </row>
    <row r="400" spans="3:16" ht="10.199999999999999">
      <c r="C400"/>
      <c r="M400"/>
      <c r="N400"/>
      <c r="O400"/>
      <c r="P400"/>
    </row>
    <row r="401" spans="3:16" ht="10.199999999999999">
      <c r="C401"/>
      <c r="M401"/>
      <c r="N401"/>
      <c r="O401"/>
      <c r="P401"/>
    </row>
    <row r="402" spans="3:16" ht="10.199999999999999">
      <c r="C402"/>
      <c r="M402"/>
      <c r="N402"/>
      <c r="O402"/>
      <c r="P402"/>
    </row>
    <row r="403" spans="3:16" ht="10.199999999999999">
      <c r="C403"/>
      <c r="M403"/>
      <c r="N403"/>
      <c r="O403"/>
      <c r="P403"/>
    </row>
    <row r="404" spans="3:16" ht="10.199999999999999">
      <c r="C404"/>
      <c r="M404"/>
      <c r="N404"/>
      <c r="O404"/>
      <c r="P404"/>
    </row>
    <row r="405" spans="3:16" ht="10.199999999999999">
      <c r="C405"/>
      <c r="M405"/>
      <c r="N405"/>
      <c r="O405"/>
      <c r="P405"/>
    </row>
    <row r="406" spans="3:16" ht="10.199999999999999">
      <c r="C406"/>
      <c r="M406"/>
      <c r="N406"/>
      <c r="O406"/>
      <c r="P406"/>
    </row>
    <row r="407" spans="3:16" ht="10.199999999999999">
      <c r="C407"/>
      <c r="M407"/>
      <c r="N407"/>
      <c r="O407"/>
      <c r="P407"/>
    </row>
    <row r="408" spans="3:16" ht="10.199999999999999">
      <c r="C408"/>
      <c r="M408"/>
      <c r="N408"/>
      <c r="O408"/>
      <c r="P408"/>
    </row>
    <row r="409" spans="3:16" ht="10.199999999999999">
      <c r="C409"/>
      <c r="M409"/>
      <c r="N409"/>
      <c r="O409"/>
      <c r="P409"/>
    </row>
    <row r="410" spans="3:16" ht="10.199999999999999">
      <c r="C410"/>
      <c r="M410"/>
      <c r="N410"/>
      <c r="O410"/>
      <c r="P410"/>
    </row>
    <row r="411" spans="3:16" ht="10.199999999999999">
      <c r="C411"/>
      <c r="M411"/>
      <c r="N411"/>
      <c r="O411"/>
      <c r="P411"/>
    </row>
    <row r="412" spans="3:16" ht="10.199999999999999">
      <c r="C412"/>
      <c r="M412"/>
      <c r="N412"/>
      <c r="O412"/>
      <c r="P412"/>
    </row>
    <row r="413" spans="3:16" ht="10.199999999999999">
      <c r="C413"/>
      <c r="M413"/>
      <c r="N413"/>
      <c r="O413"/>
      <c r="P413"/>
    </row>
    <row r="414" spans="3:16" ht="10.199999999999999">
      <c r="C414"/>
      <c r="M414"/>
      <c r="N414"/>
      <c r="O414"/>
      <c r="P414"/>
    </row>
    <row r="415" spans="3:16" ht="10.199999999999999">
      <c r="C415"/>
      <c r="M415"/>
      <c r="N415"/>
      <c r="O415"/>
      <c r="P415"/>
    </row>
    <row r="416" spans="3:16" ht="10.199999999999999">
      <c r="C416"/>
      <c r="M416"/>
      <c r="N416"/>
      <c r="O416"/>
      <c r="P416"/>
    </row>
    <row r="417" spans="3:16" ht="10.199999999999999">
      <c r="C417"/>
      <c r="M417"/>
      <c r="N417"/>
      <c r="O417"/>
      <c r="P417"/>
    </row>
    <row r="418" spans="3:16" ht="10.199999999999999">
      <c r="C418"/>
      <c r="M418"/>
      <c r="N418"/>
      <c r="O418"/>
      <c r="P418"/>
    </row>
    <row r="419" spans="3:16" ht="10.199999999999999">
      <c r="C419"/>
      <c r="M419"/>
      <c r="N419"/>
      <c r="O419"/>
      <c r="P419"/>
    </row>
    <row r="420" spans="3:16" ht="10.199999999999999">
      <c r="C420"/>
      <c r="M420"/>
      <c r="N420"/>
      <c r="O420"/>
      <c r="P420"/>
    </row>
    <row r="421" spans="3:16" ht="10.199999999999999">
      <c r="C421"/>
      <c r="M421"/>
      <c r="N421"/>
      <c r="O421"/>
      <c r="P421"/>
    </row>
    <row r="422" spans="3:16" ht="10.199999999999999">
      <c r="C422"/>
      <c r="M422"/>
      <c r="N422"/>
      <c r="O422"/>
      <c r="P422"/>
    </row>
    <row r="423" spans="3:16" ht="10.199999999999999">
      <c r="C423"/>
      <c r="M423"/>
      <c r="N423"/>
      <c r="O423"/>
      <c r="P423"/>
    </row>
    <row r="424" spans="3:16" ht="10.199999999999999">
      <c r="C424"/>
      <c r="M424"/>
      <c r="N424"/>
      <c r="O424"/>
      <c r="P424"/>
    </row>
    <row r="425" spans="3:16" ht="10.199999999999999">
      <c r="C425"/>
      <c r="M425"/>
      <c r="N425"/>
      <c r="O425"/>
      <c r="P425"/>
    </row>
    <row r="426" spans="3:16" ht="10.199999999999999">
      <c r="C426"/>
      <c r="M426"/>
      <c r="N426"/>
      <c r="O426"/>
      <c r="P426"/>
    </row>
    <row r="427" spans="3:16" ht="10.199999999999999">
      <c r="C427"/>
      <c r="M427"/>
      <c r="N427"/>
      <c r="O427"/>
      <c r="P427"/>
    </row>
    <row r="428" spans="3:16" ht="10.199999999999999">
      <c r="C428"/>
      <c r="M428"/>
      <c r="N428"/>
      <c r="O428"/>
      <c r="P428"/>
    </row>
    <row r="429" spans="3:16" ht="10.199999999999999">
      <c r="C429"/>
      <c r="M429"/>
      <c r="N429"/>
      <c r="O429"/>
      <c r="P429"/>
    </row>
    <row r="430" spans="3:16" ht="10.199999999999999">
      <c r="C430"/>
      <c r="M430"/>
      <c r="N430"/>
      <c r="O430"/>
      <c r="P430"/>
    </row>
    <row r="431" spans="3:16" ht="10.199999999999999">
      <c r="C431"/>
      <c r="M431"/>
      <c r="N431"/>
      <c r="O431"/>
      <c r="P431"/>
    </row>
    <row r="432" spans="3:16" ht="10.199999999999999">
      <c r="C432"/>
      <c r="M432"/>
      <c r="N432"/>
      <c r="O432"/>
      <c r="P432"/>
    </row>
    <row r="433" spans="3:16" ht="10.199999999999999">
      <c r="C433"/>
      <c r="M433"/>
      <c r="N433"/>
      <c r="O433"/>
      <c r="P433"/>
    </row>
    <row r="434" spans="3:16" ht="10.199999999999999">
      <c r="C434"/>
      <c r="M434"/>
      <c r="N434"/>
      <c r="O434"/>
      <c r="P434"/>
    </row>
    <row r="435" spans="3:16" ht="10.199999999999999">
      <c r="C435"/>
      <c r="M435"/>
      <c r="N435"/>
      <c r="O435"/>
      <c r="P435"/>
    </row>
    <row r="436" spans="3:16" ht="10.199999999999999">
      <c r="C436"/>
      <c r="M436"/>
      <c r="N436"/>
      <c r="O436"/>
      <c r="P436"/>
    </row>
    <row r="437" spans="3:16" ht="10.199999999999999">
      <c r="C437"/>
      <c r="M437"/>
      <c r="N437"/>
      <c r="O437"/>
      <c r="P437"/>
    </row>
    <row r="438" spans="3:16" ht="10.199999999999999">
      <c r="C438"/>
      <c r="M438"/>
      <c r="N438"/>
      <c r="O438"/>
      <c r="P438"/>
    </row>
    <row r="439" spans="3:16" ht="10.199999999999999">
      <c r="C439"/>
      <c r="M439"/>
      <c r="N439"/>
      <c r="O439"/>
      <c r="P439"/>
    </row>
    <row r="440" spans="3:16" ht="10.199999999999999">
      <c r="C440"/>
      <c r="M440"/>
      <c r="N440"/>
      <c r="O440"/>
      <c r="P440"/>
    </row>
    <row r="441" spans="3:16" ht="10.199999999999999">
      <c r="C441"/>
      <c r="M441"/>
      <c r="N441"/>
      <c r="O441"/>
      <c r="P441"/>
    </row>
    <row r="442" spans="3:16" ht="10.199999999999999">
      <c r="C442"/>
      <c r="M442"/>
      <c r="N442"/>
      <c r="O442"/>
      <c r="P442"/>
    </row>
    <row r="443" spans="3:16" ht="10.199999999999999">
      <c r="C443"/>
      <c r="M443"/>
      <c r="N443"/>
      <c r="O443"/>
      <c r="P443"/>
    </row>
    <row r="444" spans="3:16" ht="10.199999999999999">
      <c r="C444"/>
      <c r="M444"/>
      <c r="N444"/>
      <c r="O444"/>
      <c r="P444"/>
    </row>
    <row r="445" spans="3:16" ht="10.199999999999999">
      <c r="C445"/>
      <c r="M445"/>
      <c r="N445"/>
      <c r="O445"/>
      <c r="P445"/>
    </row>
    <row r="446" spans="3:16" ht="10.199999999999999">
      <c r="C446"/>
      <c r="M446"/>
      <c r="N446"/>
      <c r="O446"/>
      <c r="P446"/>
    </row>
    <row r="447" spans="3:16" ht="10.199999999999999">
      <c r="C447"/>
      <c r="M447"/>
      <c r="N447"/>
      <c r="O447"/>
      <c r="P447"/>
    </row>
    <row r="448" spans="3:16" ht="10.199999999999999">
      <c r="C448"/>
      <c r="M448"/>
      <c r="N448"/>
      <c r="O448"/>
      <c r="P448"/>
    </row>
    <row r="449" spans="3:16" ht="10.199999999999999">
      <c r="C449"/>
      <c r="M449"/>
      <c r="N449"/>
      <c r="O449"/>
      <c r="P449"/>
    </row>
    <row r="450" spans="3:16" ht="10.199999999999999">
      <c r="C450"/>
      <c r="M450"/>
      <c r="N450"/>
      <c r="O450"/>
      <c r="P450"/>
    </row>
    <row r="451" spans="3:16" ht="10.199999999999999">
      <c r="C451"/>
      <c r="M451"/>
      <c r="N451"/>
      <c r="O451"/>
      <c r="P451"/>
    </row>
    <row r="452" spans="3:16" ht="10.199999999999999">
      <c r="C452"/>
      <c r="M452"/>
      <c r="N452"/>
      <c r="O452"/>
      <c r="P452"/>
    </row>
    <row r="453" spans="3:16" ht="10.199999999999999">
      <c r="C453"/>
      <c r="M453"/>
      <c r="N453"/>
      <c r="O453"/>
      <c r="P453"/>
    </row>
    <row r="454" spans="3:16" ht="10.199999999999999">
      <c r="C454"/>
      <c r="M454"/>
      <c r="N454"/>
      <c r="O454"/>
      <c r="P454"/>
    </row>
    <row r="455" spans="3:16" ht="10.199999999999999">
      <c r="C455"/>
      <c r="M455"/>
      <c r="N455"/>
      <c r="O455"/>
      <c r="P455"/>
    </row>
    <row r="456" spans="3:16" ht="10.199999999999999">
      <c r="C456"/>
      <c r="M456"/>
      <c r="N456"/>
      <c r="O456"/>
      <c r="P456"/>
    </row>
    <row r="457" spans="3:16" ht="10.199999999999999">
      <c r="C457"/>
      <c r="M457"/>
      <c r="N457"/>
      <c r="O457"/>
      <c r="P457"/>
    </row>
    <row r="458" spans="3:16" ht="10.199999999999999">
      <c r="C458"/>
      <c r="M458"/>
      <c r="N458"/>
      <c r="O458"/>
      <c r="P458"/>
    </row>
    <row r="459" spans="3:16" ht="10.199999999999999">
      <c r="C459"/>
      <c r="M459"/>
      <c r="N459"/>
      <c r="O459"/>
      <c r="P459"/>
    </row>
    <row r="460" spans="3:16" ht="10.199999999999999">
      <c r="C460"/>
      <c r="M460"/>
      <c r="N460"/>
      <c r="O460"/>
      <c r="P460"/>
    </row>
    <row r="461" spans="3:16" ht="10.199999999999999">
      <c r="C461"/>
      <c r="M461"/>
      <c r="N461"/>
      <c r="O461"/>
      <c r="P461"/>
    </row>
    <row r="462" spans="3:16" ht="10.199999999999999">
      <c r="C462"/>
      <c r="M462"/>
      <c r="N462"/>
      <c r="O462"/>
      <c r="P462"/>
    </row>
    <row r="463" spans="3:16" ht="10.199999999999999">
      <c r="C463"/>
      <c r="M463"/>
      <c r="N463"/>
      <c r="O463"/>
      <c r="P463"/>
    </row>
    <row r="464" spans="3:16" ht="10.199999999999999">
      <c r="C464"/>
      <c r="M464"/>
      <c r="N464"/>
      <c r="O464"/>
      <c r="P464"/>
    </row>
    <row r="465" spans="3:16" ht="10.199999999999999">
      <c r="C465"/>
      <c r="M465"/>
      <c r="N465"/>
      <c r="O465"/>
      <c r="P465"/>
    </row>
    <row r="466" spans="3:16" ht="10.199999999999999">
      <c r="C466"/>
      <c r="M466"/>
      <c r="N466"/>
      <c r="O466"/>
      <c r="P466"/>
    </row>
    <row r="467" spans="3:16" ht="10.199999999999999">
      <c r="C467"/>
      <c r="M467"/>
      <c r="N467"/>
      <c r="O467"/>
      <c r="P467"/>
    </row>
    <row r="468" spans="3:16" ht="10.199999999999999">
      <c r="C468"/>
      <c r="M468"/>
      <c r="N468"/>
      <c r="O468"/>
      <c r="P468"/>
    </row>
    <row r="469" spans="3:16" ht="10.199999999999999">
      <c r="C469"/>
      <c r="M469"/>
      <c r="N469"/>
      <c r="O469"/>
      <c r="P469"/>
    </row>
    <row r="470" spans="3:16" ht="10.199999999999999">
      <c r="C470"/>
      <c r="M470"/>
      <c r="N470"/>
      <c r="O470"/>
      <c r="P470"/>
    </row>
    <row r="471" spans="3:16" ht="10.199999999999999">
      <c r="C471"/>
      <c r="M471"/>
      <c r="N471"/>
      <c r="O471"/>
      <c r="P471"/>
    </row>
    <row r="472" spans="3:16" ht="10.199999999999999">
      <c r="C472"/>
      <c r="M472"/>
      <c r="N472"/>
      <c r="O472"/>
      <c r="P472"/>
    </row>
    <row r="473" spans="3:16" ht="10.199999999999999">
      <c r="C473"/>
      <c r="M473"/>
      <c r="N473"/>
      <c r="O473"/>
      <c r="P473"/>
    </row>
    <row r="474" spans="3:16" ht="10.199999999999999">
      <c r="C474"/>
      <c r="M474"/>
      <c r="N474"/>
      <c r="O474"/>
      <c r="P474"/>
    </row>
    <row r="475" spans="3:16" ht="10.199999999999999">
      <c r="C475"/>
      <c r="M475"/>
      <c r="N475"/>
      <c r="O475"/>
      <c r="P475"/>
    </row>
    <row r="476" spans="3:16" ht="10.199999999999999">
      <c r="C476"/>
      <c r="M476"/>
      <c r="N476"/>
      <c r="O476"/>
      <c r="P476"/>
    </row>
    <row r="477" spans="3:16" ht="10.199999999999999">
      <c r="C477"/>
      <c r="M477"/>
      <c r="N477"/>
      <c r="O477"/>
      <c r="P477"/>
    </row>
    <row r="478" spans="3:16" ht="10.199999999999999">
      <c r="C478"/>
      <c r="M478"/>
      <c r="N478"/>
      <c r="O478"/>
      <c r="P478"/>
    </row>
    <row r="479" spans="3:16" ht="10.199999999999999">
      <c r="C479"/>
      <c r="M479"/>
      <c r="N479"/>
      <c r="O479"/>
      <c r="P479"/>
    </row>
    <row r="480" spans="3:16" ht="10.199999999999999">
      <c r="C480"/>
      <c r="M480"/>
      <c r="N480"/>
      <c r="O480"/>
      <c r="P480"/>
    </row>
    <row r="481" spans="3:16" ht="10.199999999999999">
      <c r="C481"/>
      <c r="M481"/>
      <c r="N481"/>
      <c r="O481"/>
      <c r="P481"/>
    </row>
    <row r="482" spans="3:16" ht="10.199999999999999">
      <c r="C482"/>
      <c r="M482"/>
      <c r="N482"/>
      <c r="O482"/>
      <c r="P482"/>
    </row>
    <row r="483" spans="3:16" ht="10.199999999999999">
      <c r="C483"/>
      <c r="M483"/>
      <c r="N483"/>
      <c r="O483"/>
      <c r="P483"/>
    </row>
    <row r="484" spans="3:16" ht="10.199999999999999">
      <c r="C484"/>
      <c r="M484"/>
      <c r="N484"/>
      <c r="O484"/>
      <c r="P484"/>
    </row>
    <row r="485" spans="3:16" ht="10.199999999999999">
      <c r="C485"/>
      <c r="M485"/>
      <c r="N485"/>
      <c r="O485"/>
      <c r="P485"/>
    </row>
    <row r="486" spans="3:16" ht="10.199999999999999">
      <c r="C486"/>
      <c r="M486"/>
      <c r="N486"/>
      <c r="O486"/>
      <c r="P486"/>
    </row>
    <row r="487" spans="3:16" ht="10.199999999999999">
      <c r="C487"/>
      <c r="M487"/>
      <c r="N487"/>
      <c r="O487"/>
      <c r="P487"/>
    </row>
    <row r="488" spans="3:16" ht="10.199999999999999">
      <c r="C488"/>
      <c r="M488"/>
      <c r="N488"/>
      <c r="O488"/>
      <c r="P488"/>
    </row>
    <row r="489" spans="3:16" ht="10.199999999999999">
      <c r="C489"/>
      <c r="M489"/>
      <c r="N489"/>
      <c r="O489"/>
      <c r="P489"/>
    </row>
    <row r="490" spans="3:16" ht="10.199999999999999">
      <c r="C490"/>
      <c r="M490"/>
      <c r="N490"/>
      <c r="O490"/>
      <c r="P490"/>
    </row>
    <row r="491" spans="3:16" ht="10.199999999999999">
      <c r="C491"/>
      <c r="M491"/>
      <c r="N491"/>
      <c r="O491"/>
      <c r="P491"/>
    </row>
    <row r="492" spans="3:16" ht="10.199999999999999">
      <c r="C492"/>
      <c r="M492"/>
      <c r="N492"/>
      <c r="O492"/>
      <c r="P492"/>
    </row>
    <row r="493" spans="3:16" ht="10.199999999999999">
      <c r="C493"/>
      <c r="M493"/>
      <c r="N493"/>
      <c r="O493"/>
      <c r="P493"/>
    </row>
    <row r="494" spans="3:16" ht="10.199999999999999">
      <c r="C494"/>
      <c r="M494"/>
      <c r="N494"/>
      <c r="O494"/>
      <c r="P494"/>
    </row>
    <row r="495" spans="3:16" ht="10.199999999999999">
      <c r="C495"/>
      <c r="M495"/>
      <c r="N495"/>
      <c r="O495"/>
      <c r="P495"/>
    </row>
    <row r="496" spans="3:16" ht="10.199999999999999">
      <c r="C496"/>
      <c r="M496"/>
      <c r="N496"/>
      <c r="O496"/>
      <c r="P496"/>
    </row>
    <row r="497" spans="3:16" ht="10.199999999999999">
      <c r="C497"/>
      <c r="M497"/>
      <c r="N497"/>
      <c r="O497"/>
      <c r="P497"/>
    </row>
    <row r="498" spans="3:16" ht="10.199999999999999">
      <c r="C498"/>
      <c r="M498"/>
      <c r="N498"/>
      <c r="O498"/>
      <c r="P498"/>
    </row>
    <row r="499" spans="3:16" ht="10.199999999999999">
      <c r="C499"/>
      <c r="M499"/>
      <c r="N499"/>
      <c r="O499"/>
      <c r="P499"/>
    </row>
    <row r="500" spans="3:16" ht="10.199999999999999">
      <c r="C500"/>
      <c r="M500"/>
      <c r="N500"/>
      <c r="O500"/>
      <c r="P500"/>
    </row>
    <row r="501" spans="3:16" ht="10.199999999999999">
      <c r="C501"/>
      <c r="M501"/>
      <c r="N501"/>
      <c r="O501"/>
      <c r="P501"/>
    </row>
    <row r="502" spans="3:16" ht="10.199999999999999">
      <c r="C502"/>
      <c r="M502"/>
      <c r="N502"/>
      <c r="O502"/>
      <c r="P502"/>
    </row>
    <row r="503" spans="3:16" ht="10.199999999999999">
      <c r="C503"/>
      <c r="M503"/>
      <c r="N503"/>
      <c r="O503"/>
      <c r="P503"/>
    </row>
    <row r="504" spans="3:16" ht="10.199999999999999">
      <c r="C504"/>
      <c r="M504"/>
      <c r="N504"/>
      <c r="O504"/>
      <c r="P504"/>
    </row>
    <row r="505" spans="3:16" ht="10.199999999999999">
      <c r="C505"/>
      <c r="M505"/>
      <c r="N505"/>
      <c r="O505"/>
      <c r="P505"/>
    </row>
    <row r="506" spans="3:16" ht="10.199999999999999">
      <c r="C506"/>
      <c r="M506"/>
      <c r="N506"/>
      <c r="O506"/>
      <c r="P506"/>
    </row>
    <row r="507" spans="3:16" ht="10.199999999999999">
      <c r="C507"/>
      <c r="M507"/>
      <c r="N507"/>
      <c r="O507"/>
      <c r="P507"/>
    </row>
    <row r="508" spans="3:16" ht="10.199999999999999">
      <c r="C508"/>
      <c r="M508"/>
      <c r="N508"/>
      <c r="O508"/>
      <c r="P508"/>
    </row>
    <row r="509" spans="3:16" ht="10.199999999999999">
      <c r="C509"/>
      <c r="M509"/>
      <c r="N509"/>
      <c r="O509"/>
      <c r="P509"/>
    </row>
    <row r="510" spans="3:16" ht="10.199999999999999">
      <c r="C510"/>
      <c r="M510"/>
      <c r="N510"/>
      <c r="O510"/>
      <c r="P510"/>
    </row>
    <row r="511" spans="3:16" ht="10.199999999999999">
      <c r="C511"/>
      <c r="M511"/>
      <c r="N511"/>
      <c r="O511"/>
      <c r="P511"/>
    </row>
    <row r="512" spans="3:16" ht="10.199999999999999">
      <c r="C512"/>
      <c r="M512"/>
      <c r="N512"/>
      <c r="O512"/>
      <c r="P512"/>
    </row>
    <row r="513" spans="3:16" ht="10.199999999999999">
      <c r="C513"/>
      <c r="M513"/>
      <c r="N513"/>
      <c r="O513"/>
      <c r="P513"/>
    </row>
    <row r="514" spans="3:16" ht="10.199999999999999">
      <c r="C514"/>
      <c r="M514"/>
      <c r="N514"/>
      <c r="O514"/>
      <c r="P514"/>
    </row>
    <row r="515" spans="3:16" ht="10.199999999999999">
      <c r="C515"/>
      <c r="M515"/>
      <c r="N515"/>
      <c r="O515"/>
      <c r="P515"/>
    </row>
    <row r="516" spans="3:16" ht="10.199999999999999">
      <c r="C516"/>
      <c r="M516"/>
      <c r="N516"/>
      <c r="O516"/>
      <c r="P516"/>
    </row>
    <row r="517" spans="3:16" ht="10.199999999999999">
      <c r="C517"/>
      <c r="M517"/>
      <c r="N517"/>
      <c r="O517"/>
      <c r="P517"/>
    </row>
    <row r="518" spans="3:16" ht="10.199999999999999">
      <c r="C518"/>
      <c r="M518"/>
      <c r="N518"/>
      <c r="O518"/>
      <c r="P518"/>
    </row>
    <row r="519" spans="3:16" ht="10.199999999999999">
      <c r="C519"/>
      <c r="M519"/>
      <c r="N519"/>
      <c r="O519"/>
      <c r="P519"/>
    </row>
    <row r="520" spans="3:16" ht="10.199999999999999">
      <c r="C520"/>
      <c r="M520"/>
      <c r="N520"/>
      <c r="O520"/>
      <c r="P520"/>
    </row>
    <row r="521" spans="3:16" ht="10.199999999999999">
      <c r="C521"/>
      <c r="M521"/>
      <c r="N521"/>
      <c r="O521"/>
      <c r="P521"/>
    </row>
    <row r="522" spans="3:16" ht="10.199999999999999">
      <c r="C522"/>
      <c r="M522"/>
      <c r="N522"/>
      <c r="O522"/>
      <c r="P522"/>
    </row>
    <row r="523" spans="3:16" ht="10.199999999999999">
      <c r="C523"/>
      <c r="M523"/>
      <c r="N523"/>
      <c r="O523"/>
      <c r="P523"/>
    </row>
    <row r="524" spans="3:16" ht="10.199999999999999">
      <c r="C524"/>
      <c r="M524"/>
      <c r="N524"/>
      <c r="O524"/>
      <c r="P524"/>
    </row>
    <row r="525" spans="3:16" ht="10.199999999999999">
      <c r="C525"/>
      <c r="M525"/>
      <c r="N525"/>
      <c r="O525"/>
      <c r="P525"/>
    </row>
    <row r="526" spans="3:16" ht="10.199999999999999">
      <c r="C526"/>
      <c r="M526"/>
      <c r="N526"/>
      <c r="O526"/>
      <c r="P526"/>
    </row>
    <row r="527" spans="3:16" ht="10.199999999999999">
      <c r="C527"/>
      <c r="M527"/>
      <c r="N527"/>
      <c r="O527"/>
      <c r="P527"/>
    </row>
    <row r="528" spans="3:16" ht="10.199999999999999">
      <c r="C528"/>
      <c r="M528"/>
      <c r="N528"/>
      <c r="O528"/>
      <c r="P528"/>
    </row>
    <row r="529" spans="3:16" ht="10.199999999999999">
      <c r="C529"/>
      <c r="M529"/>
      <c r="N529"/>
      <c r="O529"/>
      <c r="P529"/>
    </row>
    <row r="530" spans="3:16" ht="10.199999999999999">
      <c r="C530"/>
      <c r="M530"/>
      <c r="N530"/>
      <c r="O530"/>
      <c r="P530"/>
    </row>
    <row r="531" spans="3:16" ht="10.199999999999999">
      <c r="C531"/>
      <c r="M531"/>
      <c r="N531"/>
      <c r="O531"/>
      <c r="P531"/>
    </row>
    <row r="532" spans="3:16" ht="10.199999999999999">
      <c r="C532"/>
      <c r="M532"/>
      <c r="N532"/>
      <c r="O532"/>
      <c r="P532"/>
    </row>
    <row r="533" spans="3:16" ht="10.199999999999999">
      <c r="C533"/>
      <c r="M533"/>
      <c r="N533"/>
      <c r="O533"/>
      <c r="P533"/>
    </row>
    <row r="534" spans="3:16" ht="10.199999999999999">
      <c r="C534"/>
      <c r="M534"/>
      <c r="N534"/>
      <c r="O534"/>
      <c r="P534"/>
    </row>
    <row r="535" spans="3:16" ht="10.199999999999999">
      <c r="C535"/>
      <c r="M535"/>
      <c r="N535"/>
      <c r="O535"/>
      <c r="P535"/>
    </row>
    <row r="536" spans="3:16" ht="10.199999999999999">
      <c r="C536"/>
      <c r="M536"/>
      <c r="N536"/>
      <c r="O536"/>
      <c r="P536"/>
    </row>
    <row r="537" spans="3:16" ht="10.199999999999999">
      <c r="C537"/>
      <c r="M537"/>
      <c r="N537"/>
      <c r="O537"/>
      <c r="P537"/>
    </row>
    <row r="538" spans="3:16" ht="10.199999999999999">
      <c r="C538"/>
      <c r="M538"/>
      <c r="N538"/>
      <c r="O538"/>
      <c r="P538"/>
    </row>
    <row r="539" spans="3:16" ht="10.199999999999999">
      <c r="C539"/>
      <c r="M539"/>
      <c r="N539"/>
      <c r="O539"/>
      <c r="P539"/>
    </row>
    <row r="540" spans="3:16" ht="10.199999999999999">
      <c r="C540"/>
      <c r="M540"/>
      <c r="N540"/>
      <c r="O540"/>
      <c r="P540"/>
    </row>
    <row r="541" spans="3:16" ht="10.199999999999999">
      <c r="C541"/>
      <c r="M541"/>
      <c r="N541"/>
      <c r="O541"/>
      <c r="P541"/>
    </row>
    <row r="542" spans="3:16" ht="10.199999999999999">
      <c r="C542"/>
      <c r="M542"/>
      <c r="N542"/>
      <c r="O542"/>
      <c r="P542"/>
    </row>
    <row r="543" spans="3:16" ht="10.199999999999999">
      <c r="C543"/>
      <c r="M543"/>
      <c r="N543"/>
      <c r="O543"/>
      <c r="P543"/>
    </row>
    <row r="544" spans="3:16" ht="10.199999999999999">
      <c r="C544"/>
      <c r="M544"/>
      <c r="N544"/>
      <c r="O544"/>
      <c r="P544"/>
    </row>
    <row r="545" spans="3:16" ht="10.199999999999999">
      <c r="C545"/>
      <c r="M545"/>
      <c r="N545"/>
      <c r="O545"/>
      <c r="P545"/>
    </row>
    <row r="546" spans="3:16" ht="10.199999999999999">
      <c r="C546"/>
      <c r="M546"/>
      <c r="N546"/>
      <c r="O546"/>
      <c r="P546"/>
    </row>
    <row r="547" spans="3:16" ht="10.199999999999999">
      <c r="C547"/>
      <c r="M547"/>
      <c r="N547"/>
      <c r="O547"/>
      <c r="P547"/>
    </row>
    <row r="548" spans="3:16" ht="10.199999999999999">
      <c r="C548"/>
      <c r="M548"/>
      <c r="N548"/>
      <c r="O548"/>
      <c r="P548"/>
    </row>
    <row r="549" spans="3:16" ht="10.199999999999999">
      <c r="C549"/>
      <c r="M549"/>
      <c r="N549"/>
      <c r="O549"/>
      <c r="P549"/>
    </row>
    <row r="550" spans="3:16" ht="10.199999999999999">
      <c r="C550"/>
      <c r="M550"/>
      <c r="N550"/>
      <c r="O550"/>
      <c r="P550"/>
    </row>
    <row r="551" spans="3:16" ht="10.199999999999999">
      <c r="C551"/>
      <c r="M551"/>
      <c r="N551"/>
      <c r="O551"/>
      <c r="P551"/>
    </row>
    <row r="552" spans="3:16" ht="10.199999999999999">
      <c r="C552"/>
      <c r="M552"/>
      <c r="N552"/>
      <c r="O552"/>
      <c r="P552"/>
    </row>
    <row r="553" spans="3:16" ht="10.199999999999999">
      <c r="C553"/>
      <c r="M553"/>
      <c r="N553"/>
      <c r="O553"/>
      <c r="P553"/>
    </row>
    <row r="554" spans="3:16" ht="10.199999999999999">
      <c r="C554"/>
      <c r="M554"/>
      <c r="N554"/>
      <c r="O554"/>
      <c r="P554"/>
    </row>
    <row r="555" spans="3:16" ht="10.199999999999999">
      <c r="C555"/>
      <c r="M555"/>
      <c r="N555"/>
      <c r="O555"/>
      <c r="P555"/>
    </row>
    <row r="556" spans="3:16" ht="10.199999999999999">
      <c r="C556"/>
      <c r="M556"/>
      <c r="N556"/>
      <c r="O556"/>
      <c r="P556"/>
    </row>
    <row r="557" spans="3:16" ht="10.199999999999999">
      <c r="C557"/>
      <c r="M557"/>
      <c r="N557"/>
      <c r="O557"/>
      <c r="P557"/>
    </row>
    <row r="558" spans="3:16" ht="10.199999999999999">
      <c r="C558"/>
      <c r="M558"/>
      <c r="N558"/>
      <c r="O558"/>
      <c r="P558"/>
    </row>
    <row r="559" spans="3:16" ht="10.199999999999999">
      <c r="C559"/>
      <c r="M559"/>
      <c r="N559"/>
      <c r="O559"/>
      <c r="P559"/>
    </row>
    <row r="560" spans="3:16" ht="10.199999999999999">
      <c r="C560"/>
      <c r="M560"/>
      <c r="N560"/>
      <c r="O560"/>
      <c r="P560"/>
    </row>
    <row r="561" spans="3:16" ht="10.199999999999999">
      <c r="C561"/>
      <c r="M561"/>
      <c r="N561"/>
      <c r="O561"/>
      <c r="P561"/>
    </row>
    <row r="562" spans="3:16" ht="10.199999999999999">
      <c r="C562"/>
      <c r="M562"/>
      <c r="N562"/>
      <c r="O562"/>
      <c r="P562"/>
    </row>
    <row r="563" spans="3:16" ht="10.199999999999999">
      <c r="C563"/>
      <c r="M563"/>
      <c r="N563"/>
      <c r="O563"/>
      <c r="P563"/>
    </row>
    <row r="564" spans="3:16" ht="10.199999999999999">
      <c r="C564"/>
      <c r="M564"/>
      <c r="N564"/>
      <c r="O564"/>
      <c r="P564"/>
    </row>
    <row r="565" spans="3:16" ht="10.199999999999999">
      <c r="C565"/>
      <c r="M565"/>
      <c r="N565"/>
      <c r="O565"/>
      <c r="P565"/>
    </row>
    <row r="566" spans="3:16" ht="10.199999999999999">
      <c r="C566"/>
      <c r="M566"/>
      <c r="N566"/>
      <c r="O566"/>
      <c r="P566"/>
    </row>
    <row r="567" spans="3:16" ht="10.199999999999999">
      <c r="C567"/>
      <c r="M567"/>
      <c r="N567"/>
      <c r="O567"/>
      <c r="P567"/>
    </row>
    <row r="568" spans="3:16" ht="10.199999999999999">
      <c r="C568"/>
      <c r="M568"/>
      <c r="N568"/>
      <c r="O568"/>
      <c r="P568"/>
    </row>
    <row r="569" spans="3:16" ht="10.199999999999999">
      <c r="C569"/>
      <c r="M569"/>
      <c r="N569"/>
      <c r="O569"/>
      <c r="P569"/>
    </row>
    <row r="570" spans="3:16" ht="10.199999999999999">
      <c r="C570"/>
      <c r="M570"/>
      <c r="N570"/>
      <c r="O570"/>
      <c r="P570"/>
    </row>
    <row r="571" spans="3:16" ht="10.199999999999999">
      <c r="C571"/>
      <c r="M571"/>
      <c r="N571"/>
      <c r="O571"/>
      <c r="P571"/>
    </row>
    <row r="572" spans="3:16" ht="10.199999999999999">
      <c r="C572"/>
      <c r="M572"/>
      <c r="N572"/>
      <c r="O572"/>
      <c r="P572"/>
    </row>
    <row r="573" spans="3:16" ht="10.199999999999999">
      <c r="C573"/>
      <c r="M573"/>
      <c r="N573"/>
      <c r="O573"/>
      <c r="P573"/>
    </row>
    <row r="574" spans="3:16" ht="10.199999999999999">
      <c r="C574"/>
      <c r="M574"/>
      <c r="N574"/>
      <c r="O574"/>
      <c r="P574"/>
    </row>
    <row r="575" spans="3:16" ht="10.199999999999999">
      <c r="C575"/>
      <c r="M575"/>
      <c r="N575"/>
      <c r="O575"/>
      <c r="P575"/>
    </row>
    <row r="576" spans="3:16" ht="10.199999999999999">
      <c r="C576"/>
      <c r="M576"/>
      <c r="N576"/>
      <c r="O576"/>
      <c r="P576"/>
    </row>
    <row r="577" spans="3:16" ht="10.199999999999999">
      <c r="C577"/>
      <c r="M577"/>
      <c r="N577"/>
      <c r="O577"/>
      <c r="P577"/>
    </row>
    <row r="578" spans="3:16" ht="10.199999999999999">
      <c r="C578"/>
      <c r="M578"/>
      <c r="N578"/>
      <c r="O578"/>
      <c r="P578"/>
    </row>
    <row r="579" spans="3:16" ht="10.199999999999999">
      <c r="C579"/>
      <c r="M579"/>
      <c r="N579"/>
      <c r="O579"/>
      <c r="P579"/>
    </row>
    <row r="580" spans="3:16" ht="10.199999999999999">
      <c r="C580"/>
      <c r="M580"/>
      <c r="N580"/>
      <c r="O580"/>
      <c r="P580"/>
    </row>
    <row r="581" spans="3:16" ht="10.199999999999999">
      <c r="C581"/>
      <c r="M581"/>
      <c r="N581"/>
      <c r="O581"/>
      <c r="P581"/>
    </row>
    <row r="582" spans="3:16" ht="10.199999999999999">
      <c r="C582"/>
      <c r="M582"/>
      <c r="N582"/>
      <c r="O582"/>
      <c r="P582"/>
    </row>
    <row r="583" spans="3:16" ht="10.199999999999999">
      <c r="C583"/>
      <c r="M583"/>
      <c r="N583"/>
      <c r="O583"/>
      <c r="P583"/>
    </row>
    <row r="584" spans="3:16" ht="10.199999999999999">
      <c r="C584"/>
      <c r="M584"/>
      <c r="N584"/>
      <c r="O584"/>
      <c r="P584"/>
    </row>
    <row r="585" spans="3:16" ht="10.199999999999999">
      <c r="C585"/>
      <c r="M585"/>
      <c r="N585"/>
      <c r="O585"/>
      <c r="P585"/>
    </row>
    <row r="586" spans="3:16" ht="10.199999999999999">
      <c r="C586"/>
      <c r="M586"/>
      <c r="N586"/>
      <c r="O586"/>
      <c r="P586"/>
    </row>
    <row r="587" spans="3:16" ht="10.199999999999999">
      <c r="C587"/>
      <c r="M587"/>
      <c r="N587"/>
      <c r="O587"/>
      <c r="P587"/>
    </row>
    <row r="588" spans="3:16" ht="10.199999999999999">
      <c r="C588"/>
      <c r="M588"/>
      <c r="N588"/>
      <c r="O588"/>
      <c r="P588"/>
    </row>
    <row r="589" spans="3:16" ht="10.199999999999999">
      <c r="C589"/>
      <c r="M589"/>
      <c r="N589"/>
      <c r="O589"/>
      <c r="P589"/>
    </row>
    <row r="590" spans="3:16" ht="10.199999999999999">
      <c r="C590"/>
      <c r="M590"/>
      <c r="N590"/>
      <c r="O590"/>
      <c r="P590"/>
    </row>
    <row r="591" spans="3:16" ht="10.199999999999999">
      <c r="C591"/>
      <c r="M591"/>
      <c r="N591"/>
      <c r="O591"/>
      <c r="P591"/>
    </row>
    <row r="592" spans="3:16" ht="10.199999999999999">
      <c r="C592"/>
      <c r="M592"/>
      <c r="N592"/>
      <c r="O592"/>
      <c r="P592"/>
    </row>
    <row r="593" spans="3:16" ht="10.199999999999999">
      <c r="C593"/>
      <c r="M593"/>
      <c r="N593"/>
      <c r="O593"/>
      <c r="P593"/>
    </row>
    <row r="594" spans="3:16" ht="10.199999999999999">
      <c r="C594"/>
      <c r="M594"/>
      <c r="N594"/>
      <c r="O594"/>
      <c r="P594"/>
    </row>
    <row r="595" spans="3:16" ht="10.199999999999999">
      <c r="C595"/>
      <c r="M595"/>
      <c r="N595"/>
      <c r="O595"/>
      <c r="P595"/>
    </row>
    <row r="596" spans="3:16" ht="10.199999999999999">
      <c r="C596"/>
      <c r="M596"/>
      <c r="N596"/>
      <c r="O596"/>
      <c r="P596"/>
    </row>
    <row r="597" spans="3:16" ht="10.199999999999999">
      <c r="C597"/>
      <c r="M597"/>
      <c r="N597"/>
      <c r="O597"/>
      <c r="P597"/>
    </row>
    <row r="598" spans="3:16" ht="10.199999999999999">
      <c r="C598"/>
      <c r="M598"/>
      <c r="N598"/>
      <c r="O598"/>
      <c r="P598"/>
    </row>
    <row r="599" spans="3:16" ht="10.199999999999999">
      <c r="C599"/>
      <c r="M599"/>
      <c r="N599"/>
      <c r="O599"/>
      <c r="P599"/>
    </row>
    <row r="600" spans="3:16" ht="10.199999999999999">
      <c r="C600"/>
      <c r="M600"/>
      <c r="N600"/>
      <c r="O600"/>
      <c r="P600"/>
    </row>
    <row r="601" spans="3:16" ht="10.199999999999999">
      <c r="C601"/>
      <c r="M601"/>
      <c r="N601"/>
      <c r="O601"/>
      <c r="P601"/>
    </row>
    <row r="602" spans="3:16" ht="10.199999999999999">
      <c r="C602"/>
      <c r="M602"/>
      <c r="N602"/>
      <c r="O602"/>
      <c r="P602"/>
    </row>
    <row r="603" spans="3:16" ht="10.199999999999999">
      <c r="C603"/>
      <c r="M603"/>
      <c r="N603"/>
      <c r="O603"/>
      <c r="P603"/>
    </row>
    <row r="604" spans="3:16" ht="10.199999999999999">
      <c r="C604"/>
      <c r="M604"/>
      <c r="N604"/>
      <c r="O604"/>
      <c r="P604"/>
    </row>
    <row r="605" spans="3:16" ht="10.199999999999999">
      <c r="C605"/>
      <c r="M605"/>
      <c r="N605"/>
      <c r="O605"/>
      <c r="P605"/>
    </row>
    <row r="606" spans="3:16" ht="10.199999999999999">
      <c r="C606"/>
      <c r="M606"/>
      <c r="N606"/>
      <c r="O606"/>
      <c r="P606"/>
    </row>
    <row r="607" spans="3:16" ht="10.199999999999999">
      <c r="C607"/>
      <c r="M607"/>
      <c r="N607"/>
      <c r="O607"/>
      <c r="P607"/>
    </row>
    <row r="608" spans="3:16" ht="10.199999999999999">
      <c r="C608"/>
      <c r="M608"/>
      <c r="N608"/>
      <c r="O608"/>
      <c r="P608"/>
    </row>
    <row r="609" spans="3:16" ht="10.199999999999999">
      <c r="C609"/>
      <c r="M609"/>
      <c r="N609"/>
      <c r="O609"/>
      <c r="P609"/>
    </row>
    <row r="610" spans="3:16" ht="10.199999999999999">
      <c r="C610"/>
      <c r="M610"/>
      <c r="N610"/>
      <c r="O610"/>
      <c r="P610"/>
    </row>
    <row r="611" spans="3:16" ht="10.199999999999999">
      <c r="C611"/>
      <c r="M611"/>
      <c r="N611"/>
      <c r="O611"/>
      <c r="P611"/>
    </row>
    <row r="612" spans="3:16" ht="10.199999999999999">
      <c r="C612"/>
      <c r="M612"/>
      <c r="N612"/>
      <c r="O612"/>
      <c r="P612"/>
    </row>
    <row r="613" spans="3:16" ht="10.199999999999999">
      <c r="C613"/>
      <c r="M613"/>
      <c r="N613"/>
      <c r="O613"/>
      <c r="P613"/>
    </row>
    <row r="614" spans="3:16" ht="10.199999999999999">
      <c r="C614"/>
      <c r="M614"/>
      <c r="N614"/>
      <c r="O614"/>
      <c r="P614"/>
    </row>
    <row r="615" spans="3:16" ht="10.199999999999999">
      <c r="C615"/>
      <c r="M615"/>
      <c r="N615"/>
      <c r="O615"/>
      <c r="P615"/>
    </row>
    <row r="616" spans="3:16" ht="10.199999999999999">
      <c r="C616"/>
      <c r="M616"/>
      <c r="N616"/>
      <c r="O616"/>
      <c r="P616"/>
    </row>
    <row r="617" spans="3:16" ht="10.199999999999999">
      <c r="C617"/>
      <c r="M617"/>
      <c r="N617"/>
      <c r="O617"/>
      <c r="P617"/>
    </row>
    <row r="618" spans="3:16" ht="10.199999999999999">
      <c r="C618"/>
      <c r="M618"/>
      <c r="N618"/>
      <c r="O618"/>
      <c r="P618"/>
    </row>
    <row r="619" spans="3:16" ht="10.199999999999999">
      <c r="C619"/>
      <c r="M619"/>
      <c r="N619"/>
      <c r="O619"/>
      <c r="P619"/>
    </row>
    <row r="620" spans="3:16" ht="10.199999999999999">
      <c r="C620"/>
      <c r="M620"/>
      <c r="N620"/>
      <c r="O620"/>
      <c r="P620"/>
    </row>
    <row r="621" spans="3:16" ht="10.199999999999999">
      <c r="C621"/>
      <c r="M621"/>
      <c r="N621"/>
      <c r="O621"/>
      <c r="P621"/>
    </row>
    <row r="622" spans="3:16" ht="10.199999999999999">
      <c r="C622"/>
      <c r="M622"/>
      <c r="N622"/>
      <c r="O622"/>
      <c r="P622"/>
    </row>
    <row r="623" spans="3:16" ht="10.199999999999999">
      <c r="C623"/>
      <c r="M623"/>
      <c r="N623"/>
      <c r="O623"/>
      <c r="P623"/>
    </row>
    <row r="624" spans="3:16" ht="10.199999999999999">
      <c r="C624"/>
      <c r="M624"/>
      <c r="N624"/>
      <c r="O624"/>
      <c r="P624"/>
    </row>
    <row r="625" spans="3:16" ht="10.199999999999999">
      <c r="C625"/>
      <c r="M625"/>
      <c r="N625"/>
      <c r="O625"/>
      <c r="P625"/>
    </row>
    <row r="626" spans="3:16" ht="10.199999999999999">
      <c r="C626"/>
      <c r="M626"/>
      <c r="N626"/>
      <c r="O626"/>
      <c r="P626"/>
    </row>
    <row r="627" spans="3:16" ht="10.199999999999999">
      <c r="C627"/>
      <c r="M627"/>
      <c r="N627"/>
      <c r="O627"/>
      <c r="P627"/>
    </row>
    <row r="628" spans="3:16" ht="10.199999999999999">
      <c r="C628"/>
      <c r="M628"/>
      <c r="N628"/>
      <c r="O628"/>
      <c r="P628"/>
    </row>
    <row r="629" spans="3:16" ht="10.199999999999999">
      <c r="C629"/>
      <c r="M629"/>
      <c r="N629"/>
      <c r="O629"/>
      <c r="P629"/>
    </row>
    <row r="630" spans="3:16" ht="10.199999999999999">
      <c r="C630"/>
      <c r="M630"/>
      <c r="N630"/>
      <c r="O630"/>
      <c r="P630"/>
    </row>
    <row r="631" spans="3:16" ht="10.199999999999999">
      <c r="C631"/>
      <c r="M631"/>
      <c r="N631"/>
      <c r="O631"/>
      <c r="P631"/>
    </row>
    <row r="632" spans="3:16" ht="10.199999999999999">
      <c r="C632"/>
      <c r="M632"/>
      <c r="N632"/>
      <c r="O632"/>
      <c r="P632"/>
    </row>
    <row r="633" spans="3:16" ht="10.199999999999999">
      <c r="C633"/>
      <c r="M633"/>
      <c r="N633"/>
      <c r="O633"/>
      <c r="P633"/>
    </row>
    <row r="634" spans="3:16" ht="10.199999999999999">
      <c r="C634"/>
      <c r="M634"/>
      <c r="N634"/>
      <c r="O634"/>
      <c r="P634"/>
    </row>
    <row r="635" spans="3:16" ht="10.199999999999999">
      <c r="C635"/>
      <c r="M635"/>
      <c r="N635"/>
      <c r="O635"/>
      <c r="P635"/>
    </row>
    <row r="636" spans="3:16" ht="10.199999999999999">
      <c r="C636"/>
      <c r="M636"/>
      <c r="N636"/>
      <c r="O636"/>
      <c r="P636"/>
    </row>
    <row r="637" spans="3:16" ht="10.199999999999999">
      <c r="C637"/>
      <c r="M637"/>
      <c r="N637"/>
      <c r="O637"/>
      <c r="P637"/>
    </row>
    <row r="638" spans="3:16" ht="10.199999999999999">
      <c r="C638"/>
      <c r="M638"/>
      <c r="N638"/>
      <c r="O638"/>
      <c r="P638"/>
    </row>
    <row r="639" spans="3:16" ht="10.199999999999999">
      <c r="C639"/>
      <c r="M639"/>
      <c r="N639"/>
      <c r="O639"/>
      <c r="P639"/>
    </row>
    <row r="640" spans="3:16" ht="10.199999999999999">
      <c r="C640"/>
      <c r="M640"/>
      <c r="N640"/>
      <c r="O640"/>
      <c r="P640"/>
    </row>
    <row r="641" spans="3:16" ht="10.199999999999999">
      <c r="C641"/>
      <c r="M641"/>
      <c r="N641"/>
      <c r="O641"/>
      <c r="P641"/>
    </row>
    <row r="642" spans="3:16" ht="10.199999999999999">
      <c r="C642"/>
      <c r="M642"/>
      <c r="N642"/>
      <c r="O642"/>
      <c r="P642"/>
    </row>
    <row r="643" spans="3:16" ht="10.199999999999999">
      <c r="C643"/>
      <c r="M643"/>
      <c r="N643"/>
      <c r="O643"/>
      <c r="P643"/>
    </row>
    <row r="644" spans="3:16" ht="10.199999999999999">
      <c r="C644"/>
      <c r="M644"/>
      <c r="N644"/>
      <c r="O644"/>
      <c r="P644"/>
    </row>
    <row r="645" spans="3:16" ht="10.199999999999999">
      <c r="C645"/>
      <c r="M645"/>
      <c r="N645"/>
      <c r="O645"/>
      <c r="P645"/>
    </row>
    <row r="646" spans="3:16" ht="10.199999999999999">
      <c r="C646"/>
      <c r="M646"/>
      <c r="N646"/>
      <c r="O646"/>
      <c r="P646"/>
    </row>
    <row r="647" spans="3:16" ht="10.199999999999999">
      <c r="C647"/>
      <c r="M647"/>
      <c r="N647"/>
      <c r="O647"/>
      <c r="P647"/>
    </row>
    <row r="648" spans="3:16" ht="10.199999999999999">
      <c r="C648"/>
      <c r="M648"/>
      <c r="N648"/>
      <c r="O648"/>
      <c r="P648"/>
    </row>
    <row r="649" spans="3:16" ht="10.199999999999999">
      <c r="C649"/>
      <c r="M649"/>
      <c r="N649"/>
      <c r="O649"/>
      <c r="P649"/>
    </row>
    <row r="650" spans="3:16" ht="10.199999999999999">
      <c r="C650"/>
      <c r="M650"/>
      <c r="N650"/>
      <c r="O650"/>
      <c r="P650"/>
    </row>
    <row r="651" spans="3:16">
      <c r="C651"/>
    </row>
    <row r="652" spans="3:16">
      <c r="C652"/>
    </row>
    <row r="653" spans="3:16">
      <c r="C653"/>
    </row>
    <row r="654" spans="3:16">
      <c r="C654"/>
    </row>
    <row r="655" spans="3:16">
      <c r="C655"/>
    </row>
    <row r="656" spans="3:16">
      <c r="C656"/>
    </row>
    <row r="657" spans="3:3">
      <c r="C657"/>
    </row>
    <row r="658" spans="3:3">
      <c r="C658"/>
    </row>
    <row r="659" spans="3:3">
      <c r="C659"/>
    </row>
    <row r="660" spans="3:3">
      <c r="C660"/>
    </row>
    <row r="661" spans="3:3">
      <c r="C661"/>
    </row>
    <row r="662" spans="3:3">
      <c r="C662"/>
    </row>
    <row r="663" spans="3:3">
      <c r="C663"/>
    </row>
    <row r="664" spans="3:3">
      <c r="C664"/>
    </row>
    <row r="665" spans="3:3">
      <c r="C665"/>
    </row>
    <row r="666" spans="3:3">
      <c r="C666"/>
    </row>
    <row r="667" spans="3:3">
      <c r="C667"/>
    </row>
    <row r="668" spans="3:3">
      <c r="C668"/>
    </row>
    <row r="669" spans="3:3">
      <c r="C669"/>
    </row>
    <row r="670" spans="3:3">
      <c r="C670"/>
    </row>
    <row r="671" spans="3:3">
      <c r="C671"/>
    </row>
    <row r="672" spans="3:3">
      <c r="C672"/>
    </row>
    <row r="673" spans="3:3">
      <c r="C673"/>
    </row>
    <row r="674" spans="3:3">
      <c r="C674"/>
    </row>
    <row r="675" spans="3:3">
      <c r="C675"/>
    </row>
    <row r="676" spans="3:3">
      <c r="C676"/>
    </row>
    <row r="677" spans="3:3">
      <c r="C677"/>
    </row>
    <row r="678" spans="3:3">
      <c r="C678"/>
    </row>
    <row r="679" spans="3:3">
      <c r="C679"/>
    </row>
    <row r="680" spans="3:3">
      <c r="C680"/>
    </row>
    <row r="681" spans="3:3">
      <c r="C681"/>
    </row>
    <row r="682" spans="3:3">
      <c r="C682"/>
    </row>
    <row r="683" spans="3:3">
      <c r="C683"/>
    </row>
    <row r="684" spans="3:3">
      <c r="C684"/>
    </row>
    <row r="685" spans="3:3">
      <c r="C685"/>
    </row>
    <row r="686" spans="3:3">
      <c r="C686"/>
    </row>
    <row r="687" spans="3:3">
      <c r="C687"/>
    </row>
    <row r="688" spans="3:3">
      <c r="C688"/>
    </row>
    <row r="689" spans="3:3">
      <c r="C689"/>
    </row>
    <row r="690" spans="3:3">
      <c r="C690"/>
    </row>
    <row r="691" spans="3:3">
      <c r="C691"/>
    </row>
    <row r="692" spans="3:3">
      <c r="C692"/>
    </row>
    <row r="693" spans="3:3">
      <c r="C693"/>
    </row>
    <row r="694" spans="3:3">
      <c r="C694"/>
    </row>
    <row r="695" spans="3:3">
      <c r="C695"/>
    </row>
    <row r="696" spans="3:3">
      <c r="C696"/>
    </row>
    <row r="697" spans="3:3">
      <c r="C697"/>
    </row>
    <row r="698" spans="3:3">
      <c r="C698"/>
    </row>
    <row r="699" spans="3:3">
      <c r="C699"/>
    </row>
    <row r="700" spans="3:3">
      <c r="C700"/>
    </row>
    <row r="701" spans="3:3">
      <c r="C701"/>
    </row>
    <row r="702" spans="3:3">
      <c r="C702"/>
    </row>
    <row r="703" spans="3:3">
      <c r="C703"/>
    </row>
    <row r="704" spans="3:3">
      <c r="C704"/>
    </row>
    <row r="705" spans="3:3">
      <c r="C705"/>
    </row>
    <row r="706" spans="3:3">
      <c r="C706"/>
    </row>
    <row r="707" spans="3:3">
      <c r="C707"/>
    </row>
    <row r="708" spans="3:3">
      <c r="C708"/>
    </row>
    <row r="709" spans="3:3">
      <c r="C709"/>
    </row>
    <row r="710" spans="3:3">
      <c r="C710"/>
    </row>
    <row r="711" spans="3:3">
      <c r="C711"/>
    </row>
    <row r="712" spans="3:3">
      <c r="C712"/>
    </row>
    <row r="713" spans="3:3">
      <c r="C713"/>
    </row>
    <row r="714" spans="3:3">
      <c r="C714"/>
    </row>
    <row r="715" spans="3:3">
      <c r="C715"/>
    </row>
    <row r="716" spans="3:3">
      <c r="C716"/>
    </row>
    <row r="717" spans="3:3">
      <c r="C717"/>
    </row>
    <row r="718" spans="3:3">
      <c r="C718"/>
    </row>
    <row r="719" spans="3:3">
      <c r="C719"/>
    </row>
    <row r="720" spans="3:3">
      <c r="C720"/>
    </row>
    <row r="721" spans="3:3">
      <c r="C721"/>
    </row>
    <row r="722" spans="3:3">
      <c r="C722"/>
    </row>
    <row r="723" spans="3:3">
      <c r="C723"/>
    </row>
    <row r="724" spans="3:3">
      <c r="C724"/>
    </row>
    <row r="725" spans="3:3">
      <c r="C725"/>
    </row>
    <row r="726" spans="3:3">
      <c r="C726"/>
    </row>
    <row r="727" spans="3:3">
      <c r="C727"/>
    </row>
    <row r="728" spans="3:3">
      <c r="C728"/>
    </row>
    <row r="729" spans="3:3">
      <c r="C729"/>
    </row>
    <row r="730" spans="3:3">
      <c r="C730"/>
    </row>
    <row r="731" spans="3:3">
      <c r="C731"/>
    </row>
    <row r="732" spans="3:3">
      <c r="C732"/>
    </row>
    <row r="733" spans="3:3">
      <c r="C733"/>
    </row>
    <row r="734" spans="3:3">
      <c r="C734"/>
    </row>
    <row r="735" spans="3:3">
      <c r="C735"/>
    </row>
    <row r="736" spans="3:3">
      <c r="C736"/>
    </row>
    <row r="737" spans="3:3">
      <c r="C737"/>
    </row>
    <row r="738" spans="3:3">
      <c r="C738"/>
    </row>
    <row r="739" spans="3:3">
      <c r="C739"/>
    </row>
    <row r="740" spans="3:3">
      <c r="C740"/>
    </row>
    <row r="741" spans="3:3">
      <c r="C741"/>
    </row>
    <row r="742" spans="3:3">
      <c r="C742"/>
    </row>
    <row r="743" spans="3:3">
      <c r="C743"/>
    </row>
    <row r="744" spans="3:3">
      <c r="C744"/>
    </row>
    <row r="745" spans="3:3">
      <c r="C745"/>
    </row>
    <row r="746" spans="3:3">
      <c r="C746"/>
    </row>
    <row r="747" spans="3:3">
      <c r="C747"/>
    </row>
    <row r="748" spans="3:3">
      <c r="C748"/>
    </row>
    <row r="749" spans="3:3">
      <c r="C749"/>
    </row>
    <row r="750" spans="3:3">
      <c r="C750"/>
    </row>
    <row r="751" spans="3:3">
      <c r="C751"/>
    </row>
    <row r="752" spans="3:3">
      <c r="C752"/>
    </row>
    <row r="753" spans="3:3">
      <c r="C753"/>
    </row>
    <row r="754" spans="3:3">
      <c r="C754"/>
    </row>
    <row r="755" spans="3:3">
      <c r="C755"/>
    </row>
    <row r="756" spans="3:3">
      <c r="C756"/>
    </row>
    <row r="757" spans="3:3">
      <c r="C757"/>
    </row>
    <row r="758" spans="3:3">
      <c r="C758"/>
    </row>
    <row r="759" spans="3:3">
      <c r="C759"/>
    </row>
    <row r="760" spans="3:3">
      <c r="C760"/>
    </row>
    <row r="761" spans="3:3">
      <c r="C761"/>
    </row>
    <row r="762" spans="3:3">
      <c r="C762"/>
    </row>
    <row r="763" spans="3:3">
      <c r="C763"/>
    </row>
    <row r="764" spans="3:3">
      <c r="C764"/>
    </row>
    <row r="765" spans="3:3">
      <c r="C765"/>
    </row>
    <row r="766" spans="3:3">
      <c r="C766"/>
    </row>
    <row r="767" spans="3:3">
      <c r="C767"/>
    </row>
    <row r="768" spans="3:3">
      <c r="C768"/>
    </row>
    <row r="769" spans="3:3">
      <c r="C769"/>
    </row>
    <row r="770" spans="3:3">
      <c r="C770"/>
    </row>
    <row r="771" spans="3:3">
      <c r="C771"/>
    </row>
    <row r="772" spans="3:3">
      <c r="C772"/>
    </row>
    <row r="773" spans="3:3">
      <c r="C773"/>
    </row>
    <row r="774" spans="3:3">
      <c r="C774"/>
    </row>
    <row r="775" spans="3:3">
      <c r="C775"/>
    </row>
    <row r="776" spans="3:3">
      <c r="C776"/>
    </row>
    <row r="777" spans="3:3">
      <c r="C777"/>
    </row>
    <row r="778" spans="3:3">
      <c r="C778"/>
    </row>
    <row r="779" spans="3:3">
      <c r="C779"/>
    </row>
    <row r="780" spans="3:3">
      <c r="C780"/>
    </row>
    <row r="781" spans="3:3">
      <c r="C781"/>
    </row>
    <row r="782" spans="3:3">
      <c r="C782"/>
    </row>
    <row r="783" spans="3:3">
      <c r="C783"/>
    </row>
    <row r="784" spans="3:3">
      <c r="C784"/>
    </row>
    <row r="785" spans="3:3">
      <c r="C785"/>
    </row>
    <row r="786" spans="3:3">
      <c r="C786"/>
    </row>
    <row r="787" spans="3:3">
      <c r="C787"/>
    </row>
    <row r="788" spans="3:3">
      <c r="C788"/>
    </row>
    <row r="789" spans="3:3">
      <c r="C789"/>
    </row>
    <row r="790" spans="3:3">
      <c r="C790"/>
    </row>
    <row r="791" spans="3:3">
      <c r="C791"/>
    </row>
    <row r="792" spans="3:3">
      <c r="C792"/>
    </row>
    <row r="793" spans="3:3">
      <c r="C793"/>
    </row>
    <row r="794" spans="3:3">
      <c r="C794"/>
    </row>
    <row r="795" spans="3:3">
      <c r="C795"/>
    </row>
    <row r="796" spans="3:3">
      <c r="C796"/>
    </row>
    <row r="797" spans="3:3">
      <c r="C797"/>
    </row>
    <row r="798" spans="3:3">
      <c r="C798"/>
    </row>
    <row r="799" spans="3:3">
      <c r="C799"/>
    </row>
    <row r="800" spans="3:3">
      <c r="C800"/>
    </row>
    <row r="801" spans="3:3">
      <c r="C801"/>
    </row>
    <row r="802" spans="3:3">
      <c r="C802"/>
    </row>
    <row r="803" spans="3:3">
      <c r="C803"/>
    </row>
    <row r="804" spans="3:3">
      <c r="C804"/>
    </row>
    <row r="805" spans="3:3">
      <c r="C805"/>
    </row>
    <row r="806" spans="3:3">
      <c r="C806"/>
    </row>
    <row r="807" spans="3:3">
      <c r="C807"/>
    </row>
    <row r="808" spans="3:3">
      <c r="C808"/>
    </row>
    <row r="809" spans="3:3">
      <c r="C809"/>
    </row>
    <row r="810" spans="3:3">
      <c r="C810"/>
    </row>
    <row r="811" spans="3:3">
      <c r="C811"/>
    </row>
    <row r="812" spans="3:3">
      <c r="C812"/>
    </row>
    <row r="813" spans="3:3">
      <c r="C813"/>
    </row>
    <row r="814" spans="3:3">
      <c r="C814"/>
    </row>
    <row r="815" spans="3:3">
      <c r="C815"/>
    </row>
    <row r="816" spans="3:3">
      <c r="C816"/>
    </row>
    <row r="817" spans="3:3">
      <c r="C817"/>
    </row>
    <row r="818" spans="3:3">
      <c r="C818"/>
    </row>
    <row r="819" spans="3:3">
      <c r="C819"/>
    </row>
    <row r="820" spans="3:3">
      <c r="C820"/>
    </row>
    <row r="821" spans="3:3">
      <c r="C821"/>
    </row>
    <row r="822" spans="3:3">
      <c r="C822"/>
    </row>
    <row r="823" spans="3:3">
      <c r="C823"/>
    </row>
    <row r="824" spans="3:3">
      <c r="C824"/>
    </row>
    <row r="825" spans="3:3">
      <c r="C825"/>
    </row>
    <row r="826" spans="3:3">
      <c r="C826"/>
    </row>
    <row r="827" spans="3:3">
      <c r="C827"/>
    </row>
    <row r="828" spans="3:3">
      <c r="C828"/>
    </row>
    <row r="829" spans="3:3">
      <c r="C829"/>
    </row>
    <row r="830" spans="3:3">
      <c r="C830"/>
    </row>
    <row r="831" spans="3:3">
      <c r="C831"/>
    </row>
    <row r="832" spans="3:3">
      <c r="C832"/>
    </row>
    <row r="833" spans="3:3">
      <c r="C833"/>
    </row>
    <row r="834" spans="3:3">
      <c r="C834"/>
    </row>
    <row r="835" spans="3:3">
      <c r="C835"/>
    </row>
    <row r="836" spans="3:3">
      <c r="C836"/>
    </row>
    <row r="837" spans="3:3">
      <c r="C837"/>
    </row>
    <row r="838" spans="3:3">
      <c r="C838"/>
    </row>
    <row r="839" spans="3:3">
      <c r="C839"/>
    </row>
    <row r="840" spans="3:3">
      <c r="C840"/>
    </row>
    <row r="841" spans="3:3">
      <c r="C841"/>
    </row>
    <row r="842" spans="3:3">
      <c r="C842"/>
    </row>
    <row r="843" spans="3:3">
      <c r="C843"/>
    </row>
    <row r="844" spans="3:3">
      <c r="C844"/>
    </row>
    <row r="845" spans="3:3">
      <c r="C845"/>
    </row>
    <row r="846" spans="3:3">
      <c r="C846"/>
    </row>
    <row r="847" spans="3:3">
      <c r="C847"/>
    </row>
    <row r="848" spans="3:3">
      <c r="C848"/>
    </row>
    <row r="849" spans="3:3">
      <c r="C849"/>
    </row>
    <row r="850" spans="3:3">
      <c r="C850"/>
    </row>
    <row r="851" spans="3:3">
      <c r="C851"/>
    </row>
    <row r="852" spans="3:3">
      <c r="C852"/>
    </row>
    <row r="853" spans="3:3">
      <c r="C853"/>
    </row>
    <row r="854" spans="3:3">
      <c r="C854"/>
    </row>
    <row r="855" spans="3:3">
      <c r="C855"/>
    </row>
    <row r="856" spans="3:3">
      <c r="C856"/>
    </row>
    <row r="857" spans="3:3">
      <c r="C857"/>
    </row>
    <row r="858" spans="3:3">
      <c r="C858"/>
    </row>
    <row r="859" spans="3:3">
      <c r="C859"/>
    </row>
    <row r="860" spans="3:3">
      <c r="C860"/>
    </row>
    <row r="861" spans="3:3">
      <c r="C861"/>
    </row>
    <row r="862" spans="3:3">
      <c r="C862"/>
    </row>
    <row r="863" spans="3:3">
      <c r="C863"/>
    </row>
    <row r="864" spans="3:3">
      <c r="C864"/>
    </row>
    <row r="865" spans="3:3">
      <c r="C865"/>
    </row>
    <row r="866" spans="3:3">
      <c r="C866"/>
    </row>
    <row r="867" spans="3:3">
      <c r="C867"/>
    </row>
    <row r="868" spans="3:3">
      <c r="C868"/>
    </row>
    <row r="869" spans="3:3">
      <c r="C869"/>
    </row>
    <row r="870" spans="3:3">
      <c r="C870"/>
    </row>
    <row r="871" spans="3:3">
      <c r="C871"/>
    </row>
    <row r="872" spans="3:3">
      <c r="C872"/>
    </row>
    <row r="873" spans="3:3">
      <c r="C873"/>
    </row>
    <row r="874" spans="3:3">
      <c r="C874"/>
    </row>
    <row r="875" spans="3:3">
      <c r="C875"/>
    </row>
    <row r="876" spans="3:3">
      <c r="C876"/>
    </row>
    <row r="877" spans="3:3">
      <c r="C877"/>
    </row>
    <row r="878" spans="3:3">
      <c r="C878"/>
    </row>
    <row r="879" spans="3:3">
      <c r="C879"/>
    </row>
    <row r="880" spans="3:3">
      <c r="C880"/>
    </row>
    <row r="881" spans="3:3">
      <c r="C881"/>
    </row>
    <row r="882" spans="3:3">
      <c r="C882"/>
    </row>
    <row r="883" spans="3:3">
      <c r="C883"/>
    </row>
    <row r="884" spans="3:3">
      <c r="C884"/>
    </row>
    <row r="885" spans="3:3">
      <c r="C885"/>
    </row>
    <row r="886" spans="3:3">
      <c r="C886"/>
    </row>
    <row r="887" spans="3:3">
      <c r="C887"/>
    </row>
    <row r="888" spans="3:3">
      <c r="C888"/>
    </row>
    <row r="889" spans="3:3">
      <c r="C889"/>
    </row>
    <row r="890" spans="3:3">
      <c r="C890"/>
    </row>
    <row r="891" spans="3:3">
      <c r="C891"/>
    </row>
    <row r="892" spans="3:3">
      <c r="C892"/>
    </row>
    <row r="893" spans="3:3">
      <c r="C893"/>
    </row>
    <row r="894" spans="3:3">
      <c r="C894"/>
    </row>
    <row r="895" spans="3:3">
      <c r="C895"/>
    </row>
    <row r="896" spans="3:3">
      <c r="C896"/>
    </row>
    <row r="897" spans="3:3">
      <c r="C897"/>
    </row>
    <row r="898" spans="3:3">
      <c r="C898"/>
    </row>
    <row r="899" spans="3:3">
      <c r="C899"/>
    </row>
    <row r="900" spans="3:3">
      <c r="C900"/>
    </row>
    <row r="901" spans="3:3">
      <c r="C901"/>
    </row>
    <row r="902" spans="3:3">
      <c r="C902"/>
    </row>
    <row r="903" spans="3:3">
      <c r="C903"/>
    </row>
    <row r="904" spans="3:3">
      <c r="C904"/>
    </row>
    <row r="905" spans="3:3">
      <c r="C905"/>
    </row>
    <row r="906" spans="3:3">
      <c r="C906"/>
    </row>
    <row r="907" spans="3:3">
      <c r="C907"/>
    </row>
    <row r="908" spans="3:3">
      <c r="C908"/>
    </row>
    <row r="909" spans="3:3">
      <c r="C909"/>
    </row>
    <row r="910" spans="3:3">
      <c r="C910"/>
    </row>
    <row r="911" spans="3:3">
      <c r="C911"/>
    </row>
    <row r="912" spans="3:3">
      <c r="C912"/>
    </row>
    <row r="913" spans="3:3">
      <c r="C913"/>
    </row>
    <row r="914" spans="3:3">
      <c r="C914"/>
    </row>
    <row r="915" spans="3:3">
      <c r="C915"/>
    </row>
    <row r="916" spans="3:3">
      <c r="C916"/>
    </row>
    <row r="917" spans="3:3">
      <c r="C917"/>
    </row>
    <row r="918" spans="3:3">
      <c r="C918"/>
    </row>
    <row r="919" spans="3:3">
      <c r="C919"/>
    </row>
    <row r="920" spans="3:3">
      <c r="C920"/>
    </row>
    <row r="921" spans="3:3">
      <c r="C921"/>
    </row>
    <row r="922" spans="3:3">
      <c r="C922"/>
    </row>
    <row r="923" spans="3:3">
      <c r="C923"/>
    </row>
    <row r="924" spans="3:3">
      <c r="C924"/>
    </row>
    <row r="925" spans="3:3">
      <c r="C925"/>
    </row>
    <row r="926" spans="3:3">
      <c r="C926"/>
    </row>
    <row r="927" spans="3:3">
      <c r="C927"/>
    </row>
    <row r="928" spans="3:3">
      <c r="C928"/>
    </row>
    <row r="929" spans="3:3">
      <c r="C929"/>
    </row>
    <row r="930" spans="3:3">
      <c r="C930"/>
    </row>
    <row r="931" spans="3:3">
      <c r="C931"/>
    </row>
    <row r="932" spans="3:3">
      <c r="C932"/>
    </row>
    <row r="933" spans="3:3">
      <c r="C933"/>
    </row>
    <row r="934" spans="3:3">
      <c r="C934"/>
    </row>
    <row r="935" spans="3:3">
      <c r="C935"/>
    </row>
    <row r="936" spans="3:3">
      <c r="C936"/>
    </row>
    <row r="937" spans="3:3">
      <c r="C937"/>
    </row>
    <row r="938" spans="3:3">
      <c r="C938"/>
    </row>
    <row r="939" spans="3:3">
      <c r="C939"/>
    </row>
    <row r="940" spans="3:3">
      <c r="C940"/>
    </row>
    <row r="941" spans="3:3">
      <c r="C941"/>
    </row>
    <row r="942" spans="3:3">
      <c r="C942"/>
    </row>
    <row r="943" spans="3:3">
      <c r="C943"/>
    </row>
    <row r="944" spans="3:3">
      <c r="C944"/>
    </row>
    <row r="945" spans="3:3">
      <c r="C945"/>
    </row>
    <row r="946" spans="3:3">
      <c r="C946"/>
    </row>
    <row r="947" spans="3:3">
      <c r="C947"/>
    </row>
    <row r="948" spans="3:3">
      <c r="C948"/>
    </row>
    <row r="949" spans="3:3">
      <c r="C949"/>
    </row>
    <row r="950" spans="3:3">
      <c r="C950"/>
    </row>
    <row r="951" spans="3:3">
      <c r="C951"/>
    </row>
    <row r="952" spans="3:3">
      <c r="C952"/>
    </row>
    <row r="953" spans="3:3">
      <c r="C953"/>
    </row>
    <row r="954" spans="3:3">
      <c r="C954"/>
    </row>
    <row r="955" spans="3:3">
      <c r="C955"/>
    </row>
    <row r="956" spans="3:3">
      <c r="C956"/>
    </row>
    <row r="957" spans="3:3">
      <c r="C957"/>
    </row>
    <row r="958" spans="3:3">
      <c r="C958"/>
    </row>
    <row r="959" spans="3:3">
      <c r="C959"/>
    </row>
    <row r="960" spans="3:3">
      <c r="C960"/>
    </row>
    <row r="961" spans="3:3">
      <c r="C961"/>
    </row>
  </sheetData>
  <mergeCells count="1">
    <mergeCell ref="B1:I1"/>
  </mergeCells>
  <phoneticPr fontId="0" type="noConversion"/>
  <printOptions horizontalCentered="1"/>
  <pageMargins left="0.75" right="0.75" top="1" bottom="1" header="0.5" footer="0.5"/>
  <pageSetup orientation="landscape" horizontalDpi="4294967292" verticalDpi="4294967292" r:id="rId1"/>
  <headerFooter alignWithMargins="0">
    <oddFooter>&amp;L&amp;D&amp;C&amp;"Charcoal,Bold"&amp;F — Phase Descriptions &amp; Comments&amp;R&amp;P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F53"/>
  <sheetViews>
    <sheetView topLeftCell="A7" workbookViewId="0">
      <selection activeCell="B22" sqref="B22"/>
    </sheetView>
  </sheetViews>
  <sheetFormatPr defaultColWidth="20.85546875" defaultRowHeight="12"/>
  <cols>
    <col min="1" max="1" width="49.140625" style="198" customWidth="1"/>
    <col min="2" max="2" width="62.140625" style="88" customWidth="1"/>
    <col min="3" max="3" width="21.85546875" style="191" customWidth="1"/>
    <col min="4" max="4" width="20.85546875" style="191" customWidth="1"/>
    <col min="5" max="5" width="20.85546875" customWidth="1"/>
    <col min="6" max="6" width="36.28515625" customWidth="1"/>
  </cols>
  <sheetData>
    <row r="1" spans="1:6" s="7" customFormat="1" ht="15.6">
      <c r="A1" s="199" t="s">
        <v>115</v>
      </c>
      <c r="B1" s="201" t="s">
        <v>116</v>
      </c>
      <c r="C1" s="192" t="s">
        <v>100</v>
      </c>
      <c r="D1" s="193" t="s">
        <v>124</v>
      </c>
    </row>
    <row r="2" spans="1:6" s="3" customFormat="1">
      <c r="A2" s="200"/>
      <c r="B2" s="202"/>
      <c r="C2" s="194"/>
      <c r="D2" s="195"/>
    </row>
    <row r="3" spans="1:6" s="3" customFormat="1">
      <c r="A3" s="200">
        <v>3</v>
      </c>
      <c r="B3" s="202" t="s">
        <v>220</v>
      </c>
      <c r="C3" s="194" t="s">
        <v>83</v>
      </c>
      <c r="D3" s="195"/>
    </row>
    <row r="4" spans="1:6" s="3" customFormat="1">
      <c r="A4" s="200">
        <v>3.1</v>
      </c>
      <c r="B4" s="202" t="s">
        <v>221</v>
      </c>
      <c r="C4" s="194" t="s">
        <v>86</v>
      </c>
      <c r="D4" s="195"/>
    </row>
    <row r="5" spans="1:6" s="3" customFormat="1" ht="36">
      <c r="A5" s="207" t="s">
        <v>219</v>
      </c>
      <c r="B5" s="208" t="s">
        <v>222</v>
      </c>
      <c r="C5" s="203" t="s">
        <v>114</v>
      </c>
      <c r="D5" s="204">
        <v>43447</v>
      </c>
    </row>
    <row r="6" spans="1:6" s="3" customFormat="1">
      <c r="A6" s="197"/>
      <c r="B6" s="206" t="s">
        <v>223</v>
      </c>
      <c r="C6" s="205"/>
      <c r="D6" s="205"/>
    </row>
    <row r="7" spans="1:6" s="3" customFormat="1">
      <c r="A7" s="197"/>
      <c r="B7" s="206" t="s">
        <v>224</v>
      </c>
      <c r="C7" s="205"/>
      <c r="D7" s="205"/>
    </row>
    <row r="8" spans="1:6" s="3" customFormat="1">
      <c r="A8" s="197"/>
      <c r="B8" s="206" t="s">
        <v>225</v>
      </c>
      <c r="C8" s="205"/>
      <c r="D8" s="205"/>
    </row>
    <row r="9" spans="1:6" s="3" customFormat="1" ht="24">
      <c r="A9" s="197"/>
      <c r="B9" s="206" t="s">
        <v>226</v>
      </c>
      <c r="C9" s="205"/>
      <c r="D9" s="205"/>
    </row>
    <row r="10" spans="1:6" s="3" customFormat="1" ht="36">
      <c r="A10" s="197"/>
      <c r="B10" s="206" t="s">
        <v>227</v>
      </c>
      <c r="C10" s="205"/>
      <c r="D10" s="205"/>
    </row>
    <row r="11" spans="1:6" s="3" customFormat="1" ht="36">
      <c r="A11" s="197"/>
      <c r="B11" s="206" t="s">
        <v>228</v>
      </c>
      <c r="C11" s="205"/>
      <c r="D11" s="205"/>
    </row>
    <row r="12" spans="1:6" s="3" customFormat="1">
      <c r="A12" s="197"/>
      <c r="B12" s="206" t="s">
        <v>229</v>
      </c>
      <c r="C12" s="205"/>
      <c r="D12" s="205"/>
    </row>
    <row r="13" spans="1:6" s="3" customFormat="1" ht="60.6" thickBot="1">
      <c r="A13" s="196"/>
      <c r="B13" s="206" t="s">
        <v>230</v>
      </c>
      <c r="C13" s="205"/>
      <c r="D13" s="205"/>
    </row>
    <row r="14" spans="1:6" s="3" customFormat="1" ht="15.6">
      <c r="A14" s="101" t="s">
        <v>299</v>
      </c>
      <c r="B14" s="481" t="s">
        <v>300</v>
      </c>
      <c r="C14" s="191"/>
      <c r="D14" s="191"/>
    </row>
    <row r="15" spans="1:6" s="3" customFormat="1" ht="24.6">
      <c r="A15" s="198"/>
      <c r="B15" s="481" t="s">
        <v>301</v>
      </c>
      <c r="C15" s="191"/>
      <c r="D15" s="191"/>
      <c r="E15" s="482" t="s">
        <v>303</v>
      </c>
      <c r="F15" s="482" t="s">
        <v>304</v>
      </c>
    </row>
    <row r="16" spans="1:6" s="3" customFormat="1" ht="48">
      <c r="A16" s="198"/>
      <c r="B16" s="481" t="s">
        <v>302</v>
      </c>
      <c r="C16" s="191"/>
      <c r="D16" s="191"/>
      <c r="E16" s="368">
        <v>1</v>
      </c>
      <c r="F16" s="368" t="s">
        <v>103</v>
      </c>
    </row>
    <row r="17" spans="1:6" s="3" customFormat="1" ht="36">
      <c r="A17" s="198"/>
      <c r="B17" s="481" t="s">
        <v>305</v>
      </c>
      <c r="C17" s="191"/>
      <c r="D17" s="191"/>
      <c r="E17" s="220">
        <v>2</v>
      </c>
      <c r="F17" s="220" t="s">
        <v>101</v>
      </c>
    </row>
    <row r="18" spans="1:6" s="3" customFormat="1" ht="132">
      <c r="A18" s="198"/>
      <c r="B18" s="481" t="s">
        <v>306</v>
      </c>
      <c r="C18" s="191"/>
      <c r="D18" s="191"/>
      <c r="E18" s="220">
        <v>3</v>
      </c>
      <c r="F18" s="220" t="s">
        <v>102</v>
      </c>
    </row>
    <row r="19" spans="1:6" s="3" customFormat="1" ht="96">
      <c r="A19" s="198"/>
      <c r="B19" s="481" t="s">
        <v>307</v>
      </c>
      <c r="C19" s="191"/>
      <c r="D19" s="191"/>
      <c r="E19" s="220">
        <v>4</v>
      </c>
      <c r="F19" s="220" t="s">
        <v>104</v>
      </c>
    </row>
    <row r="20" spans="1:6" s="3" customFormat="1" ht="48">
      <c r="A20" s="198"/>
      <c r="B20" s="481" t="s">
        <v>308</v>
      </c>
      <c r="C20" s="191"/>
      <c r="D20" s="191"/>
      <c r="E20" s="220">
        <v>5</v>
      </c>
      <c r="F20" s="220" t="s">
        <v>125</v>
      </c>
    </row>
    <row r="21" spans="1:6" s="3" customFormat="1" ht="84">
      <c r="A21" s="198"/>
      <c r="B21" s="481" t="s">
        <v>309</v>
      </c>
      <c r="C21" s="191"/>
      <c r="D21" s="191"/>
      <c r="E21" s="220">
        <v>6</v>
      </c>
      <c r="F21" s="220" t="s">
        <v>126</v>
      </c>
    </row>
    <row r="22" spans="1:6" s="3" customFormat="1">
      <c r="A22" s="198"/>
      <c r="B22" s="88"/>
      <c r="C22" s="191"/>
      <c r="D22" s="191"/>
    </row>
    <row r="23" spans="1:6" s="3" customFormat="1">
      <c r="A23" s="198"/>
      <c r="B23" s="88"/>
      <c r="C23" s="191"/>
      <c r="D23" s="191"/>
    </row>
    <row r="24" spans="1:6" s="3" customFormat="1">
      <c r="A24" s="198"/>
      <c r="B24" s="88"/>
      <c r="C24" s="191"/>
      <c r="D24" s="191"/>
    </row>
    <row r="25" spans="1:6" s="3" customFormat="1">
      <c r="A25" s="198"/>
      <c r="B25" s="88"/>
      <c r="C25" s="191"/>
      <c r="D25" s="191"/>
    </row>
    <row r="26" spans="1:6" s="3" customFormat="1">
      <c r="A26" s="198"/>
      <c r="B26" s="88"/>
      <c r="C26" s="191"/>
      <c r="D26" s="191"/>
    </row>
    <row r="29" spans="1:6" ht="27.75" customHeight="1"/>
    <row r="32" spans="1:6" ht="36" customHeight="1"/>
    <row r="33" ht="23.25" customHeight="1"/>
    <row r="38" ht="81" customHeight="1"/>
    <row r="39" ht="54" customHeight="1"/>
    <row r="40" ht="29.1" customHeight="1"/>
    <row r="41" ht="45.9" customHeight="1"/>
    <row r="42" ht="30" customHeight="1"/>
    <row r="43" ht="18.899999999999999" customHeight="1"/>
    <row r="44" ht="36" customHeight="1"/>
    <row r="45" ht="35.1" customHeight="1"/>
    <row r="46" ht="31.8" customHeight="1"/>
    <row r="51" ht="33.6" customHeight="1"/>
    <row r="53" ht="61.2" customHeight="1"/>
  </sheetData>
  <phoneticPr fontId="0" type="noConversion"/>
  <printOptions horizontalCentered="1"/>
  <pageMargins left="0.75" right="0.75" top="1" bottom="1" header="0.5" footer="0.5"/>
  <pageSetup orientation="portrait" horizontalDpi="4294967292" verticalDpi="4294967292" r:id="rId1"/>
  <headerFooter alignWithMargins="0">
    <oddFooter>&amp;L&amp;A&amp;C&amp;"Helvetica,Bold"&amp;12Standard Chart Template Instructrions&amp;R&amp;P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Charts</vt:lpstr>
      </vt:variant>
      <vt:variant>
        <vt:i4>2</vt:i4>
      </vt:variant>
      <vt:variant>
        <vt:lpstr>Named Ranges</vt:lpstr>
      </vt:variant>
      <vt:variant>
        <vt:i4>113</vt:i4>
      </vt:variant>
    </vt:vector>
  </HeadingPairs>
  <TitlesOfParts>
    <vt:vector size="121" baseType="lpstr">
      <vt:lpstr>Set-up</vt:lpstr>
      <vt:lpstr>Progress_Record</vt:lpstr>
      <vt:lpstr>Celeration lines</vt:lpstr>
      <vt:lpstr>Notes &amp; Phase Changes</vt:lpstr>
      <vt:lpstr>AIMSTARS</vt:lpstr>
      <vt:lpstr>Version History</vt:lpstr>
      <vt:lpstr>Blueline</vt:lpstr>
      <vt:lpstr>Accuracy Ratio Chart</vt:lpstr>
      <vt:lpstr>A.Prorate</vt:lpstr>
      <vt:lpstr>ACL</vt:lpstr>
      <vt:lpstr>ACLines</vt:lpstr>
      <vt:lpstr>AcRate</vt:lpstr>
      <vt:lpstr>ACstart</vt:lpstr>
      <vt:lpstr>Adviser</vt:lpstr>
      <vt:lpstr>Age</vt:lpstr>
      <vt:lpstr>Agency</vt:lpstr>
      <vt:lpstr>Alt_Ylabels</vt:lpstr>
      <vt:lpstr>Alt_Ylbl</vt:lpstr>
      <vt:lpstr>AltBounce</vt:lpstr>
      <vt:lpstr>Anchor</vt:lpstr>
      <vt:lpstr>b</vt:lpstr>
      <vt:lpstr>Blank</vt:lpstr>
      <vt:lpstr>Bounce</vt:lpstr>
      <vt:lpstr>BounceStats</vt:lpstr>
      <vt:lpstr>C.Prorate</vt:lpstr>
      <vt:lpstr>Celeration</vt:lpstr>
      <vt:lpstr>Celeration_Method</vt:lpstr>
      <vt:lpstr>Celeration_Val.</vt:lpstr>
      <vt:lpstr>CelLineTxt</vt:lpstr>
      <vt:lpstr>CelVal</vt:lpstr>
      <vt:lpstr>Charter</vt:lpstr>
      <vt:lpstr>ClearRaw</vt:lpstr>
      <vt:lpstr>Comments</vt:lpstr>
      <vt:lpstr>ConfInt</vt:lpstr>
      <vt:lpstr>Counter</vt:lpstr>
      <vt:lpstr>CZR</vt:lpstr>
      <vt:lpstr>D.Prorate</vt:lpstr>
      <vt:lpstr>DataPtOffset</vt:lpstr>
      <vt:lpstr>DateFormat</vt:lpstr>
      <vt:lpstr>DateSeries</vt:lpstr>
      <vt:lpstr>DAY</vt:lpstr>
      <vt:lpstr>Day_No</vt:lpstr>
      <vt:lpstr>DayMatrix</vt:lpstr>
      <vt:lpstr>DCL</vt:lpstr>
      <vt:lpstr>DCLines</vt:lpstr>
      <vt:lpstr>DcRate</vt:lpstr>
      <vt:lpstr>DCstart</vt:lpstr>
      <vt:lpstr>Depositor</vt:lpstr>
      <vt:lpstr>Dformat</vt:lpstr>
      <vt:lpstr>DisRatio</vt:lpstr>
      <vt:lpstr>Down</vt:lpstr>
      <vt:lpstr>DownBounce</vt:lpstr>
      <vt:lpstr>DZR</vt:lpstr>
      <vt:lpstr>eVersion</vt:lpstr>
      <vt:lpstr>FCount</vt:lpstr>
      <vt:lpstr>K</vt:lpstr>
      <vt:lpstr>Labels</vt:lpstr>
      <vt:lpstr>LineFlag</vt:lpstr>
      <vt:lpstr>LineTxt</vt:lpstr>
      <vt:lpstr>Log_Count</vt:lpstr>
      <vt:lpstr>LRarea</vt:lpstr>
      <vt:lpstr>Lreg.DayNum</vt:lpstr>
      <vt:lpstr>LStart</vt:lpstr>
      <vt:lpstr>m</vt:lpstr>
      <vt:lpstr>Manager</vt:lpstr>
      <vt:lpstr>MCdays</vt:lpstr>
      <vt:lpstr>MDY</vt:lpstr>
      <vt:lpstr>Method</vt:lpstr>
      <vt:lpstr>MinELSc</vt:lpstr>
      <vt:lpstr>MWDY</vt:lpstr>
      <vt:lpstr>Offsetter</vt:lpstr>
      <vt:lpstr>OpSys</vt:lpstr>
      <vt:lpstr>Order</vt:lpstr>
      <vt:lpstr>Organization</vt:lpstr>
      <vt:lpstr>OSmw</vt:lpstr>
      <vt:lpstr>Performer</vt:lpstr>
      <vt:lpstr>PF</vt:lpstr>
      <vt:lpstr>PinPoint1</vt:lpstr>
      <vt:lpstr>PinPoint2</vt:lpstr>
      <vt:lpstr>PinPoint3</vt:lpstr>
      <vt:lpstr>r_2</vt:lpstr>
      <vt:lpstr>Ratio</vt:lpstr>
      <vt:lpstr>RawData</vt:lpstr>
      <vt:lpstr>RCL</vt:lpstr>
      <vt:lpstr>RCLines</vt:lpstr>
      <vt:lpstr>RcRate</vt:lpstr>
      <vt:lpstr>RCstart</vt:lpstr>
      <vt:lpstr>RecFloor</vt:lpstr>
      <vt:lpstr>RECORD_FLOOR</vt:lpstr>
      <vt:lpstr>RTN</vt:lpstr>
      <vt:lpstr>Scalar</vt:lpstr>
      <vt:lpstr>ScalarTbl</vt:lpstr>
      <vt:lpstr>ScalingLbl</vt:lpstr>
      <vt:lpstr>Selector</vt:lpstr>
      <vt:lpstr>SelRow</vt:lpstr>
      <vt:lpstr>SeriesRange</vt:lpstr>
      <vt:lpstr>SetUpArea</vt:lpstr>
      <vt:lpstr>Sign</vt:lpstr>
      <vt:lpstr>slope</vt:lpstr>
      <vt:lpstr>SpreadIndex</vt:lpstr>
      <vt:lpstr>Start</vt:lpstr>
      <vt:lpstr>StartCell</vt:lpstr>
      <vt:lpstr>Statistics1</vt:lpstr>
      <vt:lpstr>Stop</vt:lpstr>
      <vt:lpstr>Supervisor</vt:lpstr>
      <vt:lpstr>SyncDate</vt:lpstr>
      <vt:lpstr>Time_Unit</vt:lpstr>
      <vt:lpstr>Timer</vt:lpstr>
      <vt:lpstr>TimeUnit</vt:lpstr>
      <vt:lpstr>Total_Bounce</vt:lpstr>
      <vt:lpstr>Type</vt:lpstr>
      <vt:lpstr>Up</vt:lpstr>
      <vt:lpstr>UpBounce</vt:lpstr>
      <vt:lpstr>X_AxisLabel</vt:lpstr>
      <vt:lpstr>Xmax</vt:lpstr>
      <vt:lpstr>Xmd</vt:lpstr>
      <vt:lpstr>Y_AxisLabel</vt:lpstr>
      <vt:lpstr>Ymax</vt:lpstr>
      <vt:lpstr>Ymin</vt:lpstr>
      <vt:lpstr>ZeroCount</vt:lpstr>
      <vt:lpstr>ZeroFlag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SCCFB  (daily count per minute)</dc:title>
  <dc:subject>Standard Chart Templates</dc:subject>
  <dc:creator>Owen White, Stuart Harder, &amp; Scott Born</dc:creator>
  <cp:keywords>celeration line, bounce, record floor, acceleration, deceleration, total possible</cp:keywords>
  <dc:description>Original Template designed by Owen White 19??  Chart formatting by Scott Born and Additional functionality and program support for data entry and celeration lines by Stuart Harder.  Owen White provided protocol for the Median Slope trend line method and Stuart Harder converted the method into code for the template.  Bounce line analysis by Stuart Harder.</dc:description>
  <cp:lastModifiedBy>Stuart R. Harder</cp:lastModifiedBy>
  <cp:revision>1</cp:revision>
  <cp:lastPrinted>2018-12-07T18:22:34Z</cp:lastPrinted>
  <dcterms:created xsi:type="dcterms:W3CDTF">2000-09-12T22:41:17Z</dcterms:created>
  <dcterms:modified xsi:type="dcterms:W3CDTF">2020-08-26T16:33:08Z</dcterms:modified>
  <cp:category>Precision Teaching</cp:category>
</cp:coreProperties>
</file>